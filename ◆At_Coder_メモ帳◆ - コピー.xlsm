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49E1467F-529A-4ACE-B813-FD7CA8FDF7B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At_Coder_C問題!$K$51</definedName>
    <definedName name="fromABC147_C_Honest_or_Unkind2">At_Coder_C問題!$K$56</definedName>
    <definedName name="fromABC149_C_NextPrime">At_Coder_C問題!$K$58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6" i="3" l="1"/>
  <c r="B27" i="3" l="1"/>
  <c r="B28" i="3" l="1"/>
  <c r="B29" i="3" l="1"/>
  <c r="B2030" i="3" l="1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<sst xmlns="http://schemas.openxmlformats.org/spreadsheetml/2006/main" count="509" uniqueCount="253">
  <si>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</si>
  <si>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</si>
  <si>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</si>
  <si>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</si>
  <si>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</si>
  <si>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</si>
  <si>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</si>
  <si>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</si>
  <si>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</si>
  <si>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</si>
  <si>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</si>
  <si>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</si>
  <si>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</si>
  <si>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</si>
  <si>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</si>
  <si>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</si>
  <si>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</si>
  <si>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</si>
  <si>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</si>
  <si>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</si>
  <si>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</si>
  <si>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</si>
  <si>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</si>
  <si>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</si>
  <si>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</si>
  <si>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</si>
  <si>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</si>
  <si>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</si>
  <si>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</si>
  <si>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</si>
  <si>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</si>
  <si>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</si>
  <si>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</si>
  <si>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</si>
  <si>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</si>
  <si>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</si>
  <si>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</si>
  <si>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</si>
  <si>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</si>
  <si>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</si>
  <si>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</si>
  <si>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</si>
  <si>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</si>
  <si>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</si>
  <si>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</si>
  <si>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</si>
  <si>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</si>
  <si>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</si>
  <si>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</si>
  <si>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</si>
  <si>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</si>
  <si>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</si>
  <si>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</si>
  <si>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</si>
  <si>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</si>
  <si>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</si>
  <si>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</si>
  <si>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</si>
  <si>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</si>
  <si>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</si>
  <si>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</si>
  <si>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</si>
  <si>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</si>
  <si>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</si>
  <si>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</si>
  <si>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</si>
  <si>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</si>
  <si>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</si>
  <si>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</si>
  <si>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</si>
  <si>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</si>
  <si>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</si>
  <si>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</si>
  <si>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</si>
  <si>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</si>
  <si>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</si>
  <si>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</si>
  <si>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</si>
  <si>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</si>
  <si>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</si>
  <si>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</si>
  <si>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</si>
  <si>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</si>
  <si>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</si>
  <si>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</si>
  <si>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</si>
  <si>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</si>
  <si>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</si>
  <si>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</si>
  <si>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</si>
  <si>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</si>
  <si>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</si>
  <si>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</si>
  <si>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</si>
  <si>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</si>
  <si>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</si>
  <si>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</si>
  <si>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</si>
  <si>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</si>
  <si>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</si>
  <si>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</si>
  <si>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</si>
  <si>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</si>
  <si>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</si>
  <si>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</si>
  <si>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</si>
  <si>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</si>
  <si>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</si>
  <si>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</si>
  <si>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</si>
  <si>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</si>
  <si>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</si>
  <si>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</si>
  <si>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</si>
  <si>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</si>
  <si>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</si>
  <si>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</si>
  <si>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</si>
  <si>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</si>
  <si>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</si>
  <si>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</si>
  <si>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</si>
  <si>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</si>
  <si>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</si>
  <si>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</si>
  <si>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</si>
  <si>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</si>
  <si>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</si>
  <si>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</si>
  <si>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</si>
  <si>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</si>
  <si>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</si>
  <si>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</si>
  <si>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</si>
  <si>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</si>
  <si>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</si>
  <si>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</si>
  <si>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</si>
  <si>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</si>
  <si>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</si>
  <si>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</si>
  <si>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</si>
  <si>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</si>
  <si>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</si>
  <si>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</si>
  <si>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</si>
  <si>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</si>
  <si>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</si>
  <si>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</si>
  <si>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</si>
  <si>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</si>
  <si>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</si>
  <si>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</si>
  <si>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</si>
  <si>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</si>
  <si>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</si>
  <si>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</si>
  <si>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</si>
  <si>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</si>
  <si>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</si>
  <si>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</si>
  <si>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</si>
  <si>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</si>
  <si>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</si>
  <si>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</si>
  <si>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</si>
  <si>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</si>
  <si>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</si>
  <si>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</si>
  <si>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</si>
  <si>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</si>
  <si>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</si>
  <si>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</si>
  <si>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</si>
  <si>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</si>
  <si>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</si>
  <si>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</si>
  <si>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</si>
  <si>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</si>
  <si>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</si>
  <si>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</si>
  <si>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</si>
  <si>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</si>
  <si>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</si>
  <si>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</si>
  <si>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</si>
  <si>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</si>
  <si>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</si>
  <si>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</si>
  <si>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</si>
  <si>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</si>
  <si>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</si>
  <si>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</si>
  <si>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</si>
  <si>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</si>
  <si>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</si>
  <si>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</si>
  <si>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</si>
  <si>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</si>
  <si>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</si>
  <si>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</si>
  <si>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</si>
  <si>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</si>
  <si>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</si>
  <si>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</si>
  <si>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</si>
  <si>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</si>
  <si>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</si>
  <si>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</si>
  <si>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</si>
  <si>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</si>
  <si>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</si>
  <si>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</si>
  <si>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</si>
  <si>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</si>
  <si>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</si>
  <si>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</si>
  <si>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</si>
  <si>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</si>
  <si>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</si>
  <si>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</si>
  <si>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</si>
  <si>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</si>
  <si>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</si>
  <si>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</si>
  <si>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</si>
  <si>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</si>
  <si>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</si>
  <si>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</si>
  <si>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</si>
  <si>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</si>
  <si>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</si>
  <si>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</si>
  <si>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</si>
  <si>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</si>
  <si>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</si>
  <si>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</si>
  <si>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</si>
  <si>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</si>
  <si>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解答を参考に、Dfs で解くことを知り、自分なりに Dｆｓ で解いた。
AC獲得後、以下のｗｅｂページで解き方を参考にして、自分の Dｆｓ を修正した
修正点
１．材料情報（StMatrl）に材料本数を保有するのを廃止
２．Dfs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2" eb="84">
      <t>ザイリョウ</t>
    </rPh>
    <rPh sb="84" eb="86">
      <t>ジョウホウ</t>
    </rPh>
    <rPh sb="96" eb="98">
      <t>ザイリョウ</t>
    </rPh>
    <rPh sb="98" eb="100">
      <t>ホンスウ</t>
    </rPh>
    <rPh sb="101" eb="103">
      <t>ホユウ</t>
    </rPh>
    <rPh sb="107" eb="109">
      <t>ハイシ</t>
    </rPh>
    <rPh sb="117" eb="119">
      <t>イチバン</t>
    </rPh>
    <rPh sb="119" eb="121">
      <t>サイショ</t>
    </rPh>
    <rPh sb="123" eb="125">
      <t>ゲンザイ</t>
    </rPh>
    <rPh sb="126" eb="128">
      <t>ザイリョウ</t>
    </rPh>
    <rPh sb="150" eb="152">
      <t>シヨウ</t>
    </rPh>
    <rPh sb="155" eb="157">
      <t>バアイ</t>
    </rPh>
    <rPh sb="158" eb="160">
      <t>イチバン</t>
    </rPh>
    <rPh sb="160" eb="162">
      <t>サイショ</t>
    </rPh>
    <rPh sb="163" eb="165">
      <t>イドウ</t>
    </rPh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</si>
  <si>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</si>
  <si>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</si>
  <si>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</si>
  <si>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</si>
  <si>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r>
      <t xml:space="preserve">map&lt;価格, 個数&gt;で実装可能
map[ 価格[n] ] </t>
    </r>
    <r>
      <rPr>
        <b/>
        <sz val="10"/>
        <color theme="1"/>
        <rFont val="游明朝 Demibold"/>
        <family val="1"/>
        <charset val="128"/>
      </rPr>
      <t>+=</t>
    </r>
    <r>
      <rPr>
        <sz val="10"/>
        <color theme="1"/>
        <rFont val="游明朝 Demibold"/>
        <family val="1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</si>
  <si>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游明朝 Demibold"/>
        <family val="1"/>
        <charset val="128"/>
      </rPr>
      <t xml:space="preserve">累積和配列のindexについてはソースコードにコメントで
</t>
    </r>
    <r>
      <rPr>
        <sz val="10"/>
        <color theme="1"/>
        <rFont val="游明朝 Demibold"/>
        <family val="1"/>
        <charset val="128"/>
      </rPr>
      <t xml:space="preserve">   </t>
    </r>
    <r>
      <rPr>
        <b/>
        <sz val="10"/>
        <color theme="1"/>
        <rFont val="游明朝 Demibold"/>
        <family val="1"/>
        <charset val="128"/>
      </rPr>
      <t>①累積和index, ②文字列位置, ③文字列, ④文字列index を</t>
    </r>
    <r>
      <rPr>
        <sz val="10"/>
        <color theme="1"/>
        <rFont val="游明朝 Demibold"/>
        <family val="1"/>
        <charset val="128"/>
      </rPr>
      <t xml:space="preserve">
   </t>
    </r>
    <r>
      <rPr>
        <b/>
        <sz val="10"/>
        <color theme="1"/>
        <rFont val="游明朝 Demibold"/>
        <family val="1"/>
        <charset val="128"/>
      </rPr>
      <t>記載</t>
    </r>
    <r>
      <rPr>
        <sz val="10"/>
        <color theme="1"/>
        <rFont val="游明朝 Demibold"/>
        <family val="1"/>
        <charset val="128"/>
      </rPr>
      <t>すれば</t>
    </r>
    <r>
      <rPr>
        <b/>
        <sz val="10"/>
        <color theme="1"/>
        <rFont val="游明朝 Demibold"/>
        <family val="1"/>
        <charset val="128"/>
      </rPr>
      <t>明確</t>
    </r>
    <r>
      <rPr>
        <sz val="10"/>
        <color theme="1"/>
        <rFont val="游明朝 Demibold"/>
        <family val="1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</si>
  <si>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游明朝 Demibold"/>
        <family val="1"/>
        <charset val="128"/>
      </rPr>
      <t>5</t>
    </r>
    <r>
      <rPr>
        <sz val="10"/>
        <color theme="1"/>
        <rFont val="游明朝 Demibold"/>
        <family val="1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</si>
  <si>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左右から数字列のGCDを保有する２つのVECTORを準備
L(i) := A</t>
    </r>
    <r>
      <rPr>
        <vertAlign val="subscript"/>
        <sz val="10"/>
        <color theme="1"/>
        <rFont val="游明朝 Demibold"/>
        <family val="1"/>
        <charset val="128"/>
      </rPr>
      <t>1</t>
    </r>
    <r>
      <rPr>
        <sz val="10"/>
        <color theme="1"/>
        <rFont val="游明朝 Demibold"/>
        <family val="1"/>
        <charset val="128"/>
      </rPr>
      <t>, A</t>
    </r>
    <r>
      <rPr>
        <vertAlign val="subscript"/>
        <sz val="10"/>
        <color theme="1"/>
        <rFont val="游明朝 Demibold"/>
        <family val="1"/>
        <charset val="128"/>
      </rPr>
      <t>2</t>
    </r>
    <r>
      <rPr>
        <sz val="10"/>
        <color theme="1"/>
        <rFont val="游明朝 Demibold"/>
        <family val="1"/>
        <charset val="128"/>
      </rPr>
      <t>, ..., A</t>
    </r>
    <r>
      <rPr>
        <vertAlign val="subscript"/>
        <sz val="10"/>
        <color theme="1"/>
        <rFont val="游明朝 Demibold"/>
        <family val="1"/>
        <charset val="128"/>
      </rPr>
      <t>i−1</t>
    </r>
    <r>
      <rPr>
        <sz val="10"/>
        <color theme="1"/>
        <rFont val="游明朝 Demibold"/>
        <family val="1"/>
        <charset val="128"/>
      </rPr>
      <t>のGCD
R(i) :=  A</t>
    </r>
    <r>
      <rPr>
        <vertAlign val="subscript"/>
        <sz val="10"/>
        <color theme="1"/>
        <rFont val="游明朝 Demibold"/>
        <family val="1"/>
        <charset val="128"/>
      </rPr>
      <t>i+1</t>
    </r>
    <r>
      <rPr>
        <sz val="10"/>
        <color theme="1"/>
        <rFont val="游明朝 Demibold"/>
        <family val="1"/>
        <charset val="128"/>
      </rPr>
      <t>, ..., 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のGCD
A</t>
    </r>
    <r>
      <rPr>
        <vertAlign val="subscript"/>
        <sz val="10"/>
        <color theme="1"/>
        <rFont val="游明朝 Demibold"/>
        <family val="1"/>
        <charset val="128"/>
      </rPr>
      <t>i</t>
    </r>
    <r>
      <rPr>
        <sz val="10"/>
        <color theme="1"/>
        <rFont val="游明朝 Demibold"/>
        <family val="1"/>
        <charset val="128"/>
      </rPr>
      <t xml:space="preserve"> を書き換えて出来る max GCDは gcd（L(i), R(i)) で算出</t>
    </r>
    <rPh sb="0" eb="2">
      <t>サユウ</t>
    </rPh>
    <rPh sb="4" eb="6">
      <t>スウジ</t>
    </rPh>
    <rPh sb="6" eb="7">
      <t>レツ</t>
    </rPh>
    <rPh sb="12" eb="14">
      <t>ホユウ</t>
    </rPh>
    <rPh sb="26" eb="28">
      <t>ジュンビ</t>
    </rPh>
    <rPh sb="125" eb="127">
      <t>サンシュツ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</si>
  <si>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游明朝 Demibold"/>
        <family val="1"/>
        <charset val="128"/>
      </rPr>
      <t>5</t>
    </r>
    <r>
      <rPr>
        <sz val="10"/>
        <color theme="1"/>
        <rFont val="游明朝 Demibold"/>
        <family val="1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</si>
  <si>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</si>
  <si>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游明朝 Demibold"/>
        <family val="1"/>
        <charset val="128"/>
      </rPr>
      <t>n+1</t>
    </r>
    <r>
      <rPr>
        <sz val="10"/>
        <color theme="1"/>
        <rFont val="游明朝 Demibold"/>
        <family val="1"/>
        <charset val="128"/>
      </rPr>
      <t>=(7a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</si>
  <si>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r>
      <t>・被除数となる数列 a</t>
    </r>
    <r>
      <rPr>
        <vertAlign val="subscript"/>
        <sz val="10"/>
        <color theme="1"/>
        <rFont val="游明朝 Demibold"/>
        <family val="1"/>
        <charset val="128"/>
      </rPr>
      <t>n+1</t>
    </r>
    <r>
      <rPr>
        <sz val="10"/>
        <color theme="1"/>
        <rFont val="游明朝 Demibold"/>
        <family val="1"/>
        <charset val="128"/>
      </rPr>
      <t>=7a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+7 を作る際、long long int の範囲でしか考えられず、{a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游明朝 Demibold"/>
        <family val="1"/>
        <charset val="128"/>
      </rPr>
      <t xml:space="preserve">n </t>
    </r>
    <r>
      <rPr>
        <sz val="10"/>
        <color theme="1"/>
        <rFont val="游明朝 Demibold"/>
        <family val="1"/>
        <charset val="128"/>
      </rPr>
      <t>} として a</t>
    </r>
    <r>
      <rPr>
        <vertAlign val="subscript"/>
        <sz val="10"/>
        <color theme="1"/>
        <rFont val="游明朝 Demibold"/>
        <family val="1"/>
        <charset val="128"/>
      </rPr>
      <t>n+1</t>
    </r>
    <r>
      <rPr>
        <sz val="10"/>
        <color theme="1"/>
        <rFont val="游明朝 Demibold"/>
        <family val="1"/>
        <charset val="128"/>
      </rPr>
      <t>=7a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</si>
  <si>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} を考え、
漸化式 a</t>
    </r>
    <r>
      <rPr>
        <vertAlign val="subscript"/>
        <sz val="10"/>
        <color theme="1"/>
        <rFont val="游明朝 Demibold"/>
        <family val="1"/>
        <charset val="128"/>
      </rPr>
      <t>n+1</t>
    </r>
    <r>
      <rPr>
        <sz val="10"/>
        <color theme="1"/>
        <rFont val="游明朝 Demibold"/>
        <family val="1"/>
        <charset val="128"/>
      </rPr>
      <t>=(7a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+7) % K で数列 {a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</si>
</sst>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ＭＳ Ｐ明朝"/>
      <family val="1"/>
      <charset val="128"/>
    </font>
    <font>
      <sz val="10"/>
      <color theme="1"/>
      <name val="游明朝 Demibold"/>
      <family val="1"/>
      <charset val="128"/>
    </font>
    <font>
      <sz val="11"/>
      <color theme="1"/>
      <name val="游明朝 Demibold"/>
      <family val="1"/>
      <charset val="128"/>
    </font>
    <font>
      <u/>
      <sz val="10"/>
      <color theme="10"/>
      <name val="游明朝 Demibold"/>
      <family val="1"/>
      <charset val="128"/>
    </font>
    <font>
      <b/>
      <sz val="10"/>
      <color theme="0"/>
      <name val="游明朝 Demibold"/>
      <family val="1"/>
      <charset val="128"/>
    </font>
    <font>
      <u/>
      <sz val="9"/>
      <color theme="10"/>
      <name val="游明朝 Demibold"/>
      <family val="1"/>
      <charset val="128"/>
    </font>
    <font>
      <b/>
      <sz val="10"/>
      <color theme="1"/>
      <name val="游明朝 Demibold"/>
      <family val="1"/>
      <charset val="128"/>
    </font>
    <font>
      <vertAlign val="superscript"/>
      <sz val="10"/>
      <color theme="1"/>
      <name val="游明朝 Demibold"/>
      <family val="1"/>
      <charset val="128"/>
    </font>
    <font>
      <vertAlign val="subscript"/>
      <sz val="10"/>
      <color theme="1"/>
      <name val="游明朝 Demibold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49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Fill="1" applyBorder="1" applyAlignment="1">
      <alignment horizontal="center" vertical="top"/>
    </xf>
    <xf numFmtId="176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Border="1" applyAlignment="1">
      <alignment vertical="top"/>
    </xf>
    <xf numFmtId="0" fontId="11" fillId="0" borderId="6" xfId="0" applyFont="1" applyBorder="1" applyAlignment="1">
      <alignment vertical="center"/>
    </xf>
    <xf numFmtId="49" fontId="11" fillId="0" borderId="6" xfId="0" applyNumberFormat="1" applyFont="1" applyFill="1" applyBorder="1" applyAlignment="1">
      <alignment vertical="center"/>
    </xf>
    <xf numFmtId="0" fontId="10" fillId="2" borderId="6" xfId="0" applyFont="1" applyFill="1" applyBorder="1" applyAlignment="1">
      <alignment horizontal="center" vertical="top"/>
    </xf>
    <xf numFmtId="176" fontId="10" fillId="2" borderId="6" xfId="0" applyNumberFormat="1" applyFont="1" applyFill="1" applyBorder="1" applyAlignment="1">
      <alignment vertical="top"/>
    </xf>
    <xf numFmtId="0" fontId="10" fillId="2" borderId="6" xfId="0" applyFont="1" applyFill="1" applyBorder="1" applyAlignment="1">
      <alignment vertical="top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6" xfId="0" applyFont="1" applyFill="1" applyBorder="1" applyAlignment="1">
      <alignment horizontal="center" vertical="top"/>
    </xf>
    <xf numFmtId="176" fontId="10" fillId="0" borderId="6" xfId="0" applyNumberFormat="1" applyFont="1" applyFill="1" applyBorder="1" applyAlignment="1">
      <alignment vertical="top"/>
    </xf>
    <xf numFmtId="0" fontId="10" fillId="0" borderId="6" xfId="0" applyFont="1" applyFill="1" applyBorder="1" applyAlignment="1">
      <alignment vertical="top"/>
    </xf>
    <xf numFmtId="0" fontId="10" fillId="0" borderId="6" xfId="0" applyFont="1" applyFill="1" applyBorder="1" applyAlignment="1">
      <alignment vertical="top" wrapText="1"/>
    </xf>
    <xf numFmtId="9" fontId="10" fillId="0" borderId="6" xfId="0" applyNumberFormat="1" applyFont="1" applyFill="1" applyBorder="1" applyAlignment="1">
      <alignment horizontal="center" vertical="top"/>
    </xf>
    <xf numFmtId="0" fontId="10" fillId="0" borderId="0" xfId="0" applyFont="1" applyFill="1" applyAlignment="1">
      <alignment vertical="top"/>
    </xf>
    <xf numFmtId="0" fontId="10" fillId="0" borderId="0" xfId="0" applyFont="1" applyFill="1" applyBorder="1" applyAlignment="1">
      <alignment vertical="top"/>
    </xf>
    <xf numFmtId="0" fontId="12" fillId="0" borderId="6" xfId="1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top"/>
    </xf>
    <xf numFmtId="0" fontId="14" fillId="0" borderId="6" xfId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6" xfId="0" applyNumberFormat="1" applyFont="1" applyFill="1" applyBorder="1" applyAlignment="1">
      <alignment vertical="top" wrapText="1"/>
    </xf>
    <xf numFmtId="49" fontId="10" fillId="0" borderId="6" xfId="0" applyNumberFormat="1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/>
    </xf>
    <xf numFmtId="49" fontId="12" fillId="0" borderId="6" xfId="1" applyNumberFormat="1" applyFont="1" applyFill="1" applyBorder="1" applyAlignment="1">
      <alignment vertical="top" wrapText="1"/>
    </xf>
    <xf numFmtId="0" fontId="10" fillId="0" borderId="7" xfId="0" applyFont="1" applyFill="1" applyBorder="1" applyAlignment="1">
      <alignment horizontal="center" vertical="top"/>
    </xf>
    <xf numFmtId="176" fontId="10" fillId="0" borderId="7" xfId="0" applyNumberFormat="1" applyFont="1" applyFill="1" applyBorder="1" applyAlignment="1">
      <alignment vertical="top"/>
    </xf>
    <xf numFmtId="0" fontId="10" fillId="0" borderId="7" xfId="0" applyFont="1" applyFill="1" applyBorder="1" applyAlignment="1">
      <alignment vertical="top"/>
    </xf>
    <xf numFmtId="9" fontId="10" fillId="0" borderId="7" xfId="0" applyNumberFormat="1" applyFont="1" applyFill="1" applyBorder="1" applyAlignment="1">
      <alignment horizontal="center" vertical="top"/>
    </xf>
    <xf numFmtId="0" fontId="10" fillId="0" borderId="7" xfId="0" applyFont="1" applyFill="1" applyBorder="1" applyAlignment="1">
      <alignment vertical="top" wrapText="1"/>
    </xf>
    <xf numFmtId="0" fontId="10" fillId="0" borderId="0" xfId="0" applyFont="1" applyFill="1" applyAlignment="1">
      <alignment horizontal="center" vertical="top"/>
    </xf>
    <xf numFmtId="176" fontId="10" fillId="0" borderId="0" xfId="0" applyNumberFormat="1" applyFont="1" applyFill="1" applyAlignment="1">
      <alignment vertical="top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1" fillId="0" borderId="5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vertical="center"/>
    </xf>
    <xf numFmtId="49" fontId="11" fillId="0" borderId="2" xfId="0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176" fontId="11" fillId="0" borderId="5" xfId="0" applyNumberFormat="1" applyFont="1" applyFill="1" applyBorder="1" applyAlignment="1">
      <alignment vertical="center"/>
    </xf>
    <xf numFmtId="176" fontId="11" fillId="0" borderId="6" xfId="0" applyNumberFormat="1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vertical="center" wrapText="1"/>
    </xf>
    <xf numFmtId="0" fontId="11" fillId="0" borderId="6" xfId="0" applyFont="1" applyBorder="1" applyAlignment="1">
      <alignment vertical="center"/>
    </xf>
    <xf numFmtId="49" fontId="11" fillId="0" borderId="1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0"/>
  <sheetViews>
    <sheetView tabSelected="1" zoomScale="115" zoomScaleNormal="115" workbookViewId="0">
      <pane xSplit="6" ySplit="4" topLeftCell="G29" activePane="bottomRight" state="frozen"/>
      <selection activeCell="L24" sqref="L24"/>
      <selection pane="topRight" activeCell="L24" sqref="L24"/>
      <selection pane="bottomLeft" activeCell="L24" sqref="L24"/>
      <selection pane="bottomRight" activeCell="G31" sqref="G31"/>
    </sheetView>
  </sheetViews>
  <sheetFormatPr defaultColWidth="2.625" defaultRowHeight="16.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customWidth="1" outlineLevel="1"/>
    <col min="5" max="5" width="7.5" style="52" customWidth="1" outlineLevel="1"/>
    <col min="6" max="6" width="40.375" style="52" bestFit="1" customWidth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8.75" x14ac:dyDescent="0.15">
      <c r="B2" s="75" t="s">
        <v>8</v>
      </c>
      <c r="C2" s="77" t="s">
        <v>12</v>
      </c>
      <c r="D2" s="73" t="s">
        <v>146</v>
      </c>
      <c r="E2" s="74"/>
      <c r="F2" s="74"/>
      <c r="G2" s="79" t="s">
        <v>13</v>
      </c>
      <c r="H2" s="80" t="s">
        <v>15</v>
      </c>
      <c r="I2" s="82" t="s">
        <v>14</v>
      </c>
      <c r="J2" s="83"/>
      <c r="K2" s="71" t="s">
        <v>18</v>
      </c>
      <c r="L2" s="69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8.75" x14ac:dyDescent="0.15">
      <c r="B3" s="76"/>
      <c r="C3" s="78"/>
      <c r="D3" s="40" t="s">
        <v>142</v>
      </c>
      <c r="E3" s="40" t="s">
        <v>143</v>
      </c>
      <c r="F3" s="40" t="s">
        <v>9</v>
      </c>
      <c r="G3" s="76"/>
      <c r="H3" s="81"/>
      <c r="I3" s="41" t="s">
        <v>10</v>
      </c>
      <c r="J3" s="41" t="s">
        <v>11</v>
      </c>
      <c r="K3" s="72"/>
      <c r="L3" s="70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x14ac:dyDescent="0.15">
      <c r="B20" s="47">
        <f>IF(F20&lt;&gt;"",SUBTOTAL(3,$F$5:F20),"")</f>
        <v>16</v>
      </c>
      <c r="C20" s="48">
        <v>43869</v>
      </c>
      <c r="D20" s="49" t="s">
        <v>144</v>
      </c>
      <c r="E20" s="49" t="s">
        <v>140</v>
      </c>
      <c r="F20" s="50" t="s">
        <v>121</v>
      </c>
      <c r="G20" s="51"/>
      <c r="H20" s="50"/>
      <c r="I20" s="50"/>
      <c r="J20" s="50"/>
      <c r="K20" s="50"/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x14ac:dyDescent="0.15">
      <c r="B21" s="47">
        <f>IF(F21&lt;&gt;"",SUBTOTAL(3,$F$5:F21),"")</f>
        <v>17</v>
      </c>
      <c r="C21" s="48">
        <v>43995</v>
      </c>
      <c r="D21" s="49" t="s">
        <v>144</v>
      </c>
      <c r="E21" s="49" t="s">
        <v>140</v>
      </c>
      <c r="F21" s="50" t="s">
        <v>166</v>
      </c>
      <c r="G21" s="51"/>
      <c r="H21" s="50"/>
      <c r="I21" s="50"/>
      <c r="J21" s="50"/>
      <c r="K21" s="50"/>
      <c r="L21" s="54" t="s">
        <v>17</v>
      </c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>
        <f>IF(F22&lt;&gt;"",SUBTOTAL(3,$F$5:F22),"")</f>
        <v>18</v>
      </c>
      <c r="C22" s="48">
        <v>43961</v>
      </c>
      <c r="D22" s="49" t="s">
        <v>144</v>
      </c>
      <c r="E22" s="49" t="s">
        <v>140</v>
      </c>
      <c r="F22" s="50" t="s">
        <v>167</v>
      </c>
      <c r="G22" s="51"/>
      <c r="H22" s="50"/>
      <c r="I22" s="50"/>
      <c r="J22" s="50"/>
      <c r="K22" s="50"/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x14ac:dyDescent="0.15">
      <c r="B23" s="47">
        <f>IF(F23&lt;&gt;"",SUBTOTAL(3,$F$5:F23),"")</f>
        <v>19</v>
      </c>
      <c r="C23" s="48">
        <v>43995</v>
      </c>
      <c r="D23" s="49" t="s">
        <v>144</v>
      </c>
      <c r="E23" s="49" t="s">
        <v>140</v>
      </c>
      <c r="F23" s="50" t="s">
        <v>168</v>
      </c>
      <c r="G23" s="51"/>
      <c r="H23" s="50"/>
      <c r="I23" s="50"/>
      <c r="J23" s="50"/>
      <c r="K23" s="50"/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ht="132" x14ac:dyDescent="0.15">
      <c r="B24" s="47">
        <f>IF(F24&lt;&gt;"",SUBTOTAL(3,$F$5:F24),"")</f>
        <v>20</v>
      </c>
      <c r="C24" s="48">
        <v>44045</v>
      </c>
      <c r="D24" s="49" t="s">
        <v>144</v>
      </c>
      <c r="E24" s="49" t="s">
        <v>140</v>
      </c>
      <c r="F24" s="50" t="s">
        <v>238</v>
      </c>
      <c r="G24" s="51">
        <v>0.8</v>
      </c>
      <c r="H24" s="50"/>
      <c r="I24" s="50" t="s">
        <v>239</v>
      </c>
      <c r="J24" s="50" t="s">
        <v>240</v>
      </c>
      <c r="K24" s="50" t="s">
        <v>242</v>
      </c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x14ac:dyDescent="0.15">
      <c r="B25" s="47"/>
      <c r="C25" s="48"/>
      <c r="D25" s="49"/>
      <c r="E25" s="49"/>
      <c r="F25" s="50"/>
      <c r="G25" s="51">
        <v>0.8</v>
      </c>
      <c r="H25" s="50"/>
      <c r="I25" s="56" t="s">
        <v>241</v>
      </c>
      <c r="J25" s="50"/>
      <c r="K25" s="50"/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ht="165" x14ac:dyDescent="0.15">
      <c r="B26" s="47">
        <f>IF(F26&lt;&gt;"",SUBTOTAL(3,$F$5:F26),"")</f>
        <v>21</v>
      </c>
      <c r="C26" s="48">
        <v>44045</v>
      </c>
      <c r="D26" s="49" t="s">
        <v>144</v>
      </c>
      <c r="E26" s="49" t="s">
        <v>140</v>
      </c>
      <c r="F26" s="50" t="s">
        <v>233</v>
      </c>
      <c r="G26" s="51">
        <v>1</v>
      </c>
      <c r="H26" s="50" t="s">
        <v>218</v>
      </c>
      <c r="I26" s="50" t="s">
        <v>234</v>
      </c>
      <c r="J26" s="50" t="s">
        <v>235</v>
      </c>
      <c r="K26" s="50" t="s">
        <v>237</v>
      </c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ht="115.5" x14ac:dyDescent="0.15">
      <c r="B27" s="47">
        <f>IF(F27&lt;&gt;"",SUBTOTAL(3,$F$5:F27),"")</f>
        <v>22</v>
      </c>
      <c r="C27" s="48">
        <v>44044</v>
      </c>
      <c r="D27" s="49" t="s">
        <v>144</v>
      </c>
      <c r="E27" s="49" t="s">
        <v>140</v>
      </c>
      <c r="F27" s="50" t="s">
        <v>231</v>
      </c>
      <c r="G27" s="51">
        <v>1</v>
      </c>
      <c r="H27" s="50" t="s">
        <v>218</v>
      </c>
      <c r="I27" s="50" t="s">
        <v>232</v>
      </c>
      <c r="J27" s="50" t="s">
        <v>244</v>
      </c>
      <c r="K27" s="50" t="s">
        <v>236</v>
      </c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ht="82.5" x14ac:dyDescent="0.15">
      <c r="B28" s="47">
        <f>IF(F28&lt;&gt;"",SUBTOTAL(3,$F$5:F28),"")</f>
        <v>23</v>
      </c>
      <c r="C28" s="48">
        <v>44038</v>
      </c>
      <c r="D28" s="49" t="s">
        <v>144</v>
      </c>
      <c r="E28" s="49" t="s">
        <v>140</v>
      </c>
      <c r="F28" s="50" t="s">
        <v>228</v>
      </c>
      <c r="G28" s="51">
        <v>1</v>
      </c>
      <c r="H28" s="50" t="s">
        <v>218</v>
      </c>
      <c r="I28" s="50" t="s">
        <v>229</v>
      </c>
      <c r="J28" s="50" t="s">
        <v>230</v>
      </c>
      <c r="K28" s="50" t="s">
        <v>245</v>
      </c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ht="99" x14ac:dyDescent="0.15">
      <c r="B29" s="47">
        <f>IF(F29&lt;&gt;"",SUBTOTAL(3,$F$5:F29),"")</f>
        <v>24</v>
      </c>
      <c r="C29" s="48">
        <v>44038</v>
      </c>
      <c r="D29" s="49" t="s">
        <v>144</v>
      </c>
      <c r="E29" s="49" t="s">
        <v>140</v>
      </c>
      <c r="F29" s="50" t="s">
        <v>221</v>
      </c>
      <c r="G29" s="51">
        <v>1</v>
      </c>
      <c r="H29" s="50" t="s">
        <v>218</v>
      </c>
      <c r="I29" s="50" t="s">
        <v>226</v>
      </c>
      <c r="J29" s="50" t="s">
        <v>224</v>
      </c>
      <c r="K29" s="50" t="s">
        <v>227</v>
      </c>
      <c r="L29" s="54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ht="49.5" x14ac:dyDescent="0.15">
      <c r="B30" s="47">
        <f>IF(F30&lt;&gt;"",SUBTOTAL(3,$F$5:F30),"")</f>
        <v>25</v>
      </c>
      <c r="C30" s="48">
        <v>43960</v>
      </c>
      <c r="D30" s="49" t="s">
        <v>144</v>
      </c>
      <c r="E30" s="49" t="s">
        <v>140</v>
      </c>
      <c r="F30" s="50" t="s">
        <v>169</v>
      </c>
      <c r="G30" s="51">
        <v>1</v>
      </c>
      <c r="H30" s="50" t="s">
        <v>218</v>
      </c>
      <c r="I30" s="50" t="s">
        <v>148</v>
      </c>
      <c r="J30" s="50" t="s">
        <v>147</v>
      </c>
      <c r="K30" s="50" t="s">
        <v>149</v>
      </c>
      <c r="L30" s="54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66" x14ac:dyDescent="0.15">
      <c r="B31" s="47">
        <f>IF(F31&lt;&gt;"",SUBTOTAL(3,$F$5:F31),"")</f>
        <v>26</v>
      </c>
      <c r="C31" s="48">
        <v>44036</v>
      </c>
      <c r="D31" s="49" t="s">
        <v>144</v>
      </c>
      <c r="E31" s="49" t="s">
        <v>140</v>
      </c>
      <c r="F31" s="50" t="s">
        <v>170</v>
      </c>
      <c r="G31" s="51">
        <v>0</v>
      </c>
      <c r="H31" s="50" t="s">
        <v>246</v>
      </c>
      <c r="I31" s="52" t="s">
        <v>218</v>
      </c>
      <c r="J31" s="50" t="s">
        <v>247</v>
      </c>
      <c r="K31" s="57" t="s">
        <v>225</v>
      </c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x14ac:dyDescent="0.15">
      <c r="B32" s="47">
        <f>IF(F32&lt;&gt;"",SUBTOTAL(3,$F$5:F32),"")</f>
        <v>27</v>
      </c>
      <c r="C32" s="48">
        <v>44013</v>
      </c>
      <c r="D32" s="49" t="s">
        <v>144</v>
      </c>
      <c r="E32" s="49" t="s">
        <v>140</v>
      </c>
      <c r="F32" s="50" t="s">
        <v>171</v>
      </c>
      <c r="G32" s="51"/>
      <c r="H32" s="50"/>
      <c r="I32" s="50"/>
      <c r="J32" s="50"/>
      <c r="K32" s="50"/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x14ac:dyDescent="0.15">
      <c r="B33" s="47">
        <f>IF(F33&lt;&gt;"",SUBTOTAL(3,$F$5:F33),"")</f>
        <v>28</v>
      </c>
      <c r="C33" s="48">
        <v>44010</v>
      </c>
      <c r="D33" s="49" t="s">
        <v>144</v>
      </c>
      <c r="E33" s="49" t="s">
        <v>140</v>
      </c>
      <c r="F33" s="50" t="s">
        <v>172</v>
      </c>
      <c r="G33" s="51"/>
      <c r="H33" s="50"/>
      <c r="I33" s="50"/>
      <c r="J33" s="50"/>
      <c r="K33" s="50"/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x14ac:dyDescent="0.15">
      <c r="B34" s="47">
        <f>IF(F34&lt;&gt;"",SUBTOTAL(3,$F$5:F34),"")</f>
        <v>29</v>
      </c>
      <c r="C34" s="48">
        <v>44010</v>
      </c>
      <c r="D34" s="49" t="s">
        <v>144</v>
      </c>
      <c r="E34" s="49" t="s">
        <v>140</v>
      </c>
      <c r="F34" s="50" t="s">
        <v>173</v>
      </c>
      <c r="G34" s="51"/>
      <c r="H34" s="50"/>
      <c r="I34" s="50"/>
      <c r="J34" s="50"/>
      <c r="K34" s="50"/>
      <c r="L34" s="50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x14ac:dyDescent="0.15">
      <c r="B35" s="47">
        <f>IF(F35&lt;&gt;"",SUBTOTAL(3,$F$5:F35),"")</f>
        <v>30</v>
      </c>
      <c r="C35" s="48">
        <v>44007</v>
      </c>
      <c r="D35" s="49" t="s">
        <v>144</v>
      </c>
      <c r="E35" s="49" t="s">
        <v>140</v>
      </c>
      <c r="F35" s="50" t="s">
        <v>174</v>
      </c>
      <c r="G35" s="51"/>
      <c r="H35" s="50"/>
      <c r="I35" s="50"/>
      <c r="J35" s="50"/>
      <c r="K35" s="50"/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x14ac:dyDescent="0.15">
      <c r="B36" s="47">
        <f>IF(F36&lt;&gt;"",SUBTOTAL(3,$F$5:F36),"")</f>
        <v>31</v>
      </c>
      <c r="C36" s="48">
        <v>44006</v>
      </c>
      <c r="D36" s="49" t="s">
        <v>144</v>
      </c>
      <c r="E36" s="49" t="s">
        <v>140</v>
      </c>
      <c r="F36" s="50" t="s">
        <v>175</v>
      </c>
      <c r="G36" s="51"/>
      <c r="H36" s="50"/>
      <c r="I36" s="50"/>
      <c r="J36" s="50"/>
      <c r="K36" s="50"/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x14ac:dyDescent="0.15">
      <c r="B37" s="47">
        <f>IF(F37&lt;&gt;"",SUBTOTAL(3,$F$5:F37),"")</f>
        <v>32</v>
      </c>
      <c r="C37" s="48">
        <v>44003</v>
      </c>
      <c r="D37" s="49" t="s">
        <v>144</v>
      </c>
      <c r="E37" s="49" t="s">
        <v>140</v>
      </c>
      <c r="F37" s="50" t="s">
        <v>176</v>
      </c>
      <c r="G37" s="51"/>
      <c r="H37" s="50"/>
      <c r="I37" s="50"/>
      <c r="J37" s="50"/>
      <c r="K37" s="50"/>
      <c r="L37" s="50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x14ac:dyDescent="0.15">
      <c r="B38" s="47">
        <f>IF(F38&lt;&gt;"",SUBTOTAL(3,$F$5:F38),"")</f>
        <v>33</v>
      </c>
      <c r="C38" s="48">
        <v>44000</v>
      </c>
      <c r="D38" s="49" t="s">
        <v>144</v>
      </c>
      <c r="E38" s="49" t="s">
        <v>140</v>
      </c>
      <c r="F38" s="50" t="s">
        <v>177</v>
      </c>
      <c r="G38" s="51"/>
      <c r="H38" s="50"/>
      <c r="I38" s="50"/>
      <c r="J38" s="50"/>
      <c r="K38" s="50"/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x14ac:dyDescent="0.15">
      <c r="B39" s="47">
        <f>IF(F39&lt;&gt;"",SUBTOTAL(3,$F$5:F39),"")</f>
        <v>34</v>
      </c>
      <c r="C39" s="48">
        <v>43996</v>
      </c>
      <c r="D39" s="49" t="s">
        <v>144</v>
      </c>
      <c r="E39" s="49" t="s">
        <v>140</v>
      </c>
      <c r="F39" s="50" t="s">
        <v>178</v>
      </c>
      <c r="G39" s="51"/>
      <c r="H39" s="50"/>
      <c r="I39" s="50"/>
      <c r="J39" s="50"/>
      <c r="K39" s="50"/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x14ac:dyDescent="0.15">
      <c r="B40" s="47">
        <f>IF(F40&lt;&gt;"",SUBTOTAL(3,$F$5:F40),"")</f>
        <v>35</v>
      </c>
      <c r="C40" s="48">
        <v>43996</v>
      </c>
      <c r="D40" s="49" t="s">
        <v>144</v>
      </c>
      <c r="E40" s="49" t="s">
        <v>140</v>
      </c>
      <c r="F40" s="50" t="s">
        <v>179</v>
      </c>
      <c r="G40" s="51"/>
      <c r="H40" s="50"/>
      <c r="I40" s="50"/>
      <c r="J40" s="50"/>
      <c r="K40" s="50"/>
      <c r="L40" s="50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x14ac:dyDescent="0.15">
      <c r="B41" s="47">
        <f>IF(F41&lt;&gt;"",SUBTOTAL(3,$F$5:F41),"")</f>
        <v>36</v>
      </c>
      <c r="C41" s="48">
        <v>43996</v>
      </c>
      <c r="D41" s="49" t="s">
        <v>144</v>
      </c>
      <c r="E41" s="49" t="s">
        <v>140</v>
      </c>
      <c r="F41" s="50" t="s">
        <v>180</v>
      </c>
      <c r="G41" s="51"/>
      <c r="H41" s="50"/>
      <c r="I41" s="50"/>
      <c r="J41" s="50"/>
      <c r="K41" s="50"/>
      <c r="L41" s="50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7">
        <f>IF(F42&lt;&gt;"",SUBTOTAL(3,$F$5:F42),"")</f>
        <v>37</v>
      </c>
      <c r="C42" s="48">
        <v>43995</v>
      </c>
      <c r="D42" s="49" t="s">
        <v>144</v>
      </c>
      <c r="E42" s="49" t="s">
        <v>140</v>
      </c>
      <c r="F42" s="50" t="s">
        <v>181</v>
      </c>
      <c r="G42" s="51"/>
      <c r="H42" s="50"/>
      <c r="I42" s="50"/>
      <c r="J42" s="50"/>
      <c r="K42" s="50"/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38</v>
      </c>
      <c r="C43" s="48">
        <v>43995</v>
      </c>
      <c r="D43" s="49" t="s">
        <v>144</v>
      </c>
      <c r="E43" s="49" t="s">
        <v>140</v>
      </c>
      <c r="F43" s="50" t="s">
        <v>182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39</v>
      </c>
      <c r="C44" s="48">
        <v>43982</v>
      </c>
      <c r="D44" s="49" t="s">
        <v>144</v>
      </c>
      <c r="E44" s="49" t="s">
        <v>140</v>
      </c>
      <c r="F44" s="58" t="s">
        <v>183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s="39" customFormat="1" ht="13.5" customHeight="1" x14ac:dyDescent="0.15">
      <c r="B45" s="59">
        <f>IF(F45&lt;&gt;"",SUBTOTAL(3,$F$5:F45),"")</f>
        <v>40</v>
      </c>
      <c r="C45" s="48">
        <v>43995</v>
      </c>
      <c r="D45" s="60" t="s">
        <v>144</v>
      </c>
      <c r="E45" s="60" t="s">
        <v>140</v>
      </c>
      <c r="F45" s="58" t="s">
        <v>184</v>
      </c>
      <c r="G45" s="51"/>
      <c r="H45" s="58"/>
      <c r="I45" s="58"/>
      <c r="J45" s="58"/>
      <c r="K45" s="58"/>
      <c r="L45" s="58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</row>
    <row r="46" spans="2:62" s="39" customFormat="1" ht="13.5" customHeight="1" x14ac:dyDescent="0.15">
      <c r="B46" s="59">
        <f>IF(F46&lt;&gt;"",SUBTOTAL(3,$F$5:F46),"")</f>
        <v>41</v>
      </c>
      <c r="C46" s="48">
        <v>43955</v>
      </c>
      <c r="D46" s="60" t="s">
        <v>144</v>
      </c>
      <c r="E46" s="60" t="s">
        <v>140</v>
      </c>
      <c r="F46" s="58" t="s">
        <v>185</v>
      </c>
      <c r="G46" s="51"/>
      <c r="H46" s="58"/>
      <c r="I46" s="58"/>
      <c r="J46" s="58"/>
      <c r="K46" s="58"/>
      <c r="L46" s="58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</row>
    <row r="47" spans="2:62" s="39" customFormat="1" ht="13.5" customHeight="1" x14ac:dyDescent="0.15">
      <c r="B47" s="59">
        <f>IF(F47&lt;&gt;"",SUBTOTAL(3,$F$5:F47),"")</f>
        <v>42</v>
      </c>
      <c r="C47" s="48">
        <v>43967</v>
      </c>
      <c r="D47" s="60" t="s">
        <v>144</v>
      </c>
      <c r="E47" s="60" t="s">
        <v>140</v>
      </c>
      <c r="F47" s="58" t="s">
        <v>186</v>
      </c>
      <c r="G47" s="51"/>
      <c r="H47" s="58"/>
      <c r="I47" s="58"/>
      <c r="J47" s="58"/>
      <c r="K47" s="58"/>
      <c r="L47" s="58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</row>
    <row r="48" spans="2:62" s="39" customFormat="1" ht="13.5" customHeight="1" x14ac:dyDescent="0.15">
      <c r="B48" s="59">
        <f>IF(F48&lt;&gt;"",SUBTOTAL(3,$F$5:F48),"")</f>
        <v>43</v>
      </c>
      <c r="C48" s="48">
        <v>43870</v>
      </c>
      <c r="D48" s="60" t="s">
        <v>144</v>
      </c>
      <c r="E48" s="60" t="s">
        <v>140</v>
      </c>
      <c r="F48" s="58" t="s">
        <v>187</v>
      </c>
      <c r="G48" s="51"/>
      <c r="H48" s="58"/>
      <c r="I48" s="58"/>
      <c r="J48" s="58"/>
      <c r="K48" s="58"/>
      <c r="L48" s="58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</row>
    <row r="49" spans="2:62" s="39" customFormat="1" x14ac:dyDescent="0.15">
      <c r="B49" s="59">
        <f>IF(F49&lt;&gt;"",SUBTOTAL(3,$F$5:F49),"")</f>
        <v>44</v>
      </c>
      <c r="C49" s="48">
        <v>43869</v>
      </c>
      <c r="D49" s="60" t="s">
        <v>144</v>
      </c>
      <c r="E49" s="60" t="s">
        <v>140</v>
      </c>
      <c r="F49" s="58" t="s">
        <v>188</v>
      </c>
      <c r="G49" s="51"/>
      <c r="H49" s="58"/>
      <c r="I49" s="58"/>
      <c r="J49" s="58"/>
      <c r="K49" s="58"/>
      <c r="L49" s="58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</row>
    <row r="50" spans="2:62" s="39" customFormat="1" ht="13.5" customHeight="1" x14ac:dyDescent="0.15">
      <c r="B50" s="59">
        <f>IF(F50&lt;&gt;"",SUBTOTAL(3,$F$5:F50),"")</f>
        <v>45</v>
      </c>
      <c r="C50" s="48">
        <v>43961</v>
      </c>
      <c r="D50" s="60" t="s">
        <v>144</v>
      </c>
      <c r="E50" s="60" t="s">
        <v>140</v>
      </c>
      <c r="F50" s="58" t="s">
        <v>94</v>
      </c>
      <c r="G50" s="51"/>
      <c r="H50" s="58"/>
      <c r="I50" s="58"/>
      <c r="J50" s="58"/>
      <c r="K50" s="58"/>
      <c r="L50" s="58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39" customFormat="1" ht="13.5" customHeight="1" x14ac:dyDescent="0.15">
      <c r="B51" s="59">
        <f>IF(F51&lt;&gt;"",SUBTOTAL(3,$F$5:F51),"")</f>
        <v>46</v>
      </c>
      <c r="C51" s="48">
        <v>43961</v>
      </c>
      <c r="D51" s="60" t="s">
        <v>144</v>
      </c>
      <c r="E51" s="60" t="s">
        <v>140</v>
      </c>
      <c r="F51" s="58" t="s">
        <v>189</v>
      </c>
      <c r="G51" s="51"/>
      <c r="H51" s="58"/>
      <c r="I51" s="58"/>
      <c r="J51" s="58"/>
      <c r="K51" s="58"/>
      <c r="L51" s="61" t="s">
        <v>17</v>
      </c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39" customFormat="1" ht="13.5" customHeight="1" x14ac:dyDescent="0.15">
      <c r="B52" s="59">
        <f>IF(F52&lt;&gt;"",SUBTOTAL(3,$F$5:F52),"")</f>
        <v>47</v>
      </c>
      <c r="C52" s="48">
        <v>43995</v>
      </c>
      <c r="D52" s="60" t="s">
        <v>144</v>
      </c>
      <c r="E52" s="60" t="s">
        <v>140</v>
      </c>
      <c r="F52" s="58" t="s">
        <v>190</v>
      </c>
      <c r="G52" s="51"/>
      <c r="H52" s="58"/>
      <c r="I52" s="58"/>
      <c r="J52" s="58"/>
      <c r="K52" s="58"/>
      <c r="L52" s="58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39" customFormat="1" ht="13.5" customHeight="1" x14ac:dyDescent="0.15">
      <c r="B53" s="59">
        <f>IF(F53&lt;&gt;"",SUBTOTAL(3,$F$5:F53),"")</f>
        <v>48</v>
      </c>
      <c r="C53" s="48">
        <v>43961</v>
      </c>
      <c r="D53" s="60" t="s">
        <v>144</v>
      </c>
      <c r="E53" s="60" t="s">
        <v>140</v>
      </c>
      <c r="F53" s="58" t="s">
        <v>191</v>
      </c>
      <c r="G53" s="51"/>
      <c r="H53" s="58"/>
      <c r="I53" s="58"/>
      <c r="J53" s="58"/>
      <c r="K53" s="58"/>
      <c r="L53" s="58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39" customFormat="1" ht="13.5" customHeight="1" x14ac:dyDescent="0.15">
      <c r="B54" s="59">
        <f>IF(F54&lt;&gt;"",SUBTOTAL(3,$F$5:F54),"")</f>
        <v>49</v>
      </c>
      <c r="C54" s="48">
        <v>43961</v>
      </c>
      <c r="D54" s="60" t="s">
        <v>144</v>
      </c>
      <c r="E54" s="60" t="s">
        <v>140</v>
      </c>
      <c r="F54" s="58" t="s">
        <v>192</v>
      </c>
      <c r="G54" s="51"/>
      <c r="H54" s="58"/>
      <c r="I54" s="58"/>
      <c r="J54" s="58"/>
      <c r="K54" s="58"/>
      <c r="L54" s="58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39" customFormat="1" ht="13.5" customHeight="1" x14ac:dyDescent="0.15">
      <c r="B55" s="59">
        <f>IF(F55&lt;&gt;"",SUBTOTAL(3,$F$5:F55),"")</f>
        <v>50</v>
      </c>
      <c r="C55" s="48">
        <v>43995</v>
      </c>
      <c r="D55" s="60" t="s">
        <v>144</v>
      </c>
      <c r="E55" s="60" t="s">
        <v>140</v>
      </c>
      <c r="F55" s="58" t="s">
        <v>193</v>
      </c>
      <c r="G55" s="51"/>
      <c r="H55" s="58"/>
      <c r="I55" s="58"/>
      <c r="J55" s="58"/>
      <c r="K55" s="58"/>
      <c r="L55" s="58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ht="13.5" customHeight="1" x14ac:dyDescent="0.15">
      <c r="B56" s="59">
        <f>IF(F56&lt;&gt;"",SUBTOTAL(3,$F$5:F56),"")</f>
        <v>51</v>
      </c>
      <c r="C56" s="48">
        <v>44006</v>
      </c>
      <c r="D56" s="60" t="s">
        <v>144</v>
      </c>
      <c r="E56" s="60" t="s">
        <v>140</v>
      </c>
      <c r="F56" s="58" t="s">
        <v>194</v>
      </c>
      <c r="G56" s="51"/>
      <c r="H56" s="58"/>
      <c r="I56" s="58"/>
      <c r="J56" s="58"/>
      <c r="K56" s="58"/>
      <c r="L56" s="61" t="s">
        <v>17</v>
      </c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3.5" customHeight="1" x14ac:dyDescent="0.15">
      <c r="B57" s="59">
        <f>IF(F57&lt;&gt;"",SUBTOTAL(3,$F$5:F57),"")</f>
        <v>52</v>
      </c>
      <c r="C57" s="48">
        <v>43995</v>
      </c>
      <c r="D57" s="60" t="s">
        <v>144</v>
      </c>
      <c r="E57" s="60" t="s">
        <v>140</v>
      </c>
      <c r="F57" s="58" t="s">
        <v>20</v>
      </c>
      <c r="G57" s="51"/>
      <c r="H57" s="58"/>
      <c r="I57" s="58"/>
      <c r="J57" s="58"/>
      <c r="K57" s="58"/>
      <c r="L57" s="61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59">
        <f>IF(F58&lt;&gt;"",SUBTOTAL(3,$F$5:F58),"")</f>
        <v>53</v>
      </c>
      <c r="C58" s="48">
        <v>43871</v>
      </c>
      <c r="D58" s="60" t="s">
        <v>144</v>
      </c>
      <c r="E58" s="60" t="s">
        <v>140</v>
      </c>
      <c r="F58" s="58" t="s">
        <v>195</v>
      </c>
      <c r="G58" s="51"/>
      <c r="H58" s="58"/>
      <c r="I58" s="58"/>
      <c r="J58" s="58"/>
      <c r="K58" s="58"/>
      <c r="L58" s="61" t="s">
        <v>17</v>
      </c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54</v>
      </c>
      <c r="C59" s="48">
        <v>43936</v>
      </c>
      <c r="D59" s="60" t="s">
        <v>144</v>
      </c>
      <c r="E59" s="60" t="s">
        <v>140</v>
      </c>
      <c r="F59" s="58" t="s">
        <v>196</v>
      </c>
      <c r="G59" s="51"/>
      <c r="H59" s="58"/>
      <c r="I59" s="58"/>
      <c r="J59" s="58"/>
      <c r="K59" s="58"/>
      <c r="L59" s="58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59">
        <f>IF(F60&lt;&gt;"",SUBTOTAL(3,$F$5:F60),"")</f>
        <v>55</v>
      </c>
      <c r="C60" s="48">
        <v>43935</v>
      </c>
      <c r="D60" s="60" t="s">
        <v>144</v>
      </c>
      <c r="E60" s="60" t="s">
        <v>140</v>
      </c>
      <c r="F60" s="58" t="s">
        <v>197</v>
      </c>
      <c r="G60" s="51"/>
      <c r="H60" s="58"/>
      <c r="I60" s="58"/>
      <c r="J60" s="58"/>
      <c r="K60" s="58"/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59">
        <f>IF(F61&lt;&gt;"",SUBTOTAL(3,$F$5:F61),"")</f>
        <v>56</v>
      </c>
      <c r="C61" s="48">
        <v>43919</v>
      </c>
      <c r="D61" s="60" t="s">
        <v>144</v>
      </c>
      <c r="E61" s="60" t="s">
        <v>140</v>
      </c>
      <c r="F61" s="58" t="s">
        <v>198</v>
      </c>
      <c r="G61" s="51"/>
      <c r="H61" s="58"/>
      <c r="I61" s="58"/>
      <c r="J61" s="58"/>
      <c r="K61" s="58"/>
      <c r="L61" s="58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57</v>
      </c>
      <c r="C62" s="48">
        <v>43995</v>
      </c>
      <c r="D62" s="60" t="s">
        <v>144</v>
      </c>
      <c r="E62" s="60" t="s">
        <v>140</v>
      </c>
      <c r="F62" s="58" t="s">
        <v>199</v>
      </c>
      <c r="G62" s="51"/>
      <c r="H62" s="58"/>
      <c r="I62" s="58"/>
      <c r="J62" s="58"/>
      <c r="K62" s="58"/>
      <c r="L62" s="58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58</v>
      </c>
      <c r="C63" s="48">
        <v>43975</v>
      </c>
      <c r="D63" s="60" t="s">
        <v>144</v>
      </c>
      <c r="E63" s="60" t="s">
        <v>140</v>
      </c>
      <c r="F63" s="58" t="s">
        <v>200</v>
      </c>
      <c r="G63" s="51"/>
      <c r="H63" s="58"/>
      <c r="I63" s="58"/>
      <c r="J63" s="58"/>
      <c r="K63" s="58"/>
      <c r="L63" s="58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59</v>
      </c>
      <c r="C64" s="48">
        <v>43975</v>
      </c>
      <c r="D64" s="60" t="s">
        <v>144</v>
      </c>
      <c r="E64" s="60" t="s">
        <v>140</v>
      </c>
      <c r="F64" s="58" t="s">
        <v>201</v>
      </c>
      <c r="G64" s="51"/>
      <c r="H64" s="58"/>
      <c r="I64" s="58"/>
      <c r="J64" s="58"/>
      <c r="K64" s="58"/>
      <c r="L64" s="58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60</v>
      </c>
      <c r="C65" s="48">
        <v>43975</v>
      </c>
      <c r="D65" s="60" t="s">
        <v>144</v>
      </c>
      <c r="E65" s="60" t="s">
        <v>140</v>
      </c>
      <c r="F65" s="58" t="s">
        <v>202</v>
      </c>
      <c r="G65" s="51"/>
      <c r="H65" s="58"/>
      <c r="I65" s="58"/>
      <c r="J65" s="58"/>
      <c r="K65" s="58"/>
      <c r="L65" s="58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61</v>
      </c>
      <c r="C66" s="48">
        <v>43975</v>
      </c>
      <c r="D66" s="60" t="s">
        <v>144</v>
      </c>
      <c r="E66" s="60" t="s">
        <v>140</v>
      </c>
      <c r="F66" s="58" t="s">
        <v>203</v>
      </c>
      <c r="G66" s="51"/>
      <c r="H66" s="58"/>
      <c r="I66" s="58"/>
      <c r="J66" s="58"/>
      <c r="K66" s="58"/>
      <c r="L66" s="58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62</v>
      </c>
      <c r="C67" s="48">
        <v>43977</v>
      </c>
      <c r="D67" s="60" t="s">
        <v>144</v>
      </c>
      <c r="E67" s="60" t="s">
        <v>140</v>
      </c>
      <c r="F67" s="58" t="s">
        <v>204</v>
      </c>
      <c r="G67" s="51"/>
      <c r="H67" s="58"/>
      <c r="I67" s="58"/>
      <c r="J67" s="58"/>
      <c r="K67" s="58"/>
      <c r="L67" s="58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63</v>
      </c>
      <c r="C68" s="48">
        <v>43977</v>
      </c>
      <c r="D68" s="60" t="s">
        <v>144</v>
      </c>
      <c r="E68" s="60" t="s">
        <v>140</v>
      </c>
      <c r="F68" s="58" t="s">
        <v>205</v>
      </c>
      <c r="G68" s="51"/>
      <c r="H68" s="58"/>
      <c r="I68" s="58"/>
      <c r="J68" s="58"/>
      <c r="K68" s="58"/>
      <c r="L68" s="58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64</v>
      </c>
      <c r="C69" s="48">
        <v>43977</v>
      </c>
      <c r="D69" s="60" t="s">
        <v>144</v>
      </c>
      <c r="E69" s="60" t="s">
        <v>140</v>
      </c>
      <c r="F69" s="58" t="s">
        <v>206</v>
      </c>
      <c r="G69" s="51"/>
      <c r="H69" s="58"/>
      <c r="I69" s="58"/>
      <c r="J69" s="58"/>
      <c r="K69" s="58"/>
      <c r="L69" s="58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65</v>
      </c>
      <c r="C70" s="48">
        <v>43995</v>
      </c>
      <c r="D70" s="60" t="s">
        <v>144</v>
      </c>
      <c r="E70" s="60" t="s">
        <v>140</v>
      </c>
      <c r="F70" s="58" t="s">
        <v>207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66</v>
      </c>
      <c r="C71" s="48">
        <v>43982</v>
      </c>
      <c r="D71" s="60" t="s">
        <v>144</v>
      </c>
      <c r="E71" s="60" t="s">
        <v>140</v>
      </c>
      <c r="F71" s="58" t="s">
        <v>208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67</v>
      </c>
      <c r="C72" s="48">
        <v>43989</v>
      </c>
      <c r="D72" s="60" t="s">
        <v>144</v>
      </c>
      <c r="E72" s="60" t="s">
        <v>140</v>
      </c>
      <c r="F72" s="58" t="s">
        <v>209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68</v>
      </c>
      <c r="C73" s="48">
        <v>43989</v>
      </c>
      <c r="D73" s="60" t="s">
        <v>144</v>
      </c>
      <c r="E73" s="60" t="s">
        <v>140</v>
      </c>
      <c r="F73" s="58" t="s">
        <v>210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69</v>
      </c>
      <c r="C74" s="48">
        <v>43991</v>
      </c>
      <c r="D74" s="60" t="s">
        <v>144</v>
      </c>
      <c r="E74" s="60" t="s">
        <v>140</v>
      </c>
      <c r="F74" s="58" t="s">
        <v>211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70</v>
      </c>
      <c r="C75" s="48">
        <v>43991</v>
      </c>
      <c r="D75" s="60" t="s">
        <v>144</v>
      </c>
      <c r="E75" s="60" t="s">
        <v>140</v>
      </c>
      <c r="F75" s="58" t="s">
        <v>212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71</v>
      </c>
      <c r="C76" s="48">
        <v>43992</v>
      </c>
      <c r="D76" s="60" t="s">
        <v>144</v>
      </c>
      <c r="E76" s="60" t="s">
        <v>140</v>
      </c>
      <c r="F76" s="58" t="s">
        <v>213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72</v>
      </c>
      <c r="C77" s="48">
        <v>43994</v>
      </c>
      <c r="D77" s="60" t="s">
        <v>144</v>
      </c>
      <c r="E77" s="60" t="s">
        <v>140</v>
      </c>
      <c r="F77" s="58" t="s">
        <v>214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73</v>
      </c>
      <c r="C78" s="48">
        <v>43995</v>
      </c>
      <c r="D78" s="60" t="s">
        <v>144</v>
      </c>
      <c r="E78" s="60" t="s">
        <v>140</v>
      </c>
      <c r="F78" s="58" t="s">
        <v>215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74</v>
      </c>
      <c r="C79" s="48">
        <v>43997</v>
      </c>
      <c r="D79" s="60" t="s">
        <v>144</v>
      </c>
      <c r="E79" s="60" t="s">
        <v>140</v>
      </c>
      <c r="F79" s="58" t="s">
        <v>216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75</v>
      </c>
      <c r="C80" s="48">
        <v>44004</v>
      </c>
      <c r="D80" s="60" t="s">
        <v>144</v>
      </c>
      <c r="E80" s="60" t="s">
        <v>140</v>
      </c>
      <c r="F80" s="58" t="s">
        <v>217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50" x14ac:dyDescent="0.15">
      <c r="B81" s="59">
        <f>IF(F81&lt;&gt;"",SUBTOTAL(3,$F$5:F81),"")</f>
        <v>76</v>
      </c>
      <c r="C81" s="48">
        <v>44030</v>
      </c>
      <c r="D81" s="60" t="s">
        <v>144</v>
      </c>
      <c r="E81" s="60" t="s">
        <v>150</v>
      </c>
      <c r="F81" s="60" t="s">
        <v>220</v>
      </c>
      <c r="G81" s="51">
        <v>1</v>
      </c>
      <c r="H81" s="58" t="s">
        <v>219</v>
      </c>
      <c r="I81" s="58" t="s">
        <v>248</v>
      </c>
      <c r="J81" s="58" t="s">
        <v>222</v>
      </c>
      <c r="K81" s="58" t="s">
        <v>223</v>
      </c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66" x14ac:dyDescent="0.15">
      <c r="B82" s="59">
        <f>IF(F82&lt;&gt;"",SUBTOTAL(3,$F$5:F82),"")</f>
        <v>77</v>
      </c>
      <c r="C82" s="48">
        <v>44052</v>
      </c>
      <c r="D82" s="60" t="s">
        <v>144</v>
      </c>
      <c r="E82" s="60" t="s">
        <v>150</v>
      </c>
      <c r="F82" s="60" t="s">
        <v>243</v>
      </c>
      <c r="G82" s="51">
        <v>0.5</v>
      </c>
      <c r="H82" s="58" t="s">
        <v>251</v>
      </c>
      <c r="I82" s="58" t="s">
        <v>252</v>
      </c>
      <c r="J82" s="58" t="s">
        <v>249</v>
      </c>
      <c r="K82" s="58" t="s">
        <v>250</v>
      </c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 t="str">
        <f>IF(F83&lt;&gt;"",SUBTOTAL(3,$F$5:F83),"")</f>
        <v/>
      </c>
      <c r="C83" s="48"/>
      <c r="D83" s="60"/>
      <c r="E83" s="60"/>
      <c r="F83" s="60"/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 t="str">
        <f>IF(F84&lt;&gt;"",SUBTOTAL(3,$F$5:F84),"")</f>
        <v/>
      </c>
      <c r="C84" s="48"/>
      <c r="D84" s="60"/>
      <c r="E84" s="60"/>
      <c r="F84" s="60"/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 t="str">
        <f>IF(F85&lt;&gt;"",SUBTOTAL(3,$F$5:F85),"")</f>
        <v/>
      </c>
      <c r="C85" s="48"/>
      <c r="D85" s="60"/>
      <c r="E85" s="60"/>
      <c r="F85" s="60"/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3.5" customHeight="1" x14ac:dyDescent="0.15">
      <c r="B86" s="59" t="str">
        <f>IF(F86&lt;&gt;"",SUBTOTAL(3,$F$5:F86),"")</f>
        <v/>
      </c>
      <c r="C86" s="48"/>
      <c r="D86" s="60"/>
      <c r="E86" s="60"/>
      <c r="F86" s="60"/>
      <c r="G86" s="51"/>
      <c r="H86" s="58"/>
      <c r="I86" s="58"/>
      <c r="J86" s="58"/>
      <c r="K86" s="58"/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13.5" customHeight="1" x14ac:dyDescent="0.15">
      <c r="B87" s="59" t="str">
        <f>IF(F87&lt;&gt;"",SUBTOTAL(3,$F$5:F87),"")</f>
        <v/>
      </c>
      <c r="C87" s="48"/>
      <c r="D87" s="60"/>
      <c r="E87" s="60"/>
      <c r="F87" s="60"/>
      <c r="G87" s="51"/>
      <c r="H87" s="58"/>
      <c r="I87" s="58"/>
      <c r="J87" s="58"/>
      <c r="K87" s="58"/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 t="str">
        <f>IF(F88&lt;&gt;"",SUBTOTAL(3,$F$5:F88),"")</f>
        <v/>
      </c>
      <c r="C88" s="48"/>
      <c r="D88" s="60"/>
      <c r="E88" s="60"/>
      <c r="F88" s="60"/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ht="13.5" customHeight="1" x14ac:dyDescent="0.15">
      <c r="B89" s="47" t="str">
        <f>IF(F89&lt;&gt;"",SUBTOTAL(3,$F$5:F89),"")</f>
        <v/>
      </c>
      <c r="C89" s="48"/>
      <c r="D89" s="49"/>
      <c r="E89" s="49"/>
      <c r="F89" s="49"/>
      <c r="G89" s="51"/>
      <c r="H89" s="50"/>
      <c r="I89" s="50"/>
      <c r="J89" s="50"/>
      <c r="K89" s="50"/>
      <c r="L89" s="50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3"/>
      <c r="AW89" s="53"/>
      <c r="AX89" s="53"/>
      <c r="AY89" s="53"/>
      <c r="AZ89" s="53"/>
      <c r="BA89" s="53"/>
      <c r="BB89" s="53"/>
      <c r="BC89" s="53"/>
      <c r="BD89" s="53"/>
      <c r="BE89" s="53"/>
      <c r="BF89" s="53"/>
      <c r="BG89" s="53"/>
      <c r="BH89" s="53"/>
      <c r="BI89" s="53"/>
      <c r="BJ89" s="53"/>
    </row>
    <row r="90" spans="2:62" ht="13.5" customHeight="1" x14ac:dyDescent="0.15">
      <c r="B90" s="47" t="str">
        <f>IF(F90&lt;&gt;"",SUBTOTAL(3,$F$5:F90),"")</f>
        <v/>
      </c>
      <c r="C90" s="48"/>
      <c r="D90" s="49"/>
      <c r="E90" s="49"/>
      <c r="F90" s="49"/>
      <c r="G90" s="51"/>
      <c r="H90" s="50"/>
      <c r="I90" s="50"/>
      <c r="J90" s="50"/>
      <c r="K90" s="50"/>
      <c r="L90" s="50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3"/>
      <c r="AW90" s="53"/>
      <c r="AX90" s="53"/>
      <c r="AY90" s="53"/>
      <c r="AZ90" s="53"/>
      <c r="BA90" s="53"/>
      <c r="BB90" s="53"/>
      <c r="BC90" s="53"/>
      <c r="BD90" s="53"/>
      <c r="BE90" s="53"/>
      <c r="BF90" s="53"/>
      <c r="BG90" s="53"/>
      <c r="BH90" s="53"/>
      <c r="BI90" s="53"/>
      <c r="BJ90" s="53"/>
    </row>
    <row r="91" spans="2:62" x14ac:dyDescent="0.15">
      <c r="B91" s="47" t="str">
        <f>IF(F91&lt;&gt;"",SUBTOTAL(3,$F$5:F91),"")</f>
        <v/>
      </c>
      <c r="C91" s="48"/>
      <c r="D91" s="49"/>
      <c r="E91" s="49"/>
      <c r="F91" s="49"/>
      <c r="G91" s="51"/>
      <c r="H91" s="50"/>
      <c r="I91" s="50"/>
      <c r="J91" s="50"/>
      <c r="K91" s="50"/>
      <c r="L91" s="50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  <c r="AX91" s="53"/>
      <c r="AY91" s="53"/>
      <c r="AZ91" s="53"/>
      <c r="BA91" s="53"/>
      <c r="BB91" s="53"/>
      <c r="BC91" s="53"/>
      <c r="BD91" s="53"/>
      <c r="BE91" s="53"/>
      <c r="BF91" s="53"/>
      <c r="BG91" s="53"/>
      <c r="BH91" s="53"/>
      <c r="BI91" s="53"/>
      <c r="BJ91" s="53"/>
    </row>
    <row r="92" spans="2:62" x14ac:dyDescent="0.15">
      <c r="B92" s="47" t="str">
        <f>IF(F92&lt;&gt;"",SUBTOTAL(3,$F$5:F92),"")</f>
        <v/>
      </c>
      <c r="C92" s="48"/>
      <c r="D92" s="49"/>
      <c r="E92" s="49"/>
      <c r="F92" s="49"/>
      <c r="G92" s="51"/>
      <c r="H92" s="50"/>
      <c r="I92" s="50"/>
      <c r="J92" s="50"/>
      <c r="K92" s="50"/>
      <c r="L92" s="50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  <c r="AX92" s="53"/>
      <c r="AY92" s="53"/>
      <c r="AZ92" s="53"/>
      <c r="BA92" s="53"/>
      <c r="BB92" s="53"/>
      <c r="BC92" s="53"/>
      <c r="BD92" s="53"/>
      <c r="BE92" s="53"/>
      <c r="BF92" s="53"/>
      <c r="BG92" s="53"/>
      <c r="BH92" s="53"/>
      <c r="BI92" s="53"/>
      <c r="BJ92" s="53"/>
    </row>
    <row r="93" spans="2:62" x14ac:dyDescent="0.15">
      <c r="B93" s="47" t="str">
        <f>IF(F93&lt;&gt;"",SUBTOTAL(3,$F$5:F93),"")</f>
        <v/>
      </c>
      <c r="C93" s="48"/>
      <c r="D93" s="49"/>
      <c r="E93" s="49"/>
      <c r="F93" s="49"/>
      <c r="G93" s="51"/>
      <c r="H93" s="50"/>
      <c r="I93" s="50"/>
      <c r="J93" s="50"/>
      <c r="K93" s="50"/>
      <c r="L93" s="50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/>
      <c r="BA93" s="53"/>
      <c r="BB93" s="53"/>
      <c r="BC93" s="53"/>
      <c r="BD93" s="53"/>
      <c r="BE93" s="53"/>
      <c r="BF93" s="53"/>
      <c r="BG93" s="53"/>
      <c r="BH93" s="53"/>
      <c r="BI93" s="53"/>
      <c r="BJ93" s="53"/>
    </row>
    <row r="94" spans="2:62" x14ac:dyDescent="0.15">
      <c r="B94" s="47" t="str">
        <f>IF(F94&lt;&gt;"",SUBTOTAL(3,$F$5:F94),"")</f>
        <v/>
      </c>
      <c r="C94" s="48"/>
      <c r="D94" s="49"/>
      <c r="E94" s="49"/>
      <c r="F94" s="49"/>
      <c r="G94" s="51"/>
      <c r="H94" s="50"/>
      <c r="I94" s="50"/>
      <c r="J94" s="50"/>
      <c r="K94" s="50"/>
      <c r="L94" s="50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</row>
    <row r="95" spans="2:62" x14ac:dyDescent="0.15">
      <c r="B95" s="47" t="str">
        <f>IF(F95&lt;&gt;"",SUBTOTAL(3,$F$5:F95),"")</f>
        <v/>
      </c>
      <c r="C95" s="48"/>
      <c r="D95" s="49"/>
      <c r="E95" s="49"/>
      <c r="F95" s="49"/>
      <c r="G95" s="51"/>
      <c r="H95" s="50"/>
      <c r="I95" s="50"/>
      <c r="J95" s="50"/>
      <c r="K95" s="50"/>
      <c r="L95" s="50"/>
      <c r="R95" s="53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5"/>
      <c r="AR95" s="55"/>
      <c r="AS95" s="55"/>
      <c r="AT95" s="55"/>
      <c r="AU95" s="55"/>
      <c r="AV95" s="55"/>
      <c r="AW95" s="55"/>
      <c r="AX95" s="55"/>
      <c r="AY95" s="55"/>
      <c r="AZ95" s="55"/>
      <c r="BA95" s="53"/>
      <c r="BB95" s="53"/>
      <c r="BC95" s="53"/>
      <c r="BD95" s="53"/>
      <c r="BE95" s="53"/>
      <c r="BF95" s="53"/>
      <c r="BG95" s="53"/>
      <c r="BH95" s="53"/>
      <c r="BI95" s="53"/>
      <c r="BJ95" s="53"/>
    </row>
    <row r="96" spans="2:62" x14ac:dyDescent="0.15">
      <c r="B96" s="47" t="str">
        <f>IF(F96&lt;&gt;"",SUBTOTAL(3,$F$5:F96),"")</f>
        <v/>
      </c>
      <c r="C96" s="48"/>
      <c r="D96" s="49"/>
      <c r="E96" s="49"/>
      <c r="F96" s="49"/>
      <c r="G96" s="51"/>
      <c r="H96" s="50"/>
      <c r="I96" s="50"/>
      <c r="J96" s="50"/>
      <c r="K96" s="50"/>
      <c r="L96" s="50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</row>
    <row r="97" spans="2:62" x14ac:dyDescent="0.15">
      <c r="B97" s="47" t="str">
        <f>IF(F97&lt;&gt;"",SUBTOTAL(3,$F$5:F97),"")</f>
        <v/>
      </c>
      <c r="C97" s="48"/>
      <c r="D97" s="49"/>
      <c r="E97" s="49"/>
      <c r="F97" s="49"/>
      <c r="G97" s="51"/>
      <c r="H97" s="50"/>
      <c r="I97" s="50"/>
      <c r="J97" s="50"/>
      <c r="K97" s="50"/>
      <c r="L97" s="50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</row>
    <row r="98" spans="2:62" x14ac:dyDescent="0.15">
      <c r="B98" s="47" t="str">
        <f>IF(F98&lt;&gt;"",SUBTOTAL(3,$F$5:F98),"")</f>
        <v/>
      </c>
      <c r="C98" s="48"/>
      <c r="D98" s="49"/>
      <c r="E98" s="49"/>
      <c r="F98" s="49"/>
      <c r="G98" s="51"/>
      <c r="H98" s="50"/>
      <c r="I98" s="50"/>
      <c r="J98" s="50"/>
      <c r="K98" s="50"/>
      <c r="L98" s="50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</row>
    <row r="99" spans="2:62" x14ac:dyDescent="0.15">
      <c r="B99" s="47" t="str">
        <f>IF(F99&lt;&gt;"",SUBTOTAL(3,$F$5:F99),"")</f>
        <v/>
      </c>
      <c r="C99" s="48"/>
      <c r="D99" s="49"/>
      <c r="E99" s="49"/>
      <c r="F99" s="49"/>
      <c r="G99" s="51"/>
      <c r="H99" s="50"/>
      <c r="I99" s="50"/>
      <c r="J99" s="50"/>
      <c r="K99" s="50"/>
      <c r="L99" s="50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5"/>
      <c r="AR133" s="55"/>
      <c r="AS133" s="55"/>
      <c r="AT133" s="55"/>
      <c r="AU133" s="55"/>
      <c r="AV133" s="55"/>
      <c r="AW133" s="55"/>
      <c r="AX133" s="55"/>
      <c r="AY133" s="55"/>
      <c r="AZ133" s="55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</row>
    <row r="886" spans="2:62" s="52" customFormat="1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</row>
    <row r="887" spans="2:62" s="52" customFormat="1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</row>
    <row r="888" spans="2:62" s="52" customFormat="1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</row>
    <row r="889" spans="2:62" s="52" customFormat="1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</row>
    <row r="890" spans="2:62" s="52" customFormat="1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</row>
    <row r="891" spans="2:62" s="52" customFormat="1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</row>
    <row r="892" spans="2:62" s="52" customFormat="1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</row>
    <row r="893" spans="2:62" s="52" customFormat="1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</row>
    <row r="894" spans="2:62" s="52" customFormat="1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</row>
    <row r="895" spans="2:62" s="52" customFormat="1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</row>
    <row r="896" spans="2:62" s="52" customFormat="1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62" t="str">
        <f>IF(F2030&lt;&gt;"",SUBTOTAL(3,$F$5:F2030),"")</f>
        <v/>
      </c>
      <c r="C2030" s="63"/>
      <c r="D2030" s="64"/>
      <c r="E2030" s="64"/>
      <c r="F2030" s="64"/>
      <c r="G2030" s="65"/>
      <c r="H2030" s="66"/>
      <c r="I2030" s="66"/>
      <c r="J2030" s="66"/>
      <c r="K2030" s="66"/>
      <c r="L2030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29:L2030">
    <cfRule type="expression" dxfId="5" priority="6">
      <formula>AND($G5&lt;&gt;1,$G5&lt;&gt;"")</formula>
    </cfRule>
  </conditionalFormatting>
  <conditionalFormatting sqref="B28:L28">
    <cfRule type="expression" dxfId="4" priority="5">
      <formula>AND($G28&lt;&gt;1,$G28&lt;&gt;"")</formula>
    </cfRule>
  </conditionalFormatting>
  <conditionalFormatting sqref="B27:L27">
    <cfRule type="expression" dxfId="3" priority="4">
      <formula>AND($G27&lt;&gt;1,$G27&lt;&gt;"")</formula>
    </cfRule>
  </conditionalFormatting>
  <conditionalFormatting sqref="B26:L26">
    <cfRule type="expression" dxfId="2" priority="3">
      <formula>AND($G26&lt;&gt;1,$G26&lt;&gt;"")</formula>
    </cfRule>
  </conditionalFormatting>
  <conditionalFormatting sqref="B24:L24">
    <cfRule type="expression" dxfId="1" priority="2">
      <formula>AND($G24&lt;&gt;1,$G24&lt;&gt;"")</formula>
    </cfRule>
  </conditionalFormatting>
  <conditionalFormatting sqref="B25:L25">
    <cfRule type="expression" dxfId="0" priority="1">
      <formula>AND($G25&lt;&gt;1,$G25&lt;&gt;"")</formula>
    </cfRule>
  </conditionalFormatting>
  <dataValidations count="1">
    <dataValidation type="list" allowBlank="1" showInputMessage="1" showErrorMessage="1" sqref="G5:G2030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51" location="toABC143_C_Slimes" display="(→)" xr:uid="{D0A14FDC-339D-483C-A7FB-42784F1DB2F9}"/>
    <hyperlink ref="L56" location="toABC147_C_Honest_or_Unkind2" display="(→)" xr:uid="{5E89EE6B-F278-4D19-9890-D06616736879}"/>
    <hyperlink ref="L58" location="toABC149_C_NextPrime" display="(→)" xr:uid="{B7EC79F3-9ECE-482D-BD97-C57882E1060F}"/>
    <hyperlink ref="I25" r:id="rId1" xr:uid="{5BD5F2DC-6B88-438C-91ED-FFFD22D22613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2020-08-09T13:34:45Z</dcterms:modified>
</cp:coreProperties>
</file>
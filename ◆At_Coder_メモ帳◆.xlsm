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45798159-8A3B-42C9-8D20-63DD37812F9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At_Coder_C問題!$B$5:$CB$387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7" i="3" l="1"/>
  <c r="B218" i="3"/>
  <c r="B219" i="3"/>
  <c r="B222" i="3"/>
  <c r="B226" i="3"/>
  <c r="B221" i="3"/>
  <c r="B223" i="3"/>
  <c r="B224" i="3"/>
  <c r="B225" i="3"/>
  <c r="B227" i="3"/>
  <c r="B228" i="3" l="1"/>
  <c r="B229" i="3"/>
  <c r="B230" i="3"/>
  <c r="B259" i="3" l="1"/>
  <c r="B260" i="3"/>
  <c r="B261" i="3"/>
  <c r="B262" i="3"/>
  <c r="B277" i="3"/>
  <c r="B1" i="3"/>
  <c r="B278" i="3"/>
  <c r="B279" i="3"/>
  <c r="B293" i="3"/>
  <c r="B286" i="3"/>
  <c r="B288" i="3"/>
  <c r="B289" i="3"/>
  <c r="B294" i="3"/>
  <c r="B290" i="3"/>
  <c r="B291" i="3"/>
  <c r="B292" i="3"/>
  <c r="B287" i="3"/>
  <c r="B295" i="3"/>
  <c r="B284" i="3" l="1"/>
  <c r="B285" i="3"/>
  <c r="B296" i="3"/>
  <c r="B318" i="3"/>
  <c r="B316" i="3"/>
  <c r="B317" i="3"/>
  <c r="B315" i="3"/>
  <c r="B319" i="3"/>
  <c r="B321" i="3" l="1"/>
  <c r="B10" i="3" l="1"/>
  <c r="B9" i="3"/>
  <c r="B11" i="3"/>
  <c r="B239" i="3"/>
  <c r="B196" i="3"/>
  <c r="B197" i="3"/>
  <c r="B192" i="3"/>
  <c r="B193" i="3"/>
  <c r="B185" i="3" l="1"/>
  <c r="B184" i="3"/>
  <c r="B186" i="3"/>
  <c r="B164" i="3" l="1"/>
  <c r="B165" i="3"/>
  <c r="B163" i="3"/>
  <c r="B162" i="3"/>
  <c r="B265" i="3" l="1"/>
  <c r="B264" i="3"/>
  <c r="B266" i="3"/>
  <c r="B257" i="3"/>
  <c r="B254" i="3"/>
  <c r="B255" i="3"/>
  <c r="B256" i="3"/>
  <c r="B250" i="3" l="1"/>
  <c r="B251" i="3"/>
  <c r="B252" i="3"/>
  <c r="B249" i="3"/>
  <c r="B247" i="3" l="1"/>
  <c r="B245" i="3" l="1"/>
  <c r="B242" i="3"/>
  <c r="B241" i="3"/>
  <c r="B243" i="3" l="1"/>
  <c r="B160" i="3" l="1"/>
  <c r="B158" i="3"/>
  <c r="B159" i="3"/>
  <c r="B237" i="3" l="1"/>
  <c r="B235" i="3" l="1"/>
  <c r="B233" i="3"/>
  <c r="B232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307" i="3"/>
  <c r="B308" i="3"/>
  <c r="B306" i="3"/>
  <c r="B309" i="3"/>
  <c r="B23" i="3" l="1"/>
  <c r="B16" i="3"/>
  <c r="B7" i="3" l="1"/>
  <c r="B65" i="3" l="1"/>
  <c r="B66" i="3"/>
  <c r="B355" i="3" l="1"/>
  <c r="B354" i="3"/>
  <c r="B353" i="3"/>
  <c r="B352" i="3"/>
  <c r="B349" i="3"/>
  <c r="B347" i="3"/>
  <c r="B346" i="3"/>
  <c r="B345" i="3"/>
  <c r="B344" i="3"/>
  <c r="B343" i="3"/>
  <c r="B342" i="3"/>
  <c r="B350" i="3"/>
  <c r="B348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13" i="3"/>
  <c r="B312" i="3"/>
  <c r="B311" i="3"/>
  <c r="B310" i="3"/>
  <c r="B304" i="3"/>
  <c r="B303" i="3"/>
  <c r="B302" i="3"/>
  <c r="B301" i="3"/>
  <c r="B300" i="3"/>
  <c r="B299" i="3"/>
  <c r="B298" i="3"/>
  <c r="B282" i="3"/>
  <c r="B281" i="3"/>
  <c r="J274" i="3"/>
  <c r="B274" i="3"/>
  <c r="B273" i="3"/>
  <c r="B272" i="3"/>
  <c r="B271" i="3"/>
  <c r="B270" i="3"/>
  <c r="B269" i="3"/>
  <c r="B268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75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87" i="3" l="1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1" i="3"/>
  <c r="B322" i="3"/>
  <c r="B320" i="3"/>
  <c r="B314" i="3"/>
  <c r="B305" i="3"/>
  <c r="B297" i="3"/>
  <c r="B283" i="3"/>
  <c r="B280" i="3"/>
  <c r="B276" i="3"/>
  <c r="B267" i="3"/>
  <c r="B263" i="3"/>
  <c r="B258" i="3"/>
  <c r="B253" i="3"/>
  <c r="B248" i="3"/>
  <c r="B246" i="3"/>
  <c r="B244" i="3"/>
  <c r="B240" i="3"/>
  <c r="B238" i="3"/>
  <c r="B236" i="3"/>
  <c r="B234" i="3"/>
  <c r="B231" i="3"/>
  <c r="B220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<sst xmlns="http://schemas.openxmlformats.org/spreadsheetml/2006/main" count="803" uniqueCount="505">
  <si>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</si>
  <si>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</si>
  <si>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</si>
  <si>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</si>
  <si>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</si>
  <si>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</si>
  <si>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</si>
  <si>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</si>
  <si>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</si>
  <si>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</si>
  <si>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</si>
  <si>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</si>
  <si>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</si>
  <si>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</si>
  <si>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</si>
  <si>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</si>
  <si>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</si>
  <si>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</si>
  <si>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</si>
  <si>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</si>
  <si>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</si>
  <si>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</si>
  <si>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</si>
  <si>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</si>
  <si>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</si>
  <si>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</si>
  <si>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</si>
  <si>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</si>
  <si>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</si>
  <si>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</si>
  <si>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</si>
  <si>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</si>
  <si>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</si>
  <si>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</si>
  <si>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</si>
  <si>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</si>
  <si>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</si>
  <si>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</si>
  <si>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</si>
  <si>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</si>
  <si>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</si>
  <si>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</si>
  <si>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</si>
  <si>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</si>
  <si>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</si>
  <si>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</si>
  <si>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</si>
  <si>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</si>
  <si>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</si>
  <si>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</si>
  <si>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</si>
  <si>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</si>
  <si>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</si>
  <si>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</si>
  <si>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</si>
  <si>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</si>
  <si>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</si>
  <si>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</si>
  <si>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</si>
  <si>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</si>
  <si>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</si>
  <si>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</si>
  <si>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</si>
  <si>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</si>
  <si>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</si>
  <si>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</si>
  <si>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</si>
  <si>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</si>
  <si>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</si>
  <si>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</si>
  <si>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</si>
  <si>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</si>
  <si>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</si>
  <si>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</si>
  <si>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</si>
  <si>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</si>
  <si>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</si>
  <si>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</si>
  <si>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</si>
  <si>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</si>
  <si>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</si>
  <si>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</si>
  <si>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</si>
  <si>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</si>
  <si>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</si>
  <si>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</si>
  <si>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</si>
  <si>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</si>
  <si>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</si>
  <si>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</si>
  <si>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</si>
  <si>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</si>
  <si>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</si>
  <si>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</si>
  <si>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</si>
  <si>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</si>
  <si>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</si>
  <si>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</si>
  <si>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</si>
  <si>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</si>
  <si>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</si>
  <si>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</si>
  <si>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</si>
  <si>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</si>
  <si>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</si>
  <si>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</si>
  <si>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</si>
  <si>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</si>
  <si>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</si>
  <si>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</si>
  <si>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</si>
  <si>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</si>
  <si>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</si>
  <si>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</si>
  <si>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</si>
  <si>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</si>
  <si>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</si>
  <si>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</si>
  <si>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</si>
  <si>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</si>
  <si>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</si>
  <si>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</si>
  <si>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</si>
  <si>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</si>
  <si>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</si>
  <si>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</si>
  <si>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</si>
  <si>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</si>
  <si>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</si>
  <si>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</si>
  <si>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</si>
  <si>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</si>
  <si>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</si>
  <si>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</si>
  <si>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</si>
  <si>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</si>
  <si>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</si>
  <si>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</si>
  <si>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</si>
  <si>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</si>
  <si>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</si>
  <si>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</si>
  <si>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</si>
  <si>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</si>
  <si>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</si>
  <si>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</si>
  <si>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</si>
  <si>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</si>
  <si>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</si>
  <si>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</si>
  <si>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</si>
  <si>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</si>
  <si>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</si>
  <si>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</si>
  <si>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</si>
  <si>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</si>
  <si>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</si>
  <si>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</si>
  <si>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</si>
  <si>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</si>
  <si>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</si>
  <si>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</si>
  <si>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</si>
  <si>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</si>
  <si>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</si>
  <si>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</si>
  <si>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</si>
  <si>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</si>
  <si>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</si>
  <si>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</si>
  <si>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</si>
  <si>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</si>
  <si>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</si>
  <si>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</si>
  <si>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</si>
  <si>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</si>
  <si>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</si>
  <si>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</si>
  <si>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</si>
  <si>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</si>
  <si>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</si>
  <si>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</si>
  <si>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</si>
  <si>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</si>
  <si>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</si>
  <si>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</si>
  <si>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</si>
  <si>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</si>
  <si>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</si>
  <si>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</si>
  <si>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</si>
  <si>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</si>
  <si>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</si>
  <si>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</si>
  <si>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</si>
  <si>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</si>
  <si>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</si>
  <si>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</si>
  <si>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</si>
  <si>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</si>
  <si>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</si>
  <si>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</si>
  <si>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</si>
  <si>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</si>
  <si>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</si>
  <si>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</si>
  <si>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</si>
  <si>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</si>
  <si>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</si>
  <si>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</si>
  <si>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</si>
  <si>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</si>
  <si>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</si>
  <si>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</si>
  <si>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</si>
  <si>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</si>
  <si>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</si>
  <si>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</si>
  <si>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</si>
  <si>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</si>
  <si>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</si>
  <si>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</si>
  <si>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</si>
  <si>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</si>
  <si>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</si>
  <si>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</si>
  <si>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</si>
  <si>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</si>
  <si>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</si>
  <si>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</si>
  <si>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</si>
  <si>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</si>
  <si>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</si>
  <si>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</si>
  <si>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</si>
  <si>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</si>
  <si>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</si>
  <si>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</si>
  <si>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</si>
  <si>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</si>
  <si>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</si>
  <si>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</si>
  <si>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</si>
  <si>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</si>
  <si>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</si>
  <si>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</si>
  <si>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</si>
  <si>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</si>
  <si>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</si>
  <si>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</si>
  <si>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</si>
  <si>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</si>
  <si>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</si>
  <si>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</si>
  <si>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</si>
  <si>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</si>
  <si>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</si>
  <si>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</si>
  <si>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</si>
  <si>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</si>
  <si>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</si>
  <si>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</si>
  <si>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</si>
  <si>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</si>
  <si>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</si>
  <si>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</si>
  <si>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</si>
  <si>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</si>
  <si>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</si>
  <si>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</si>
  <si>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</si>
  <si>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</si>
  <si>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</si>
  <si>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</si>
  <si>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</si>
  <si>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</si>
  <si>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</si>
  <si>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</si>
  <si>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</si>
  <si>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</si>
  <si>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</si>
  <si>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</si>
  <si>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</si>
  <si>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</si>
  <si>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</si>
  <si>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</si>
  <si>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</si>
  <si>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</si>
  <si>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</si>
  <si>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</si>
  <si>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</si>
  <si>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</si>
  <si>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</si>
  <si>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</si>
  <si>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</si>
  <si>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</si>
  <si>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</si>
  <si>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</si>
  <si>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</si>
  <si>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</si>
  <si>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</si>
  <si>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</si>
  <si>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</si>
  <si>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</si>
  <si>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</si>
  <si>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</si>
  <si>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</si>
  <si>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</si>
  <si>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</si>
  <si>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</si>
  <si>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</si>
  <si>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</si>
  <si>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</si>
  <si>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</si>
  <si>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</si>
  <si>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</si>
  <si>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</si>
  <si>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</si>
  <si>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</si>
  <si>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</si>
  <si>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</si>
  <si>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</si>
  <si>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</si>
  <si>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</si>
  <si>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</si>
  <si>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</si>
  <si>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</si>
  <si>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</si>
  <si>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</si>
  <si>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</si>
  <si>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</si>
  <si>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</si>
  <si>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</si>
  <si>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</si>
  <si>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</si>
  <si>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</si>
  <si>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</si>
  <si>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</si>
  <si>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</si>
  <si>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</si>
  <si>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</si>
  <si>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</si>
  <si>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</si>
  <si>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</si>
  <si>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</si>
  <si>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</si>
  <si>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</si>
  <si>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</si>
  <si>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</si>
  <si>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</si>
  <si>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</si>
  <si>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</si>
  <si>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</si>
  <si>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</si>
  <si>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</si>
  <si>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</si>
  <si>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</si>
  <si>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</si>
  <si>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</si>
  <si>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</si>
  <si>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</si>
  <si>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</si>
  <si>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</si>
  <si>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</si>
  <si>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</si>
  <si>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</si>
  <si>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</si>
  <si>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</si>
  <si>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</si>
  <si>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</si>
  <si>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</si>
  <si>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</si>
  <si>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</si>
  <si>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</si>
  <si>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</si>
  <si>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</si>
  <si>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</si>
  <si>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</si>
  <si>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</si>
  <si>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</si>
  <si>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</si>
  <si>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</si>
  <si>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</si>
  <si>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</si>
  <si>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</si>
  <si>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</si>
  <si>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</si>
  <si>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</si>
  <si>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</si>
  <si>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</si>
  <si>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</si>
  <si>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</si>
  <si>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</si>
  <si>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</si>
  <si>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</si>
  <si>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</si>
  <si>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</si>
  <si>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</si>
  <si>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</si>
  <si>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</si>
  <si>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</si>
  <si>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</si>
  <si>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</si>
  <si>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</si>
  <si>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</si>
  <si>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</si>
  <si>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</si>
  <si>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</si>
  <si>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</si>
  <si>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</si>
  <si>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</si>
  <si>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</si>
  <si>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</si>
  <si>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</si>
  <si>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</si>
  <si>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</si>
  <si>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</si>
  <si>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</si>
  <si>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</si>
  <si>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</si>
  <si>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</si>
  <si>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</si>
  <si>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</si>
  <si>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</si>
  <si>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</si>
  <si>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</si>
  <si>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</si>
  <si>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</si>
  <si>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</si>
  <si>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</si>
  <si>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</si>
  <si>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</si>
  <si>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</si>
  <si>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</si>
  <si>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</si>
  <si>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</si>
  <si>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</si>
  <si>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</si>
  <si>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</si>
  <si>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</si>
  <si>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</si>
  <si>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</si>
  <si>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</si>
  <si>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</si>
  <si>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</si>
  <si>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</si>
  <si>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</si>
  <si>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</si>
  <si>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</si>
  <si>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</si>
  <si>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</si>
  <si>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</si>
  <si>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</si>
  <si>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</si>
  <si>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</si>
  <si>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</si>
  <si>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</si>
  <si>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</si>
  <si>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</si>
  <si>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</si>
  <si>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</si>
  <si>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</si>
  <si>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</si>
  <si>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</si>
  <si>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</si>
  <si>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</si>
  <si>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</si>
  <si>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</si>
  <si>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</si>
  <si>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</si>
  <si>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</si>
  <si>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</si>
  <si>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</si>
  <si>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</si>
  <si>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</si>
  <si>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</si>
  <si>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</si>
  <si>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</si>
  <si>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</si>
  <si>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</si>
  <si>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</si>
  <si>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</si>
  <si>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</si>
  <si>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</si>
  <si>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</si>
  <si>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</si>
  <si>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</si>
  <si>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</si>
  <si>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</si>
  <si>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</si>
  <si>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</si>
  <si>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</si>
  <si>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</si>
  <si>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</si>
  <si>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</t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</si>
  <si>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</si>
  <si>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</si>
  <si>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</si>
  <si>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</si>
  <si>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</si>
  <si>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</si>
  <si>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</si>
  <si>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</si>
  <si>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(０は１桁の整数とし、その他の整数について、先頭に０をつけた表記は</t>
    <phoneticPr fontId="2"/>
  </si>
  <si>
    <t xml:space="preserve">                                                                        認めないため)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</si>
</sst>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351</xdr:row>
      <xdr:rowOff>33337</xdr:rowOff>
    </xdr:from>
    <xdr:to>
      <xdr:col>16</xdr:col>
      <xdr:colOff>38100</xdr:colOff>
      <xdr:row>351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353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352</xdr:row>
      <xdr:rowOff>35719</xdr:rowOff>
    </xdr:from>
    <xdr:to>
      <xdr:col>21</xdr:col>
      <xdr:colOff>133350</xdr:colOff>
      <xdr:row>353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87"/>
  <sheetViews>
    <sheetView tabSelected="1" zoomScale="115" zoomScaleNormal="115" workbookViewId="0">
      <pane ySplit="5145" topLeftCell="A212" activePane="bottomLeft"/>
      <selection pane="bottomLeft" activeCell="J217" sqref="J217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3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8" t="s">
        <v>8</v>
      </c>
      <c r="C3" s="123" t="s">
        <v>231</v>
      </c>
      <c r="D3" s="123" t="s">
        <v>232</v>
      </c>
      <c r="E3" s="116" t="s">
        <v>141</v>
      </c>
      <c r="F3" s="117"/>
      <c r="G3" s="117"/>
      <c r="H3" s="120" t="s">
        <v>10</v>
      </c>
      <c r="I3" s="122" t="s">
        <v>11</v>
      </c>
      <c r="J3" s="116" t="s">
        <v>233</v>
      </c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16" t="s">
        <v>398</v>
      </c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2"/>
      <c r="CB3" s="114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9"/>
      <c r="C4" s="119"/>
      <c r="D4" s="119"/>
      <c r="E4" s="36" t="s">
        <v>137</v>
      </c>
      <c r="F4" s="36" t="s">
        <v>138</v>
      </c>
      <c r="G4" s="36" t="s">
        <v>9</v>
      </c>
      <c r="H4" s="121"/>
      <c r="I4" s="119"/>
      <c r="J4" s="12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9"/>
      <c r="AK4" s="129"/>
      <c r="AL4" s="129"/>
      <c r="AM4" s="129"/>
      <c r="AN4" s="129"/>
      <c r="AO4" s="129"/>
      <c r="AP4" s="129"/>
      <c r="AQ4" s="129"/>
      <c r="AR4" s="130"/>
      <c r="AS4" s="133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5"/>
      <c r="CB4" s="115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76" t="s">
        <v>139</v>
      </c>
      <c r="F216" s="76" t="s">
        <v>135</v>
      </c>
      <c r="G216" s="74" t="s">
        <v>190</v>
      </c>
      <c r="H216" s="61">
        <v>43975</v>
      </c>
      <c r="I216" s="62">
        <v>1</v>
      </c>
      <c r="J216" s="77" t="s">
        <v>494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IF(G220&lt;&gt;"",SUBTOTAL(3,$G$6:G220),"")</f>
        <v>68</v>
      </c>
      <c r="C220" s="75"/>
      <c r="D220" s="75"/>
      <c r="E220" s="76" t="s">
        <v>139</v>
      </c>
      <c r="F220" s="76" t="s">
        <v>135</v>
      </c>
      <c r="G220" s="74" t="s">
        <v>191</v>
      </c>
      <c r="H220" s="61">
        <v>43975</v>
      </c>
      <c r="I220" s="62">
        <v>1</v>
      </c>
      <c r="J220" s="77" t="s">
        <v>495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IF(G221&lt;&gt;"",SUBTOTAL(3,$G$5:G221),"")</f>
        <v/>
      </c>
      <c r="C221" s="75"/>
      <c r="D221" s="75"/>
      <c r="E221" s="76"/>
      <c r="F221" s="76"/>
      <c r="G221" s="74"/>
      <c r="H221" s="61"/>
      <c r="I221" s="70">
        <v>1</v>
      </c>
      <c r="J221" s="77" t="s">
        <v>503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504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497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 t="s">
        <v>498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496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 t="s">
        <v>499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501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502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500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69</v>
      </c>
      <c r="C231" s="75"/>
      <c r="D231" s="75"/>
      <c r="E231" s="76" t="s">
        <v>139</v>
      </c>
      <c r="F231" s="76" t="s">
        <v>135</v>
      </c>
      <c r="G231" s="74" t="s">
        <v>192</v>
      </c>
      <c r="H231" s="61">
        <v>43975</v>
      </c>
      <c r="I231" s="62">
        <v>1</v>
      </c>
      <c r="J231" s="77" t="s">
        <v>424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425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IF(G234&lt;&gt;"",SUBTOTAL(3,$G$6:G234),"")</f>
        <v>70</v>
      </c>
      <c r="C234" s="75"/>
      <c r="D234" s="75"/>
      <c r="E234" s="76" t="s">
        <v>139</v>
      </c>
      <c r="F234" s="76" t="s">
        <v>135</v>
      </c>
      <c r="G234" s="74" t="s">
        <v>193</v>
      </c>
      <c r="H234" s="61">
        <v>43977</v>
      </c>
      <c r="I234" s="62">
        <v>1</v>
      </c>
      <c r="J234" s="77" t="s">
        <v>426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IF(G235&lt;&gt;"",SUBTOTAL(3,$G$6:G235),"")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IF(G236&lt;&gt;"",SUBTOTAL(3,$G$6:G236),"")</f>
        <v>71</v>
      </c>
      <c r="C236" s="75"/>
      <c r="D236" s="75"/>
      <c r="E236" s="76" t="s">
        <v>139</v>
      </c>
      <c r="F236" s="76" t="s">
        <v>135</v>
      </c>
      <c r="G236" s="74" t="s">
        <v>194</v>
      </c>
      <c r="H236" s="61">
        <v>43977</v>
      </c>
      <c r="I236" s="62">
        <v>1</v>
      </c>
      <c r="J236" s="77" t="s">
        <v>427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IF(G238&lt;&gt;"",SUBTOTAL(3,$G$6:G238),"")</f>
        <v>72</v>
      </c>
      <c r="C238" s="75"/>
      <c r="D238" s="75"/>
      <c r="E238" s="76" t="s">
        <v>139</v>
      </c>
      <c r="F238" s="76" t="s">
        <v>135</v>
      </c>
      <c r="G238" s="74" t="s">
        <v>195</v>
      </c>
      <c r="H238" s="61">
        <v>43977</v>
      </c>
      <c r="I238" s="62">
        <v>1</v>
      </c>
      <c r="J238" s="77" t="s">
        <v>459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73</v>
      </c>
      <c r="C240" s="75"/>
      <c r="D240" s="75"/>
      <c r="E240" s="76" t="s">
        <v>139</v>
      </c>
      <c r="F240" s="76" t="s">
        <v>135</v>
      </c>
      <c r="G240" s="74" t="s">
        <v>196</v>
      </c>
      <c r="H240" s="61">
        <v>43995</v>
      </c>
      <c r="I240" s="62">
        <v>1</v>
      </c>
      <c r="J240" s="77" t="s">
        <v>431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432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433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75">
        <f>IF(G244&lt;&gt;"",SUBTOTAL(3,$G$6:G244),"")</f>
        <v>74</v>
      </c>
      <c r="C244" s="75"/>
      <c r="D244" s="75"/>
      <c r="E244" s="76" t="s">
        <v>139</v>
      </c>
      <c r="F244" s="76" t="s">
        <v>135</v>
      </c>
      <c r="G244" s="74" t="s">
        <v>197</v>
      </c>
      <c r="H244" s="61">
        <v>43982</v>
      </c>
      <c r="I244" s="62">
        <v>1</v>
      </c>
      <c r="J244" s="77" t="s">
        <v>434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IF(G245&lt;&gt;"",SUBTOTAL(3,$G$6:G245),"")</f>
        <v/>
      </c>
      <c r="C245" s="75"/>
      <c r="D245" s="75"/>
      <c r="E245" s="76"/>
      <c r="F245" s="76"/>
      <c r="G245" s="74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IF(G246&lt;&gt;"",SUBTOTAL(3,$G$6:G246),"")</f>
        <v>75</v>
      </c>
      <c r="C246" s="75"/>
      <c r="D246" s="75"/>
      <c r="E246" s="76" t="s">
        <v>139</v>
      </c>
      <c r="F246" s="76" t="s">
        <v>135</v>
      </c>
      <c r="G246" s="74" t="s">
        <v>198</v>
      </c>
      <c r="H246" s="61">
        <v>43989</v>
      </c>
      <c r="I246" s="62">
        <v>1</v>
      </c>
      <c r="J246" s="77" t="s">
        <v>435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IF(G247&lt;&gt;"",SUBTOTAL(3,$G$6:G247),"")</f>
        <v/>
      </c>
      <c r="C247" s="75"/>
      <c r="D247" s="75"/>
      <c r="E247" s="76"/>
      <c r="F247" s="76"/>
      <c r="G247" s="74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75">
        <f>IF(G248&lt;&gt;"",SUBTOTAL(3,$G$6:G248),"")</f>
        <v>76</v>
      </c>
      <c r="C248" s="75"/>
      <c r="D248" s="75"/>
      <c r="E248" s="76" t="s">
        <v>139</v>
      </c>
      <c r="F248" s="76" t="s">
        <v>135</v>
      </c>
      <c r="G248" s="74" t="s">
        <v>199</v>
      </c>
      <c r="H248" s="61">
        <v>43989</v>
      </c>
      <c r="I248" s="62">
        <v>0.5</v>
      </c>
      <c r="J248" s="77" t="s">
        <v>437</v>
      </c>
      <c r="K248" s="101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IF(G249&lt;&gt;"",SUBTOTAL(3,$G$6:G249),"")</f>
        <v/>
      </c>
      <c r="C249" s="75"/>
      <c r="D249" s="75"/>
      <c r="E249" s="76"/>
      <c r="F249" s="76"/>
      <c r="G249" s="74"/>
      <c r="H249" s="61"/>
      <c r="I249" s="68">
        <v>0.5</v>
      </c>
      <c r="J249" s="77" t="s">
        <v>436</v>
      </c>
      <c r="K249" s="101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IF(G250&lt;&gt;"",SUBTOTAL(3,$G$6:G250),"")</f>
        <v/>
      </c>
      <c r="C250" s="75"/>
      <c r="D250" s="75"/>
      <c r="E250" s="76"/>
      <c r="F250" s="76"/>
      <c r="G250" s="74"/>
      <c r="H250" s="61"/>
      <c r="I250" s="68">
        <v>0.5</v>
      </c>
      <c r="J250" s="77" t="s">
        <v>438</v>
      </c>
      <c r="K250" s="101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68">
        <v>0.5</v>
      </c>
      <c r="J251" s="77" t="s">
        <v>439</v>
      </c>
      <c r="K251" s="101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68">
        <v>0.5</v>
      </c>
      <c r="J252" s="77"/>
      <c r="K252" s="101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77</v>
      </c>
      <c r="C253" s="75"/>
      <c r="D253" s="75"/>
      <c r="E253" s="76" t="s">
        <v>139</v>
      </c>
      <c r="F253" s="76" t="s">
        <v>135</v>
      </c>
      <c r="G253" s="74" t="s">
        <v>200</v>
      </c>
      <c r="H253" s="61">
        <v>43991</v>
      </c>
      <c r="I253" s="62">
        <v>1</v>
      </c>
      <c r="J253" s="77" t="s">
        <v>440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441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IF(G255&lt;&gt;"",SUBTOTAL(3,$G$6:G255),"")</f>
        <v/>
      </c>
      <c r="C255" s="75"/>
      <c r="D255" s="75"/>
      <c r="E255" s="76"/>
      <c r="F255" s="76"/>
      <c r="G255" s="74"/>
      <c r="H255" s="61"/>
      <c r="I255" s="70">
        <v>1</v>
      </c>
      <c r="J255" s="77" t="s">
        <v>442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IF(G256&lt;&gt;"",SUBTOTAL(3,$G$6:G256),"")</f>
        <v/>
      </c>
      <c r="C256" s="75"/>
      <c r="D256" s="75"/>
      <c r="E256" s="76"/>
      <c r="F256" s="76"/>
      <c r="G256" s="74"/>
      <c r="H256" s="61"/>
      <c r="I256" s="70">
        <v>1</v>
      </c>
      <c r="J256" s="77" t="s">
        <v>443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IF(G257&lt;&gt;"",SUBTOTAL(3,$G$6:G257),"")</f>
        <v/>
      </c>
      <c r="C257" s="75"/>
      <c r="D257" s="75"/>
      <c r="E257" s="76"/>
      <c r="F257" s="76"/>
      <c r="G257" s="74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IF(G258&lt;&gt;"",SUBTOTAL(3,$G$6:G258),"")</f>
        <v>78</v>
      </c>
      <c r="C258" s="75"/>
      <c r="D258" s="75"/>
      <c r="E258" s="76" t="s">
        <v>139</v>
      </c>
      <c r="F258" s="76" t="s">
        <v>135</v>
      </c>
      <c r="G258" s="74" t="s">
        <v>201</v>
      </c>
      <c r="H258" s="61">
        <v>43991</v>
      </c>
      <c r="I258" s="62">
        <v>1</v>
      </c>
      <c r="J258" s="77" t="s">
        <v>491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492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493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490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IF(G263&lt;&gt;"",SUBTOTAL(3,$G$6:G263),"")</f>
        <v>79</v>
      </c>
      <c r="C263" s="75"/>
      <c r="D263" s="75"/>
      <c r="E263" s="76" t="s">
        <v>139</v>
      </c>
      <c r="F263" s="76" t="s">
        <v>135</v>
      </c>
      <c r="G263" s="74" t="s">
        <v>444</v>
      </c>
      <c r="H263" s="61">
        <v>43992</v>
      </c>
      <c r="I263" s="62">
        <v>0.8</v>
      </c>
      <c r="J263" s="77" t="s">
        <v>446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IF(G264&lt;&gt;"",SUBTOTAL(3,$G$6:G264),"")</f>
        <v/>
      </c>
      <c r="C264" s="75"/>
      <c r="D264" s="75"/>
      <c r="E264" s="76"/>
      <c r="F264" s="76"/>
      <c r="G264" s="74"/>
      <c r="H264" s="61"/>
      <c r="I264" s="68">
        <v>0.8</v>
      </c>
      <c r="J264" s="77" t="s">
        <v>445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68">
        <v>0.8</v>
      </c>
      <c r="J265" s="77" t="s">
        <v>447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68">
        <v>0.8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>
        <f>IF(G267&lt;&gt;"",SUBTOTAL(3,$G$6:G267),"")</f>
        <v>80</v>
      </c>
      <c r="C267" s="75"/>
      <c r="D267" s="75"/>
      <c r="E267" s="76" t="s">
        <v>139</v>
      </c>
      <c r="F267" s="76" t="s">
        <v>135</v>
      </c>
      <c r="G267" s="74" t="s">
        <v>202</v>
      </c>
      <c r="H267" s="61">
        <v>43994</v>
      </c>
      <c r="I267" s="62">
        <v>0.8</v>
      </c>
      <c r="J267" s="77" t="s">
        <v>312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IF(G268&lt;&gt;"",SUBTOTAL(3,$G$6:G268),"")</f>
        <v/>
      </c>
      <c r="C268" s="75"/>
      <c r="D268" s="75"/>
      <c r="E268" s="76"/>
      <c r="F268" s="76"/>
      <c r="G268" s="74"/>
      <c r="H268" s="61"/>
      <c r="I268" s="68">
        <v>0.8</v>
      </c>
      <c r="J268" s="77" t="s">
        <v>313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IF(G269&lt;&gt;"",SUBTOTAL(3,$G$6:G269),"")</f>
        <v/>
      </c>
      <c r="C269" s="75"/>
      <c r="D269" s="75"/>
      <c r="E269" s="76"/>
      <c r="F269" s="76"/>
      <c r="G269" s="74"/>
      <c r="H269" s="61"/>
      <c r="I269" s="68">
        <v>0.8</v>
      </c>
      <c r="J269" s="77" t="s">
        <v>314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IF(G270&lt;&gt;"",SUBTOTAL(3,$G$6:G270),"")</f>
        <v/>
      </c>
      <c r="C270" s="75"/>
      <c r="D270" s="75"/>
      <c r="E270" s="76"/>
      <c r="F270" s="76"/>
      <c r="G270" s="74"/>
      <c r="H270" s="61"/>
      <c r="I270" s="68">
        <v>0.8</v>
      </c>
      <c r="J270" s="77" t="s">
        <v>315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IF(G271&lt;&gt;"",SUBTOTAL(3,$G$6:G271),"")</f>
        <v/>
      </c>
      <c r="C271" s="75"/>
      <c r="D271" s="75"/>
      <c r="E271" s="76"/>
      <c r="F271" s="76"/>
      <c r="G271" s="74"/>
      <c r="H271" s="61"/>
      <c r="I271" s="68">
        <v>0.8</v>
      </c>
      <c r="J271" s="77" t="s">
        <v>316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0.8</v>
      </c>
      <c r="J272" s="77" t="s">
        <v>317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0.8</v>
      </c>
      <c r="J273" s="77" t="s">
        <v>318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0.8</v>
      </c>
      <c r="J274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0.8</v>
      </c>
      <c r="J275" s="37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9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75">
        <f>IF(G276&lt;&gt;"",SUBTOTAL(3,$G$6:G276),"")</f>
        <v>81</v>
      </c>
      <c r="C276" s="75"/>
      <c r="D276" s="75"/>
      <c r="E276" s="76" t="s">
        <v>139</v>
      </c>
      <c r="F276" s="76" t="s">
        <v>135</v>
      </c>
      <c r="G276" s="74" t="s">
        <v>203</v>
      </c>
      <c r="H276" s="61">
        <v>43995</v>
      </c>
      <c r="I276" s="62">
        <v>1</v>
      </c>
      <c r="J276" s="77" t="s">
        <v>487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IF(G277&lt;&gt;"",SUBTOTAL(3,$G$5:G277),"")</f>
        <v/>
      </c>
      <c r="C277" s="75"/>
      <c r="D277" s="75"/>
      <c r="E277" s="76"/>
      <c r="F277" s="76"/>
      <c r="G277" s="74"/>
      <c r="H277" s="61"/>
      <c r="I277" s="70">
        <v>1</v>
      </c>
      <c r="J277" s="77" t="s">
        <v>488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70">
        <v>1</v>
      </c>
      <c r="J278" s="77" t="s">
        <v>489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70">
        <v>1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>
        <f>IF(G280&lt;&gt;"",SUBTOTAL(3,$G$6:G280),"")</f>
        <v>82</v>
      </c>
      <c r="C280" s="75"/>
      <c r="D280" s="75"/>
      <c r="E280" s="76" t="s">
        <v>139</v>
      </c>
      <c r="F280" s="76" t="s">
        <v>135</v>
      </c>
      <c r="G280" s="74" t="s">
        <v>204</v>
      </c>
      <c r="H280" s="61">
        <v>43997</v>
      </c>
      <c r="I280" s="62">
        <v>1</v>
      </c>
      <c r="J280" s="77" t="s">
        <v>384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 t="s">
        <v>320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IF(G281&lt;&gt;"",SUBTOTAL(3,$G$6:G281),"")</f>
        <v/>
      </c>
      <c r="C281" s="75"/>
      <c r="D281" s="75"/>
      <c r="E281" s="76"/>
      <c r="F281" s="76"/>
      <c r="G281" s="74"/>
      <c r="H281" s="61"/>
      <c r="I281" s="70">
        <v>1</v>
      </c>
      <c r="J281" s="77" t="s">
        <v>383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 t="s">
        <v>385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IF(G282&lt;&gt;"",SUBTOTAL(3,$G$6:G282),"")</f>
        <v/>
      </c>
      <c r="C282" s="75"/>
      <c r="D282" s="75"/>
      <c r="E282" s="76"/>
      <c r="F282" s="76"/>
      <c r="G282" s="74"/>
      <c r="H282" s="61"/>
      <c r="I282" s="70">
        <v>1</v>
      </c>
      <c r="J282" s="77" t="s">
        <v>319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386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75">
        <f>IF(G283&lt;&gt;"",SUBTOTAL(3,$G$6:G283),"")</f>
        <v>83</v>
      </c>
      <c r="C283" s="75"/>
      <c r="D283" s="75"/>
      <c r="E283" s="76" t="s">
        <v>139</v>
      </c>
      <c r="F283" s="76" t="s">
        <v>135</v>
      </c>
      <c r="G283" s="74" t="s">
        <v>205</v>
      </c>
      <c r="H283" s="61">
        <v>44004</v>
      </c>
      <c r="I283" s="62">
        <v>0.5</v>
      </c>
      <c r="J283" s="77" t="s">
        <v>476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0.5</v>
      </c>
      <c r="J284" s="77" t="s">
        <v>477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99" t="str">
        <f>IF(G285&lt;&gt;"",SUBTOTAL(3,$G$6:G285),"")</f>
        <v/>
      </c>
      <c r="C285" s="75"/>
      <c r="D285" s="75"/>
      <c r="E285" s="76"/>
      <c r="F285" s="76"/>
      <c r="G285" s="74"/>
      <c r="H285" s="61"/>
      <c r="I285" s="68">
        <v>0.5</v>
      </c>
      <c r="J285" s="77" t="s">
        <v>474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0.5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0.5</v>
      </c>
      <c r="J287" s="77" t="s">
        <v>483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IF(G288&lt;&gt;"",SUBTOTAL(3,$G$6:G288),"")</f>
        <v/>
      </c>
      <c r="C288" s="75"/>
      <c r="D288" s="75"/>
      <c r="E288" s="76"/>
      <c r="F288" s="76"/>
      <c r="G288" s="74"/>
      <c r="H288" s="61"/>
      <c r="I288" s="68">
        <v>0.5</v>
      </c>
      <c r="J288" s="77" t="s">
        <v>484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IF(G289&lt;&gt;"",SUBTOTAL(3,$G$6:G289),"")</f>
        <v/>
      </c>
      <c r="C289" s="75"/>
      <c r="D289" s="75"/>
      <c r="E289" s="76"/>
      <c r="F289" s="76"/>
      <c r="G289" s="74"/>
      <c r="H289" s="61"/>
      <c r="I289" s="68">
        <v>0.5</v>
      </c>
      <c r="J289" s="77" t="s">
        <v>480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0.5</v>
      </c>
      <c r="J290" s="77"/>
      <c r="K290" s="43" t="s">
        <v>481</v>
      </c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IF(G291&lt;&gt;"",SUBTOTAL(3,$G$6:G291),"")</f>
        <v/>
      </c>
      <c r="C291" s="75"/>
      <c r="D291" s="75"/>
      <c r="E291" s="76"/>
      <c r="F291" s="76"/>
      <c r="G291" s="74"/>
      <c r="H291" s="61"/>
      <c r="I291" s="68">
        <v>0.5</v>
      </c>
      <c r="J291" s="77"/>
      <c r="K291" s="43" t="s">
        <v>482</v>
      </c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IF(G292&lt;&gt;"",SUBTOTAL(3,$G$6:G292),"")</f>
        <v/>
      </c>
      <c r="C292" s="75"/>
      <c r="D292" s="75"/>
      <c r="E292" s="76"/>
      <c r="F292" s="76"/>
      <c r="G292" s="74"/>
      <c r="H292" s="61"/>
      <c r="I292" s="68">
        <v>0.5</v>
      </c>
      <c r="J292" s="77"/>
      <c r="K292" s="43" t="s">
        <v>475</v>
      </c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IF(G293&lt;&gt;"",SUBTOTAL(3,$G$6:G293),"")</f>
        <v/>
      </c>
      <c r="C293" s="75"/>
      <c r="D293" s="75"/>
      <c r="E293" s="76"/>
      <c r="F293" s="76"/>
      <c r="G293" s="74"/>
      <c r="H293" s="61"/>
      <c r="I293" s="68">
        <v>0.5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99" t="str">
        <f>IF(G294&lt;&gt;"",SUBTOTAL(3,$G$6:G294),"")</f>
        <v/>
      </c>
      <c r="C294" s="75"/>
      <c r="D294" s="75"/>
      <c r="E294" s="76"/>
      <c r="F294" s="76"/>
      <c r="G294" s="74"/>
      <c r="H294" s="61"/>
      <c r="I294" s="68">
        <v>0.5</v>
      </c>
      <c r="J294" s="77"/>
      <c r="K294" s="43" t="s">
        <v>478</v>
      </c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IF(G295&lt;&gt;"",SUBTOTAL(3,$G$6:G295),"")</f>
        <v/>
      </c>
      <c r="C295" s="75"/>
      <c r="D295" s="75"/>
      <c r="E295" s="76"/>
      <c r="F295" s="76"/>
      <c r="G295" s="74"/>
      <c r="H295" s="61"/>
      <c r="I295" s="68">
        <v>0.5</v>
      </c>
      <c r="J295" s="77"/>
      <c r="K295" s="43" t="s">
        <v>479</v>
      </c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>
        <f>IF(G297&lt;&gt;"",SUBTOTAL(3,$G$6:G297),"")</f>
        <v>84</v>
      </c>
      <c r="C297" s="75"/>
      <c r="D297" s="75"/>
      <c r="E297" s="76" t="s">
        <v>139</v>
      </c>
      <c r="F297" s="76" t="s">
        <v>142</v>
      </c>
      <c r="G297" s="76" t="s">
        <v>206</v>
      </c>
      <c r="H297" s="61">
        <v>44030</v>
      </c>
      <c r="I297" s="62">
        <v>1</v>
      </c>
      <c r="J297" s="77" t="s">
        <v>321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387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IF(G298&lt;&gt;"",SUBTOTAL(3,$G$6:G298),"")</f>
        <v/>
      </c>
      <c r="C298" s="75"/>
      <c r="D298" s="75"/>
      <c r="E298" s="76"/>
      <c r="F298" s="76"/>
      <c r="G298" s="76"/>
      <c r="H298" s="61"/>
      <c r="I298" s="70">
        <v>1</v>
      </c>
      <c r="J298" s="77" t="s">
        <v>322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6"/>
      <c r="H299" s="61"/>
      <c r="I299" s="70">
        <v>1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 t="s">
        <v>388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70">
        <v>1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 t="s">
        <v>323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5.75" x14ac:dyDescent="0.15">
      <c r="B301" s="75" t="str">
        <f>IF(G301&lt;&gt;"",SUBTOTAL(3,$G$6:G301),"")</f>
        <v/>
      </c>
      <c r="C301" s="75"/>
      <c r="D301" s="75"/>
      <c r="E301" s="76"/>
      <c r="F301" s="76"/>
      <c r="G301" s="76"/>
      <c r="H301" s="61"/>
      <c r="I301" s="70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 t="s">
        <v>350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IF(G302&lt;&gt;"",SUBTOTAL(3,$G$6:G302),"")</f>
        <v/>
      </c>
      <c r="C302" s="75"/>
      <c r="D302" s="75"/>
      <c r="E302" s="76"/>
      <c r="F302" s="76"/>
      <c r="G302" s="76"/>
      <c r="H302" s="61"/>
      <c r="I302" s="70">
        <v>1</v>
      </c>
      <c r="J302" s="77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 t="s">
        <v>389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IF(G303&lt;&gt;"",SUBTOTAL(3,$G$6:G303),"")</f>
        <v/>
      </c>
      <c r="C303" s="75"/>
      <c r="D303" s="75"/>
      <c r="E303" s="76"/>
      <c r="F303" s="76"/>
      <c r="G303" s="76"/>
      <c r="H303" s="61"/>
      <c r="I303" s="70">
        <v>1</v>
      </c>
      <c r="J303" s="77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 t="s">
        <v>390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IF(G304&lt;&gt;"",SUBTOTAL(3,$G$6:G304),"")</f>
        <v/>
      </c>
      <c r="C304" s="75"/>
      <c r="D304" s="75"/>
      <c r="E304" s="76"/>
      <c r="F304" s="76"/>
      <c r="G304" s="76"/>
      <c r="H304" s="61"/>
      <c r="I304" s="70">
        <v>1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>
        <f>IF(G305&lt;&gt;"",SUBTOTAL(3,$G$6:G305),"")</f>
        <v>85</v>
      </c>
      <c r="C305" s="75"/>
      <c r="D305" s="75"/>
      <c r="E305" s="76" t="s">
        <v>139</v>
      </c>
      <c r="F305" s="76" t="s">
        <v>142</v>
      </c>
      <c r="G305" s="76" t="s">
        <v>213</v>
      </c>
      <c r="H305" s="61">
        <v>44052</v>
      </c>
      <c r="I305" s="62">
        <v>0.5</v>
      </c>
      <c r="J305" s="77" t="s">
        <v>324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 t="s">
        <v>392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68">
        <v>0.5</v>
      </c>
      <c r="J306" s="77" t="s">
        <v>351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 t="s">
        <v>391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99" t="str">
        <f>IF(G307&lt;&gt;"",SUBTOTAL(3,$G$6:G307),"")</f>
        <v/>
      </c>
      <c r="C307" s="75"/>
      <c r="D307" s="75"/>
      <c r="E307" s="76"/>
      <c r="F307" s="76"/>
      <c r="G307" s="76"/>
      <c r="H307" s="61"/>
      <c r="I307" s="68">
        <v>0.5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 t="s">
        <v>393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99" t="str">
        <f>IF(G308&lt;&gt;"",SUBTOTAL(3,$G$6:G308),"")</f>
        <v/>
      </c>
      <c r="C308" s="75"/>
      <c r="D308" s="75"/>
      <c r="E308" s="76"/>
      <c r="F308" s="76"/>
      <c r="G308" s="76"/>
      <c r="H308" s="61"/>
      <c r="I308" s="68">
        <v>0.5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 t="s">
        <v>394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99" t="str">
        <f>IF(G309&lt;&gt;"",SUBTOTAL(3,$G$6:G309),"")</f>
        <v/>
      </c>
      <c r="C309" s="75"/>
      <c r="D309" s="75"/>
      <c r="E309" s="76"/>
      <c r="F309" s="76"/>
      <c r="G309" s="76"/>
      <c r="H309" s="61"/>
      <c r="I309" s="68">
        <v>0.5</v>
      </c>
      <c r="J309" s="77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 t="s">
        <v>396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6"/>
      <c r="H310" s="61"/>
      <c r="I310" s="68">
        <v>0.5</v>
      </c>
      <c r="J310" s="77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 t="s">
        <v>395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68">
        <v>0.5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 t="s">
        <v>397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68">
        <v>0.5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68">
        <v>0.5</v>
      </c>
      <c r="J313" s="77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75">
        <f>IF(G314&lt;&gt;"",SUBTOTAL(3,$G$6:G314),"")</f>
        <v>86</v>
      </c>
      <c r="C314" s="75"/>
      <c r="D314" s="75"/>
      <c r="E314" s="76" t="s">
        <v>139</v>
      </c>
      <c r="F314" s="76" t="s">
        <v>142</v>
      </c>
      <c r="G314" s="76" t="s">
        <v>220</v>
      </c>
      <c r="H314" s="61">
        <v>44062</v>
      </c>
      <c r="I314" s="62">
        <v>1</v>
      </c>
      <c r="J314" s="77" t="s">
        <v>468</v>
      </c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3.5" customHeight="1" x14ac:dyDescent="0.15">
      <c r="B315" s="99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77" t="s">
        <v>469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3.5" customHeight="1" x14ac:dyDescent="0.15">
      <c r="B316" s="99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77" t="s">
        <v>470</v>
      </c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3.5" customHeight="1" x14ac:dyDescent="0.15">
      <c r="B317" s="99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77" t="s">
        <v>471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3.5" customHeight="1" x14ac:dyDescent="0.15">
      <c r="B318" s="99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77" t="s">
        <v>472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99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ht="13.5" customHeight="1" x14ac:dyDescent="0.15">
      <c r="B320" s="75">
        <f>IF(G320&lt;&gt;"",SUBTOTAL(3,$G$6:G320),"")</f>
        <v>87</v>
      </c>
      <c r="C320" s="75"/>
      <c r="D320" s="75"/>
      <c r="E320" s="76" t="s">
        <v>139</v>
      </c>
      <c r="F320" s="76" t="s">
        <v>142</v>
      </c>
      <c r="G320" s="76" t="s">
        <v>221</v>
      </c>
      <c r="H320" s="61">
        <v>44071</v>
      </c>
      <c r="I320" s="62">
        <v>1</v>
      </c>
      <c r="J320" s="77" t="s">
        <v>467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ht="13.5" customHeight="1" x14ac:dyDescent="0.15">
      <c r="B321" s="99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>
        <f>IF(G322&lt;&gt;"",SUBTOTAL(3,$G$6:G322),"")</f>
        <v>88</v>
      </c>
      <c r="C322" s="75"/>
      <c r="D322" s="75"/>
      <c r="E322" s="76" t="s">
        <v>139</v>
      </c>
      <c r="F322" s="76" t="s">
        <v>142</v>
      </c>
      <c r="G322" s="76" t="s">
        <v>225</v>
      </c>
      <c r="H322" s="61">
        <v>44073</v>
      </c>
      <c r="I322" s="62">
        <v>1</v>
      </c>
      <c r="J322" s="95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5" t="s">
        <v>335</v>
      </c>
      <c r="AT322" s="43" t="s">
        <v>336</v>
      </c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325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326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327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328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340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6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6" t="s">
        <v>329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96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96" t="s">
        <v>330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95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95" t="s">
        <v>335</v>
      </c>
      <c r="AT330" s="43" t="s">
        <v>337</v>
      </c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 t="s">
        <v>341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77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 t="s">
        <v>342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325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326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327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328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96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6" t="s">
        <v>343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96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96" t="s">
        <v>331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96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96" t="s">
        <v>329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96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96" t="s">
        <v>330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95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95" t="s">
        <v>338</v>
      </c>
      <c r="AT341" s="43" t="s">
        <v>339</v>
      </c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 t="s">
        <v>344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96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96" t="s">
        <v>325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96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96" t="s">
        <v>326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96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96" t="s">
        <v>327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70">
        <v>1</v>
      </c>
      <c r="J346" s="96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96" t="s">
        <v>328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96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96" t="s">
        <v>332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96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96" t="s">
        <v>329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96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96" t="s">
        <v>330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77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ht="14.25" customHeight="1" x14ac:dyDescent="0.15">
      <c r="B351" s="75">
        <f>IF(G351&lt;&gt;"",SUBTOTAL(3,$G$6:G351),"")</f>
        <v>89</v>
      </c>
      <c r="C351" s="75"/>
      <c r="D351" s="75"/>
      <c r="E351" s="76" t="s">
        <v>139</v>
      </c>
      <c r="F351" s="76" t="s">
        <v>142</v>
      </c>
      <c r="G351" s="76" t="s">
        <v>236</v>
      </c>
      <c r="H351" s="61">
        <v>44108</v>
      </c>
      <c r="I351" s="62">
        <v>0.5</v>
      </c>
      <c r="J351" s="77" t="s">
        <v>1</v>
      </c>
      <c r="K351" s="43" t="s">
        <v>334</v>
      </c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ht="14.25" customHeigh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68">
        <v>0.5</v>
      </c>
      <c r="J352" s="80"/>
      <c r="K352" s="81"/>
      <c r="L352" s="81"/>
      <c r="M352" s="81"/>
      <c r="N352" s="81"/>
      <c r="O352" s="81"/>
      <c r="P352" s="81"/>
      <c r="Q352" s="81"/>
      <c r="R352" s="82" t="s">
        <v>333</v>
      </c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81"/>
      <c r="AG352" s="81"/>
      <c r="AH352" s="81"/>
      <c r="AI352" s="81"/>
      <c r="AJ352" s="81"/>
      <c r="AK352" s="81"/>
      <c r="AL352" s="81"/>
      <c r="AM352" s="81"/>
      <c r="AN352" s="81"/>
      <c r="AO352" s="81"/>
      <c r="AP352" s="81"/>
      <c r="AQ352" s="81"/>
      <c r="AR352" s="83"/>
      <c r="AS352" s="77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ht="14.25" customHeigh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68">
        <v>0.5</v>
      </c>
      <c r="J353" s="84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81"/>
      <c r="AE353" s="81"/>
      <c r="AF353" s="81"/>
      <c r="AG353" s="81"/>
      <c r="AH353" s="81"/>
      <c r="AI353" s="81"/>
      <c r="AJ353" s="81"/>
      <c r="AK353" s="81"/>
      <c r="AL353" s="81"/>
      <c r="AM353" s="81"/>
      <c r="AN353" s="81"/>
      <c r="AO353" s="81"/>
      <c r="AP353" s="81"/>
      <c r="AQ353" s="81"/>
      <c r="AR353" s="83"/>
      <c r="AS353" s="77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ht="14.25" customHeigh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68">
        <v>0.5</v>
      </c>
      <c r="J354" s="80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81"/>
      <c r="AE354" s="81"/>
      <c r="AF354" s="81"/>
      <c r="AG354" s="81"/>
      <c r="AH354" s="81"/>
      <c r="AI354" s="81"/>
      <c r="AJ354" s="81"/>
      <c r="AK354" s="81"/>
      <c r="AL354" s="81"/>
      <c r="AM354" s="81"/>
      <c r="AN354" s="81"/>
      <c r="AO354" s="81"/>
      <c r="AP354" s="81"/>
      <c r="AQ354" s="81"/>
      <c r="AR354" s="83"/>
      <c r="AS354" s="77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ht="14.25" customHeigh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68">
        <v>0.5</v>
      </c>
      <c r="J355" s="80" t="s">
        <v>237</v>
      </c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81"/>
      <c r="AF355" s="81"/>
      <c r="AG355" s="81"/>
      <c r="AH355" s="81"/>
      <c r="AI355" s="81"/>
      <c r="AJ355" s="81"/>
      <c r="AK355" s="81"/>
      <c r="AL355" s="81"/>
      <c r="AM355" s="81"/>
      <c r="AN355" s="81"/>
      <c r="AO355" s="81"/>
      <c r="AP355" s="81"/>
      <c r="AQ355" s="81"/>
      <c r="AR355" s="83"/>
      <c r="AS355" s="77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ht="14.25" customHeigh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68">
        <v>0.5</v>
      </c>
      <c r="J356" s="80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81"/>
      <c r="AE356" s="81"/>
      <c r="AF356" s="81"/>
      <c r="AG356" s="81"/>
      <c r="AH356" s="81"/>
      <c r="AI356" s="81"/>
      <c r="AJ356" s="81"/>
      <c r="AK356" s="81"/>
      <c r="AL356" s="81"/>
      <c r="AM356" s="81"/>
      <c r="AN356" s="81"/>
      <c r="AO356" s="81"/>
      <c r="AP356" s="81"/>
      <c r="AQ356" s="81"/>
      <c r="AR356" s="83"/>
      <c r="AS356" s="77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ht="13.5" customHeigh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62"/>
      <c r="J357" s="77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77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ht="13.5" customHeight="1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40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2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ht="13.5" customHeight="1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ht="15.75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40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2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9"/>
      <c r="CJ364" s="69"/>
      <c r="CK364" s="69"/>
      <c r="CL364" s="69"/>
      <c r="CM364" s="69"/>
      <c r="CN364" s="69"/>
      <c r="CO364" s="69"/>
      <c r="CP364" s="69"/>
      <c r="CQ364" s="69"/>
      <c r="CR364" s="69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9"/>
      <c r="DH364" s="69"/>
      <c r="DI364" s="69"/>
      <c r="DJ364" s="69"/>
      <c r="DK364" s="69"/>
      <c r="DL364" s="69"/>
      <c r="DM364" s="69"/>
      <c r="DN364" s="69"/>
      <c r="DO364" s="69"/>
      <c r="DP364" s="69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ht="15.75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40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2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x14ac:dyDescent="0.15">
      <c r="B375" s="58" t="str">
        <f>IF(G375&lt;&gt;"",SUBTOTAL(3,$G$6:G375),"")</f>
        <v/>
      </c>
      <c r="C375" s="58"/>
      <c r="D375" s="58"/>
      <c r="E375" s="59"/>
      <c r="F375" s="59"/>
      <c r="G375" s="59"/>
      <c r="H375" s="61"/>
      <c r="I375" s="62"/>
      <c r="J375" s="63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5"/>
      <c r="AS375" s="63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5"/>
      <c r="CB375" s="60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  <row r="376" spans="2:130" x14ac:dyDescent="0.15">
      <c r="B376" s="58" t="str">
        <f>IF(G376&lt;&gt;"",SUBTOTAL(3,$G$6:G376),"")</f>
        <v/>
      </c>
      <c r="C376" s="58"/>
      <c r="D376" s="58"/>
      <c r="E376" s="59"/>
      <c r="F376" s="59"/>
      <c r="G376" s="59"/>
      <c r="H376" s="61"/>
      <c r="I376" s="62"/>
      <c r="J376" s="63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5"/>
      <c r="AS376" s="63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5"/>
      <c r="CB376" s="60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</row>
    <row r="377" spans="2:130" x14ac:dyDescent="0.15">
      <c r="B377" s="58" t="str">
        <f>IF(G377&lt;&gt;"",SUBTOTAL(3,$G$6:G377),"")</f>
        <v/>
      </c>
      <c r="C377" s="58"/>
      <c r="D377" s="58"/>
      <c r="E377" s="59"/>
      <c r="F377" s="59"/>
      <c r="G377" s="59"/>
      <c r="H377" s="61"/>
      <c r="I377" s="62"/>
      <c r="J377" s="63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5"/>
      <c r="AS377" s="63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5"/>
      <c r="CB377" s="60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</row>
    <row r="378" spans="2:130" x14ac:dyDescent="0.15">
      <c r="B378" s="58" t="str">
        <f>IF(G378&lt;&gt;"",SUBTOTAL(3,$G$6:G378),"")</f>
        <v/>
      </c>
      <c r="C378" s="58"/>
      <c r="D378" s="58"/>
      <c r="E378" s="59"/>
      <c r="F378" s="59"/>
      <c r="G378" s="59"/>
      <c r="H378" s="61"/>
      <c r="I378" s="62"/>
      <c r="J378" s="63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5"/>
      <c r="AS378" s="63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5"/>
      <c r="CB378" s="60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</row>
    <row r="379" spans="2:130" x14ac:dyDescent="0.15">
      <c r="B379" s="58" t="str">
        <f>IF(G379&lt;&gt;"",SUBTOTAL(3,$G$6:G379),"")</f>
        <v/>
      </c>
      <c r="C379" s="58"/>
      <c r="D379" s="58"/>
      <c r="E379" s="59"/>
      <c r="F379" s="59"/>
      <c r="G379" s="59"/>
      <c r="H379" s="61"/>
      <c r="I379" s="62"/>
      <c r="J379" s="63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5"/>
      <c r="AS379" s="63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5"/>
      <c r="CB379" s="60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</row>
    <row r="380" spans="2:130" x14ac:dyDescent="0.15">
      <c r="B380" s="58" t="str">
        <f>IF(G380&lt;&gt;"",SUBTOTAL(3,$G$6:G380),"")</f>
        <v/>
      </c>
      <c r="C380" s="58"/>
      <c r="D380" s="58"/>
      <c r="E380" s="59"/>
      <c r="F380" s="59"/>
      <c r="G380" s="59"/>
      <c r="H380" s="61"/>
      <c r="I380" s="62"/>
      <c r="J380" s="63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5"/>
      <c r="AS380" s="63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5"/>
      <c r="CB380" s="60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</row>
    <row r="381" spans="2:130" x14ac:dyDescent="0.15">
      <c r="B381" s="58" t="str">
        <f>IF(G381&lt;&gt;"",SUBTOTAL(3,$G$6:G381),"")</f>
        <v/>
      </c>
      <c r="C381" s="58"/>
      <c r="D381" s="58"/>
      <c r="E381" s="59"/>
      <c r="F381" s="59"/>
      <c r="G381" s="59"/>
      <c r="H381" s="61"/>
      <c r="I381" s="62"/>
      <c r="J381" s="63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5"/>
      <c r="AS381" s="63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5"/>
      <c r="CB381" s="60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</row>
    <row r="382" spans="2:130" x14ac:dyDescent="0.15">
      <c r="B382" s="58" t="str">
        <f>IF(G382&lt;&gt;"",SUBTOTAL(3,$G$6:G382),"")</f>
        <v/>
      </c>
      <c r="C382" s="58"/>
      <c r="D382" s="58"/>
      <c r="E382" s="59"/>
      <c r="F382" s="59"/>
      <c r="G382" s="59"/>
      <c r="H382" s="61"/>
      <c r="I382" s="62"/>
      <c r="J382" s="63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5"/>
      <c r="AS382" s="63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5"/>
      <c r="CB382" s="60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</row>
    <row r="383" spans="2:130" x14ac:dyDescent="0.15">
      <c r="B383" s="58" t="str">
        <f>IF(G383&lt;&gt;"",SUBTOTAL(3,$G$6:G383),"")</f>
        <v/>
      </c>
      <c r="C383" s="58"/>
      <c r="D383" s="58"/>
      <c r="E383" s="59"/>
      <c r="F383" s="59"/>
      <c r="G383" s="59"/>
      <c r="H383" s="61"/>
      <c r="I383" s="62"/>
      <c r="J383" s="63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5"/>
      <c r="AS383" s="63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5"/>
      <c r="CB383" s="60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</row>
    <row r="384" spans="2:130" x14ac:dyDescent="0.15">
      <c r="B384" s="58" t="str">
        <f>IF(G384&lt;&gt;"",SUBTOTAL(3,$G$6:G384),"")</f>
        <v/>
      </c>
      <c r="C384" s="58"/>
      <c r="D384" s="58"/>
      <c r="E384" s="59"/>
      <c r="F384" s="59"/>
      <c r="G384" s="59"/>
      <c r="H384" s="61"/>
      <c r="I384" s="62"/>
      <c r="J384" s="63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5"/>
      <c r="AS384" s="63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5"/>
      <c r="CB384" s="60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</row>
    <row r="385" spans="2:130" x14ac:dyDescent="0.15">
      <c r="B385" s="58" t="str">
        <f>IF(G385&lt;&gt;"",SUBTOTAL(3,$G$6:G385),"")</f>
        <v/>
      </c>
      <c r="C385" s="58"/>
      <c r="D385" s="58"/>
      <c r="E385" s="59"/>
      <c r="F385" s="59"/>
      <c r="G385" s="59"/>
      <c r="H385" s="61"/>
      <c r="I385" s="62"/>
      <c r="J385" s="63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5"/>
      <c r="AS385" s="63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5"/>
      <c r="CB385" s="60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</row>
    <row r="386" spans="2:130" x14ac:dyDescent="0.15">
      <c r="B386" s="58" t="str">
        <f>IF(G386&lt;&gt;"",SUBTOTAL(3,$G$6:G386),"")</f>
        <v/>
      </c>
      <c r="C386" s="58"/>
      <c r="D386" s="58"/>
      <c r="E386" s="59"/>
      <c r="F386" s="59"/>
      <c r="G386" s="59"/>
      <c r="H386" s="61"/>
      <c r="I386" s="62"/>
      <c r="J386" s="63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5"/>
      <c r="AS386" s="63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5"/>
      <c r="CB386" s="60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</row>
    <row r="387" spans="2:130" x14ac:dyDescent="0.15">
      <c r="B387" s="85" t="str">
        <f>IF(G387&lt;&gt;"",SUBTOTAL(3,$G$6:G387),"")</f>
        <v/>
      </c>
      <c r="C387" s="85"/>
      <c r="D387" s="85"/>
      <c r="E387" s="86"/>
      <c r="F387" s="86"/>
      <c r="G387" s="86"/>
      <c r="H387" s="87"/>
      <c r="I387" s="88"/>
      <c r="J387" s="89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1"/>
      <c r="AS387" s="89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1"/>
      <c r="CB387" s="92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</row>
  </sheetData>
  <autoFilter ref="B5:CB387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58:I358 B372:I372 B364:I364 B45:D45 B52:H52 B61:H61 B359:AR363 B373:AR387 B365:AR371 F45:CB45 B46:CB50 J51:CB52 B62:CB62 K43:CB43 B44:CB44 K63:CB63 K274:CB274 B354:CB354 K353:CB353 K355:CB355 I169:CA169 K104:CB104 J60:CB61 B53:CB59 J64:CB66 B67:CB103 B105:CB146 I172:I179 B172:H180 J172:CB180 B356:AR357 AS356:CB387 I147:I168 B147:H169 CB147:CB169 J147:AR169 AS147:CA168 J180:J182 B170:CB171 J169:J171 B275:CB352 B6:CB42 B181:CB273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74:I274">
    <cfRule type="expression" dxfId="10" priority="20">
      <formula>AND($I274&lt;&gt;1,$I274&lt;&gt;"")</formula>
    </cfRule>
  </conditionalFormatting>
  <conditionalFormatting sqref="J274">
    <cfRule type="expression" dxfId="9" priority="19">
      <formula>AND($I274&lt;&gt;1,$I274&lt;&gt;"")</formula>
    </cfRule>
  </conditionalFormatting>
  <conditionalFormatting sqref="B353:I353 B355:I355">
    <cfRule type="expression" dxfId="8" priority="12">
      <formula>AND($I353&lt;&gt;1,$I353&lt;&gt;"")</formula>
    </cfRule>
  </conditionalFormatting>
  <conditionalFormatting sqref="J355">
    <cfRule type="expression" dxfId="7" priority="11">
      <formula>AND($I355&lt;&gt;1,$I355&lt;&gt;"")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87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55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2020-10-27T22:57:57Z</dcterms:modified>
</cp:coreProperties>
</file>
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D6C9DDD-5E26-40F1-94EF-5B0A59926FD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At_Coder_C問題!$B$4:$CB$454</definedName>
    <definedName name="fromABC114_C_755">At_Coder_C問題!$J$80</definedName>
    <definedName name="fromABC143_C_Slimes">At_Coder_C問題!$J$243</definedName>
    <definedName name="fromABC147_C_Honest_or_Unkind2">At_Coder_C問題!$J$255</definedName>
    <definedName name="fromABC149_C_NextPrime">At_Coder_C問題!$J$261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6" i="3" l="1"/>
  <c r="B85" i="3"/>
  <c r="B87" i="3"/>
  <c r="B316" i="3"/>
  <c r="B34" i="3"/>
  <c r="B37" i="3"/>
  <c r="B36" i="3"/>
  <c r="B35" i="3"/>
  <c r="B32" i="3" l="1"/>
  <c r="B31" i="3"/>
  <c r="B28" i="3" l="1"/>
  <c r="B29" i="3"/>
  <c r="B24" i="3"/>
  <c r="B25" i="3"/>
  <c r="B26" i="3"/>
  <c r="B89" i="3" l="1"/>
  <c r="B81" i="3"/>
  <c r="B82" i="3"/>
  <c r="B83" i="3"/>
  <c r="B78" i="3"/>
  <c r="B79" i="3"/>
  <c r="B171" i="3" l="1"/>
  <c r="B170" i="3"/>
  <c r="B172" i="3"/>
  <c r="B173" i="3"/>
  <c r="B174" i="3"/>
  <c r="B175" i="3"/>
  <c r="B165" i="3"/>
  <c r="B166" i="3"/>
  <c r="B164" i="3"/>
  <c r="B167" i="3"/>
  <c r="B168" i="3"/>
  <c r="B176" i="3"/>
  <c r="B169" i="3"/>
  <c r="B178" i="3" l="1"/>
  <c r="B179" i="3"/>
  <c r="B183" i="3" l="1"/>
  <c r="B181" i="3" l="1"/>
  <c r="B182" i="3"/>
  <c r="B184" i="3"/>
  <c r="B186" i="3" l="1"/>
  <c r="B187" i="3"/>
  <c r="B188" i="3"/>
  <c r="B190" i="3" l="1"/>
  <c r="B191" i="3"/>
  <c r="B197" i="3"/>
  <c r="B195" i="3"/>
  <c r="B193" i="3"/>
  <c r="B194" i="3"/>
  <c r="B196" i="3"/>
  <c r="B199" i="3" l="1"/>
  <c r="B200" i="3"/>
  <c r="B201" i="3"/>
  <c r="B205" i="3"/>
  <c r="B203" i="3" l="1"/>
  <c r="B204" i="3"/>
  <c r="B206" i="3"/>
  <c r="B208" i="3" l="1"/>
  <c r="B209" i="3"/>
  <c r="B210" i="3"/>
  <c r="B211" i="3"/>
  <c r="B214" i="3" l="1"/>
  <c r="B213" i="3"/>
  <c r="B215" i="3" l="1"/>
  <c r="B216" i="3"/>
  <c r="B275" i="3"/>
  <c r="B273" i="3"/>
  <c r="B274" i="3"/>
  <c r="B276" i="3"/>
  <c r="B280" i="3"/>
  <c r="B281" i="3"/>
  <c r="J341" i="3"/>
  <c r="J285" i="3"/>
  <c r="B283" i="3" l="1"/>
  <c r="B284" i="3"/>
  <c r="B286" i="3"/>
  <c r="B289" i="3"/>
  <c r="B293" i="3"/>
  <c r="B288" i="3"/>
  <c r="B290" i="3"/>
  <c r="B291" i="3"/>
  <c r="B292" i="3"/>
  <c r="B294" i="3"/>
  <c r="B295" i="3" l="1"/>
  <c r="B296" i="3"/>
  <c r="B297" i="3"/>
  <c r="B326" i="3" l="1"/>
  <c r="B327" i="3"/>
  <c r="B328" i="3"/>
  <c r="B329" i="3"/>
  <c r="B344" i="3"/>
  <c r="B345" i="3"/>
  <c r="B346" i="3"/>
  <c r="B360" i="3"/>
  <c r="B353" i="3"/>
  <c r="B355" i="3"/>
  <c r="B356" i="3"/>
  <c r="B361" i="3"/>
  <c r="B357" i="3"/>
  <c r="B358" i="3"/>
  <c r="B359" i="3"/>
  <c r="B354" i="3"/>
  <c r="B362" i="3"/>
  <c r="B351" i="3" l="1"/>
  <c r="B352" i="3"/>
  <c r="B363" i="3"/>
  <c r="B385" i="3"/>
  <c r="B383" i="3"/>
  <c r="B384" i="3"/>
  <c r="B382" i="3"/>
  <c r="B386" i="3"/>
  <c r="B388" i="3" l="1"/>
  <c r="B9" i="3" l="1"/>
  <c r="B8" i="3"/>
  <c r="B10" i="3"/>
  <c r="B306" i="3"/>
  <c r="B256" i="3"/>
  <c r="B257" i="3"/>
  <c r="B252" i="3"/>
  <c r="B253" i="3"/>
  <c r="B245" i="3" l="1"/>
  <c r="B244" i="3"/>
  <c r="B246" i="3"/>
  <c r="B224" i="3" l="1"/>
  <c r="B225" i="3"/>
  <c r="B223" i="3"/>
  <c r="B222" i="3"/>
  <c r="B332" i="3" l="1"/>
  <c r="B331" i="3"/>
  <c r="B333" i="3"/>
  <c r="B324" i="3"/>
  <c r="B321" i="3"/>
  <c r="B322" i="3"/>
  <c r="B323" i="3"/>
  <c r="B318" i="3" l="1"/>
  <c r="B319" i="3"/>
  <c r="B317" i="3"/>
  <c r="B314" i="3" l="1"/>
  <c r="B312" i="3" l="1"/>
  <c r="B309" i="3"/>
  <c r="B308" i="3"/>
  <c r="B310" i="3" l="1"/>
  <c r="B220" i="3" l="1"/>
  <c r="B218" i="3"/>
  <c r="B219" i="3"/>
  <c r="B304" i="3" l="1"/>
  <c r="B302" i="3" l="1"/>
  <c r="B300" i="3"/>
  <c r="B299" i="3"/>
  <c r="B278" i="3"/>
  <c r="B250" i="3" l="1"/>
  <c r="B249" i="3"/>
  <c r="B248" i="3" l="1"/>
  <c r="B239" i="3"/>
  <c r="B227" i="3"/>
  <c r="B228" i="3"/>
  <c r="B262" i="3" l="1"/>
  <c r="B263" i="3"/>
  <c r="B268" i="3"/>
  <c r="B267" i="3"/>
  <c r="B266" i="3"/>
  <c r="B265" i="3"/>
  <c r="B271" i="3" l="1"/>
  <c r="B270" i="3"/>
  <c r="B260" i="3"/>
  <c r="B259" i="3"/>
  <c r="B233" i="3" l="1"/>
  <c r="B236" i="3"/>
  <c r="B237" i="3"/>
  <c r="B235" i="3"/>
  <c r="B43" i="3"/>
  <c r="B42" i="3"/>
  <c r="B41" i="3"/>
  <c r="B40" i="3"/>
  <c r="B158" i="3" l="1"/>
  <c r="B374" i="3"/>
  <c r="B375" i="3"/>
  <c r="B373" i="3"/>
  <c r="B376" i="3"/>
  <c r="B22" i="3" l="1"/>
  <c r="B15" i="3"/>
  <c r="B6" i="3" l="1"/>
  <c r="B75" i="3" l="1"/>
  <c r="B76" i="3"/>
  <c r="B422" i="3" l="1"/>
  <c r="B421" i="3"/>
  <c r="B420" i="3"/>
  <c r="B419" i="3"/>
  <c r="B416" i="3"/>
  <c r="B414" i="3"/>
  <c r="B413" i="3"/>
  <c r="B412" i="3"/>
  <c r="B411" i="3"/>
  <c r="B410" i="3"/>
  <c r="B409" i="3"/>
  <c r="B417" i="3"/>
  <c r="B415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0" i="3"/>
  <c r="B379" i="3"/>
  <c r="B378" i="3"/>
  <c r="B377" i="3"/>
  <c r="B371" i="3"/>
  <c r="B370" i="3"/>
  <c r="B369" i="3"/>
  <c r="B368" i="3"/>
  <c r="B367" i="3"/>
  <c r="B366" i="3"/>
  <c r="B365" i="3"/>
  <c r="B349" i="3"/>
  <c r="B348" i="3"/>
  <c r="B341" i="3"/>
  <c r="B340" i="3"/>
  <c r="B339" i="3"/>
  <c r="B338" i="3"/>
  <c r="B337" i="3"/>
  <c r="B336" i="3"/>
  <c r="B335" i="3"/>
  <c r="B242" i="3"/>
  <c r="B241" i="3"/>
  <c r="B231" i="3"/>
  <c r="B230" i="3"/>
  <c r="B162" i="3"/>
  <c r="B161" i="3"/>
  <c r="B160" i="3"/>
  <c r="B159" i="3"/>
  <c r="B156" i="3"/>
  <c r="B155" i="3"/>
  <c r="B153" i="3"/>
  <c r="B152" i="3"/>
  <c r="B151" i="3"/>
  <c r="B150" i="3"/>
  <c r="B149" i="3"/>
  <c r="B147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3" i="3"/>
  <c r="B132" i="3"/>
  <c r="B131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5" i="3"/>
  <c r="B114" i="3"/>
  <c r="B113" i="3"/>
  <c r="B112" i="3"/>
  <c r="B111" i="3"/>
  <c r="B109" i="3"/>
  <c r="B108" i="3"/>
  <c r="B107" i="3"/>
  <c r="B105" i="3"/>
  <c r="B104" i="3"/>
  <c r="B103" i="3"/>
  <c r="B100" i="3"/>
  <c r="B99" i="3"/>
  <c r="B98" i="3"/>
  <c r="B97" i="3"/>
  <c r="B96" i="3"/>
  <c r="B95" i="3"/>
  <c r="B94" i="3"/>
  <c r="B102" i="3"/>
  <c r="B101" i="3"/>
  <c r="B93" i="3"/>
  <c r="B91" i="3"/>
  <c r="J73" i="3"/>
  <c r="B73" i="3"/>
  <c r="B70" i="3"/>
  <c r="B69" i="3"/>
  <c r="B68" i="3"/>
  <c r="B67" i="3"/>
  <c r="B65" i="3"/>
  <c r="B64" i="3"/>
  <c r="B60" i="3"/>
  <c r="B59" i="3"/>
  <c r="B58" i="3"/>
  <c r="B48" i="3"/>
  <c r="B54" i="3"/>
  <c r="B56" i="3"/>
  <c r="B53" i="3"/>
  <c r="B52" i="3"/>
  <c r="B51" i="3"/>
  <c r="B50" i="3"/>
  <c r="B47" i="3"/>
  <c r="B46" i="3"/>
  <c r="B45" i="3"/>
  <c r="B21" i="3"/>
  <c r="B14" i="3"/>
  <c r="B13" i="3"/>
  <c r="B12" i="3"/>
  <c r="B74" i="3" l="1"/>
  <c r="B342" i="3" l="1"/>
  <c r="B44" i="3" l="1"/>
  <c r="B55" i="3" l="1"/>
  <c r="B49" i="3" l="1"/>
  <c r="B63" i="3" l="1"/>
  <c r="B66" i="3"/>
  <c r="B71" i="3"/>
  <c r="B72" i="3"/>
  <c r="B77" i="3"/>
  <c r="B80" i="3"/>
  <c r="B84" i="3"/>
  <c r="B88" i="3"/>
  <c r="B90" i="3"/>
  <c r="B92" i="3"/>
  <c r="B106" i="3"/>
  <c r="B110" i="3"/>
  <c r="B116" i="3"/>
  <c r="B57" i="3"/>
  <c r="B124" i="3" l="1"/>
  <c r="B130" i="3" l="1"/>
  <c r="B141" i="3" l="1"/>
  <c r="B148" i="3" l="1"/>
  <c r="B454" i="3" l="1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18" i="3"/>
  <c r="B389" i="3"/>
  <c r="B387" i="3"/>
  <c r="B381" i="3"/>
  <c r="B372" i="3"/>
  <c r="B364" i="3"/>
  <c r="B350" i="3"/>
  <c r="B347" i="3"/>
  <c r="B343" i="3"/>
  <c r="B334" i="3"/>
  <c r="B330" i="3"/>
  <c r="B325" i="3"/>
  <c r="B320" i="3"/>
  <c r="B315" i="3"/>
  <c r="B313" i="3"/>
  <c r="B311" i="3"/>
  <c r="B307" i="3"/>
  <c r="B305" i="3"/>
  <c r="B303" i="3"/>
  <c r="B301" i="3"/>
  <c r="B298" i="3"/>
  <c r="B287" i="3"/>
  <c r="B282" i="3"/>
  <c r="B279" i="3"/>
  <c r="B277" i="3"/>
  <c r="B272" i="3"/>
  <c r="B269" i="3"/>
  <c r="B264" i="3"/>
  <c r="B261" i="3"/>
  <c r="B258" i="3"/>
  <c r="B255" i="3"/>
  <c r="B254" i="3"/>
  <c r="B251" i="3"/>
  <c r="B247" i="3"/>
  <c r="B243" i="3"/>
  <c r="B240" i="3"/>
  <c r="B238" i="3"/>
  <c r="B234" i="3"/>
  <c r="B232" i="3"/>
  <c r="B229" i="3"/>
  <c r="B226" i="3"/>
  <c r="B221" i="3"/>
  <c r="B217" i="3"/>
  <c r="B212" i="3"/>
  <c r="B207" i="3"/>
  <c r="B202" i="3"/>
  <c r="B198" i="3"/>
  <c r="B192" i="3"/>
  <c r="B189" i="3"/>
  <c r="B185" i="3"/>
  <c r="B180" i="3"/>
  <c r="B177" i="3"/>
  <c r="B163" i="3"/>
  <c r="B157" i="3"/>
  <c r="B154" i="3"/>
  <c r="B39" i="3"/>
  <c r="B38" i="3"/>
  <c r="B33" i="3"/>
  <c r="B30" i="3"/>
  <c r="B27" i="3"/>
  <c r="B23" i="3"/>
  <c r="B20" i="3"/>
  <c r="B19" i="3"/>
  <c r="B18" i="3"/>
  <c r="B17" i="3"/>
  <c r="B16" i="3"/>
  <c r="B11" i="3"/>
  <c r="B7" i="3"/>
  <c r="B5" i="3"/>
</calcChain>
</file>

<file path=xl/sharedStrings.xml><?xml version="1.0" encoding="utf-8"?>
<sst xmlns="http://schemas.openxmlformats.org/spreadsheetml/2006/main" count="873" uniqueCount="572">
  <si>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</si>
  <si>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</si>
  <si>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</si>
  <si>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</si>
  <si>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</si>
  <si>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</si>
  <si>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</si>
  <si>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</si>
  <si>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</si>
  <si>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</si>
  <si>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</si>
  <si>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</si>
  <si>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</si>
  <si>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</si>
  <si>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</si>
  <si>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</si>
  <si>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</si>
  <si>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</si>
  <si>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</si>
  <si>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</si>
  <si>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</si>
  <si>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</si>
  <si>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</si>
  <si>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</si>
  <si>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</si>
  <si>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</si>
  <si>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</si>
  <si>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</si>
  <si>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</si>
  <si>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</si>
  <si>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</si>
  <si>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</si>
  <si>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</si>
  <si>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</si>
  <si>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</si>
  <si>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</si>
  <si>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</si>
  <si>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</si>
  <si>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</si>
  <si>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</si>
  <si>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</si>
  <si>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</si>
  <si>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</si>
  <si>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</si>
  <si>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</si>
  <si>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</si>
  <si>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</si>
  <si>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</si>
  <si>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</si>
  <si>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</si>
  <si>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</si>
  <si>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</si>
  <si>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</si>
  <si>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</si>
  <si>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</si>
  <si>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</si>
  <si>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</si>
  <si>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</si>
  <si>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</si>
  <si>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</si>
  <si>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</si>
  <si>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</si>
  <si>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</si>
  <si>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</si>
  <si>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</si>
  <si>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</si>
  <si>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</si>
  <si>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</si>
  <si>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</si>
  <si>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</si>
  <si>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</si>
  <si>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</si>
  <si>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</si>
  <si>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</si>
  <si>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</si>
  <si>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</si>
  <si>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</si>
  <si>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</si>
  <si>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</si>
  <si>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</si>
  <si>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</si>
  <si>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</si>
  <si>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</si>
  <si>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</si>
  <si>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</si>
  <si>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</si>
  <si>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</si>
  <si>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</si>
  <si>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</si>
  <si>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</si>
  <si>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</si>
  <si>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</si>
  <si>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</si>
  <si>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</si>
  <si>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</si>
  <si>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</si>
  <si>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</si>
  <si>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</si>
  <si>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</si>
  <si>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</si>
  <si>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</si>
  <si>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</si>
  <si>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</si>
  <si>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</si>
  <si>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</si>
  <si>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</si>
  <si>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</si>
  <si>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</si>
  <si>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</si>
  <si>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</si>
  <si>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</si>
  <si>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</si>
  <si>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</si>
  <si>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</si>
  <si>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</si>
  <si>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</si>
  <si>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</si>
  <si>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</si>
  <si>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</si>
  <si>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</si>
  <si>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</si>
  <si>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</si>
  <si>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</si>
  <si>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</si>
  <si>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</si>
  <si>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</si>
  <si>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</si>
  <si>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</si>
  <si>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</si>
  <si>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</si>
  <si>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</si>
  <si>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</si>
  <si>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</si>
  <si>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</si>
  <si>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</si>
  <si>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</si>
  <si>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</si>
  <si>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</si>
  <si>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</si>
  <si>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</si>
  <si>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</si>
  <si>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</si>
  <si>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</si>
  <si>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</si>
  <si>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</si>
  <si>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</si>
  <si>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</si>
  <si>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</si>
  <si>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</si>
  <si>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</si>
  <si>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</si>
  <si>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</si>
  <si>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</si>
  <si>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</si>
  <si>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</si>
  <si>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</si>
  <si>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</si>
  <si>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</si>
  <si>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</si>
  <si>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</si>
  <si>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</si>
  <si>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</si>
  <si>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</si>
  <si>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</si>
  <si>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</si>
  <si>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</si>
  <si>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</si>
  <si>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</si>
  <si>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</si>
  <si>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</si>
  <si>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</si>
  <si>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</si>
  <si>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</si>
  <si>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</si>
  <si>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</si>
  <si>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</si>
  <si>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</si>
  <si>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</si>
  <si>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</si>
  <si>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</si>
  <si>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</si>
  <si>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</si>
  <si>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</si>
  <si>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</si>
  <si>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</si>
  <si>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</si>
  <si>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</si>
  <si>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</si>
  <si>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</si>
  <si>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</si>
  <si>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</si>
  <si>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</si>
  <si>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</si>
  <si>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</si>
  <si>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</si>
  <si>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</si>
  <si>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</si>
  <si>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</si>
  <si>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</si>
  <si>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</si>
  <si>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</si>
  <si>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</si>
  <si>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</si>
  <si>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</si>
  <si>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</si>
  <si>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</si>
  <si>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</si>
  <si>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</si>
  <si>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</si>
  <si>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</si>
  <si>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</si>
  <si>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</si>
  <si>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</si>
  <si>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</si>
  <si>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</si>
  <si>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</si>
  <si>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</si>
  <si>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</si>
  <si>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</si>
  <si>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</si>
  <si>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</si>
  <si>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</si>
  <si>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</si>
  <si>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</si>
  <si>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</si>
  <si>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</si>
  <si>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</si>
  <si>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</si>
  <si>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</si>
  <si>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</si>
  <si>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</si>
  <si>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</si>
  <si>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</si>
  <si>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</si>
  <si>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</si>
  <si>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</si>
  <si>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</si>
  <si>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</si>
  <si>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</si>
  <si>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</si>
  <si>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</si>
  <si>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</si>
  <si>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</si>
  <si>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</si>
  <si>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</si>
  <si>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</si>
  <si>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</si>
  <si>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</si>
  <si>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</si>
  <si>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</si>
  <si>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</si>
  <si>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</si>
  <si>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</si>
  <si>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</si>
  <si>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</si>
  <si>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</si>
  <si>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</si>
  <si>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</si>
  <si>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</si>
  <si>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</si>
  <si>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</si>
  <si>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</si>
  <si>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</si>
  <si>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</si>
  <si>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</si>
  <si>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</si>
  <si>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</si>
  <si>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</si>
  <si>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</si>
  <si>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</si>
  <si>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</si>
  <si>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</si>
  <si>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</si>
  <si>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</si>
  <si>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</si>
  <si>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</si>
  <si>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</si>
  <si>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</si>
  <si>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</si>
  <si>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</si>
  <si>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</si>
  <si>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</si>
  <si>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</si>
  <si>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</si>
  <si>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</si>
  <si>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</si>
  <si>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</si>
  <si>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</si>
  <si>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</si>
  <si>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</si>
  <si>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</si>
  <si>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</si>
  <si>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</si>
  <si>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</si>
  <si>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</si>
  <si>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</si>
  <si>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</si>
  <si>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</si>
  <si>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</si>
  <si>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</si>
  <si>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</si>
  <si>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</si>
  <si>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</si>
  <si>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</si>
  <si>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</si>
  <si>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</si>
  <si>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</si>
  <si>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</si>
  <si>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</si>
  <si>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</si>
  <si>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</si>
  <si>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</si>
  <si>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</si>
  <si>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</si>
  <si>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</si>
  <si>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</si>
  <si>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</si>
  <si>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</si>
  <si>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</si>
  <si>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</si>
  <si>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</si>
  <si>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</si>
  <si>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</si>
  <si>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</si>
  <si>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</si>
  <si>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</si>
  <si>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</si>
  <si>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</si>
  <si>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</si>
  <si>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</si>
  <si>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</si>
  <si>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</si>
  <si>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</si>
  <si>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</si>
  <si>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</si>
  <si>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</si>
  <si>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</si>
  <si>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</si>
  <si>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</si>
  <si>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</si>
  <si>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</si>
  <si>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</si>
  <si>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</si>
  <si>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</si>
  <si>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</si>
  <si>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</si>
  <si>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</si>
  <si>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</si>
  <si>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</si>
  <si>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</si>
  <si>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</si>
  <si>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</si>
  <si>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</si>
  <si>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</si>
  <si>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</si>
  <si>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</si>
  <si>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</si>
  <si>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</si>
  <si>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</si>
  <si>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</si>
  <si>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</si>
  <si>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</si>
  <si>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</si>
  <si>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</si>
  <si>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</si>
  <si>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</si>
  <si>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</si>
  <si>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</si>
  <si>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</si>
  <si>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</si>
  <si>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</si>
  <si>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</si>
  <si>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</si>
  <si>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</si>
  <si>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</si>
  <si>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</si>
  <si>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</si>
  <si>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</si>
  <si>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</si>
  <si>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</si>
  <si>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</si>
  <si>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</si>
  <si>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</si>
  <si>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</si>
  <si>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</si>
  <si>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</si>
  <si>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</si>
  <si>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</si>
  <si>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</si>
  <si>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</si>
  <si>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</si>
  <si>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</si>
  <si>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</si>
  <si>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</si>
  <si>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</si>
  <si>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</si>
  <si>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</si>
  <si>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</si>
  <si>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</si>
  <si>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</si>
  <si>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</si>
  <si>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</si>
  <si>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</si>
  <si>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</si>
  <si>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</si>
  <si>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</si>
  <si>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</si>
  <si>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</si>
  <si>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</si>
  <si>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</si>
  <si>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</si>
  <si>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</si>
  <si>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</si>
  <si>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</si>
  <si>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</si>
  <si>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</si>
  <si>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</si>
  <si>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</si>
  <si>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</si>
  <si>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</si>
  <si>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</si>
  <si>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</si>
  <si>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</si>
  <si>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</si>
  <si>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</si>
  <si>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</si>
  <si>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</si>
  <si>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</si>
  <si>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</si>
  <si>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</si>
  <si>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</si>
  <si>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</si>
  <si>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</si>
  <si>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</si>
  <si>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</si>
  <si>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</si>
  <si>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</si>
  <si>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</si>
  <si>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</si>
  <si>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</si>
  <si>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</si>
  <si>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</si>
  <si>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</si>
  <si>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</si>
  <si>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</si>
  <si>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</si>
  <si>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</si>
  <si>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</si>
  <si>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</si>
  <si>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</si>
  <si>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</si>
  <si>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</si>
  <si>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</si>
  <si>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</si>
  <si>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</si>
  <si>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</si>
  <si>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</si>
  <si>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</si>
  <si>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</si>
  <si>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</si>
  <si>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</si>
  <si>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</si>
  <si>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</si>
  <si>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</si>
  <si>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</si>
  <si>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</si>
  <si>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</si>
  <si>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</si>
  <si>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</si>
  <si>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</si>
  <si>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</si>
  <si>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</si>
  <si>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</si>
  <si>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</si>
  <si>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</si>
  <si>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</si>
  <si>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</si>
  <si>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</si>
  <si>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</si>
  <si>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</si>
  <si>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</si>
  <si>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</si>
  <si>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</si>
  <si>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</si>
  <si>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</si>
  <si>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</si>
  <si>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</si>
  <si>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</si>
  <si>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</si>
  <si>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</si>
  <si>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</si>
  <si>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</si>
  <si>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</si>
  <si>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</si>
  <si>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</si>
  <si>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</si>
  <si>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</si>
  <si>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</si>
  <si>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</si>
  <si>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</si>
  <si>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</si>
  <si>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</si>
  <si>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</si>
  <si>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</si>
  <si>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</si>
  <si>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</si>
  <si>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</si>
  <si>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</si>
  <si>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</si>
  <si>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</si>
  <si>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</si>
  <si>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</si>
  <si>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</si>
  <si>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</si>
  <si>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</si>
  <si>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</si>
  <si>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</si>
  <si>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</si>
  <si>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</si>
  <si>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</si>
  <si>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</si>
  <si>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</si>
  <si>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</si>
  <si>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</si>
  <si>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</si>
  <si>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</si>
  <si>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</si>
  <si>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</si>
  <si>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</si>
  <si>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</si>
  <si>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</si>
  <si>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</si>
  <si>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</si>
  <si>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</si>
  <si>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</si>
  <si>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</si>
  <si>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</si>
  <si>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</si>
  <si>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</si>
  <si>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</si>
  <si>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</si>
  <si>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</si>
  <si>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</si>
  <si>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</si>
  <si>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</si>
  <si>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</si>
  <si>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</si>
  <si>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</si>
  <si>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</si>
  <si>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</si>
  <si>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</si>
  <si>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</si>
  <si>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</si>
  <si>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</si>
  <si>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</si>
  <si>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</si>
  <si>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</si>
  <si>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</si>
  <si>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</si>
  <si>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r>
      <t xml:space="preserve">  偶奇が一致した M または M+1 が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セイスウ</t>
    </rPh>
    <rPh sb="26" eb="27">
      <t>ヒト</t>
    </rPh>
    <rPh sb="34" eb="36">
      <t>カノウ</t>
    </rPh>
    <rPh sb="37" eb="39">
      <t>セイスウ</t>
    </rPh>
    <phoneticPr fontId="2"/>
  </si>
  <si>
    <r>
      <t>・操作の回数は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1" eb="3">
      <t>ソウサ</t>
    </rPh>
    <rPh sb="4" eb="6">
      <t>カイスウ</t>
    </rPh>
    <phoneticPr fontId="2"/>
  </si>
  <si>
    <t>・2種類の操作は 両操作とも A+B+C の偶奇を変えることはない</t>
    <rPh sb="2" eb="4">
      <t>シュルイ</t>
    </rPh>
    <rPh sb="5" eb="7">
      <t>ソウサ</t>
    </rPh>
    <rPh sb="9" eb="10">
      <t>リョウ</t>
    </rPh>
    <rPh sb="10" eb="12">
      <t>ソウサ</t>
    </rPh>
    <rPh sb="22" eb="24">
      <t>グウキ</t>
    </rPh>
    <rPh sb="25" eb="26">
      <t>カ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</si>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</sst>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418</xdr:row>
      <xdr:rowOff>33337</xdr:rowOff>
    </xdr:from>
    <xdr:to>
      <xdr:col>16</xdr:col>
      <xdr:colOff>38100</xdr:colOff>
      <xdr:row>418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420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419</xdr:row>
      <xdr:rowOff>35719</xdr:rowOff>
    </xdr:from>
    <xdr:to>
      <xdr:col>21</xdr:col>
      <xdr:colOff>133350</xdr:colOff>
      <xdr:row>420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54"/>
  <sheetViews>
    <sheetView tabSelected="1" zoomScale="115" zoomScaleNormal="115" workbookViewId="0">
      <pane ySplit="4" topLeftCell="A5" activePane="bottomLeft" state="frozen"/>
      <selection pane="bottomLeft" activeCell="A5" sqref="A5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392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347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451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452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453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351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352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353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101" t="s">
        <v>139</v>
      </c>
      <c r="F16" s="101" t="s">
        <v>135</v>
      </c>
      <c r="G16" s="102" t="s">
        <v>146</v>
      </c>
      <c r="H16" s="100">
        <v>43995</v>
      </c>
      <c r="I16" s="60"/>
      <c r="J16" s="61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56">
        <f>IF(G17&lt;&gt;"",SUBTOTAL(3,$G$5:G17),"")</f>
        <v>5</v>
      </c>
      <c r="C17" s="56"/>
      <c r="D17" s="56"/>
      <c r="E17" s="101" t="s">
        <v>139</v>
      </c>
      <c r="F17" s="101" t="s">
        <v>135</v>
      </c>
      <c r="G17" s="102" t="s">
        <v>147</v>
      </c>
      <c r="H17" s="100">
        <v>43869</v>
      </c>
      <c r="I17" s="60"/>
      <c r="J17" s="61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56">
        <f>IF(G18&lt;&gt;"",SUBTOTAL(3,$G$5:G18),"")</f>
        <v>6</v>
      </c>
      <c r="C18" s="56"/>
      <c r="D18" s="56"/>
      <c r="E18" s="101" t="s">
        <v>139</v>
      </c>
      <c r="F18" s="101" t="s">
        <v>135</v>
      </c>
      <c r="G18" s="102" t="s">
        <v>148</v>
      </c>
      <c r="H18" s="100">
        <v>43871</v>
      </c>
      <c r="I18" s="60"/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7</v>
      </c>
      <c r="C19" s="56"/>
      <c r="D19" s="56"/>
      <c r="E19" s="101" t="s">
        <v>139</v>
      </c>
      <c r="F19" s="101" t="s">
        <v>135</v>
      </c>
      <c r="G19" s="102" t="s">
        <v>149</v>
      </c>
      <c r="H19" s="100">
        <v>44006</v>
      </c>
      <c r="I19" s="60"/>
      <c r="J19" s="61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56">
        <f>IF(G20&lt;&gt;"",SUBTOTAL(3,$G$5:G20),"")</f>
        <v>8</v>
      </c>
      <c r="C20" s="56"/>
      <c r="D20" s="56"/>
      <c r="E20" s="57" t="s">
        <v>139</v>
      </c>
      <c r="F20" s="57" t="s">
        <v>135</v>
      </c>
      <c r="G20" s="58" t="s">
        <v>150</v>
      </c>
      <c r="H20" s="59">
        <v>43869</v>
      </c>
      <c r="I20" s="68">
        <v>1</v>
      </c>
      <c r="J20" s="61" t="s">
        <v>242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56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243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9</v>
      </c>
      <c r="C23" s="56"/>
      <c r="D23" s="56"/>
      <c r="E23" s="101" t="s">
        <v>139</v>
      </c>
      <c r="F23" s="101" t="s">
        <v>135</v>
      </c>
      <c r="G23" s="102" t="s">
        <v>151</v>
      </c>
      <c r="H23" s="100">
        <v>43869</v>
      </c>
      <c r="I23" s="60">
        <v>0.8</v>
      </c>
      <c r="J23" s="61" t="s">
        <v>553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101"/>
      <c r="F24" s="101"/>
      <c r="G24" s="102"/>
      <c r="H24" s="100"/>
      <c r="I24" s="66">
        <v>0.8</v>
      </c>
      <c r="J24" s="61" t="s">
        <v>552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101"/>
      <c r="F25" s="101"/>
      <c r="G25" s="102"/>
      <c r="H25" s="100"/>
      <c r="I25" s="66">
        <v>0.8</v>
      </c>
      <c r="J25" s="61" t="s">
        <v>554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101"/>
      <c r="F26" s="101"/>
      <c r="G26" s="102"/>
      <c r="H26" s="100"/>
      <c r="I26" s="66">
        <v>0.8</v>
      </c>
      <c r="J26" s="61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56">
        <f>IF(G27&lt;&gt;"",SUBTOTAL(3,$G$5:G27),"")</f>
        <v>10</v>
      </c>
      <c r="C27" s="56"/>
      <c r="D27" s="56"/>
      <c r="E27" s="57" t="s">
        <v>139</v>
      </c>
      <c r="F27" s="57" t="s">
        <v>135</v>
      </c>
      <c r="G27" s="58" t="s">
        <v>152</v>
      </c>
      <c r="H27" s="59">
        <v>43869</v>
      </c>
      <c r="I27" s="60">
        <v>1</v>
      </c>
      <c r="J27" s="61" t="s">
        <v>556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 t="s">
        <v>555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97" t="str">
        <f>IF(G29&lt;&gt;"",SUBTOTAL(3,$G$5:G29),"")</f>
        <v/>
      </c>
      <c r="C29" s="56"/>
      <c r="D29" s="56"/>
      <c r="E29" s="57"/>
      <c r="F29" s="57"/>
      <c r="G29" s="58"/>
      <c r="H29" s="59"/>
      <c r="I29" s="68">
        <v>1</v>
      </c>
      <c r="J29" s="61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ht="16.5" x14ac:dyDescent="0.15">
      <c r="B30" s="56">
        <f>IF(G30&lt;&gt;"",SUBTOTAL(3,$G$5:G30),"")</f>
        <v>11</v>
      </c>
      <c r="C30" s="56"/>
      <c r="D30" s="56"/>
      <c r="E30" s="57" t="s">
        <v>139</v>
      </c>
      <c r="F30" s="57" t="s">
        <v>135</v>
      </c>
      <c r="G30" s="58" t="s">
        <v>153</v>
      </c>
      <c r="H30" s="59">
        <v>43869</v>
      </c>
      <c r="I30" s="60">
        <v>1</v>
      </c>
      <c r="J30" s="61" t="s">
        <v>558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 t="s">
        <v>557</v>
      </c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97" t="str">
        <f>IF(G32&lt;&gt;"",SUBTOTAL(3,$G$5:G32),"")</f>
        <v/>
      </c>
      <c r="C32" s="56"/>
      <c r="D32" s="56"/>
      <c r="E32" s="57"/>
      <c r="F32" s="57"/>
      <c r="G32" s="58"/>
      <c r="H32" s="59"/>
      <c r="I32" s="68">
        <v>1</v>
      </c>
      <c r="J32" s="61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>
        <f>IF(G33&lt;&gt;"",SUBTOTAL(3,$G$5:G33),"")</f>
        <v>12</v>
      </c>
      <c r="C33" s="56"/>
      <c r="D33" s="56"/>
      <c r="E33" s="101" t="s">
        <v>139</v>
      </c>
      <c r="F33" s="101" t="s">
        <v>135</v>
      </c>
      <c r="G33" s="102" t="s">
        <v>154</v>
      </c>
      <c r="H33" s="100">
        <v>43869</v>
      </c>
      <c r="I33" s="60">
        <v>0.5</v>
      </c>
      <c r="J33" s="61" t="s">
        <v>561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97" t="str">
        <f>IF(G34&lt;&gt;"",SUBTOTAL(3,$G$5:G34),"")</f>
        <v/>
      </c>
      <c r="C34" s="56"/>
      <c r="D34" s="56"/>
      <c r="E34" s="101"/>
      <c r="F34" s="101"/>
      <c r="G34" s="102"/>
      <c r="H34" s="100"/>
      <c r="I34" s="66">
        <v>0.5</v>
      </c>
      <c r="J34" s="61" t="s">
        <v>561</v>
      </c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97" t="str">
        <f>IF(G35&lt;&gt;"",SUBTOTAL(3,$G$5:G35),"")</f>
        <v/>
      </c>
      <c r="C35" s="56"/>
      <c r="D35" s="56"/>
      <c r="E35" s="101"/>
      <c r="F35" s="101"/>
      <c r="G35" s="102"/>
      <c r="H35" s="100"/>
      <c r="I35" s="66">
        <v>0.5</v>
      </c>
      <c r="J35" s="61" t="s">
        <v>559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97" t="str">
        <f>IF(G36&lt;&gt;"",SUBTOTAL(3,$G$5:G36),"")</f>
        <v/>
      </c>
      <c r="C36" s="56"/>
      <c r="D36" s="56"/>
      <c r="E36" s="101"/>
      <c r="F36" s="101"/>
      <c r="G36" s="102"/>
      <c r="H36" s="100"/>
      <c r="I36" s="66">
        <v>0.5</v>
      </c>
      <c r="J36" s="61" t="s">
        <v>560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97" t="str">
        <f>IF(G37&lt;&gt;"",SUBTOTAL(3,$G$5:G37),"")</f>
        <v/>
      </c>
      <c r="C37" s="56"/>
      <c r="D37" s="56"/>
      <c r="E37" s="101"/>
      <c r="F37" s="101"/>
      <c r="G37" s="102"/>
      <c r="H37" s="100"/>
      <c r="I37" s="66">
        <v>0.5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13</v>
      </c>
      <c r="C38" s="56"/>
      <c r="D38" s="56"/>
      <c r="E38" s="101" t="s">
        <v>139</v>
      </c>
      <c r="F38" s="101" t="s">
        <v>135</v>
      </c>
      <c r="G38" s="102" t="s">
        <v>155</v>
      </c>
      <c r="H38" s="100">
        <v>43869</v>
      </c>
      <c r="I38" s="60"/>
      <c r="J38" s="61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>
        <f>IF(G39&lt;&gt;"",SUBTOTAL(3,$G$5:G39),"")</f>
        <v>14</v>
      </c>
      <c r="C39" s="56"/>
      <c r="D39" s="56"/>
      <c r="E39" s="57" t="s">
        <v>139</v>
      </c>
      <c r="F39" s="57" t="s">
        <v>135</v>
      </c>
      <c r="G39" s="58" t="s">
        <v>156</v>
      </c>
      <c r="H39" s="59">
        <v>43871</v>
      </c>
      <c r="I39" s="60">
        <v>0.5</v>
      </c>
      <c r="J39" s="61" t="s">
        <v>1</v>
      </c>
      <c r="K39" s="62" t="s">
        <v>393</v>
      </c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56" t="str">
        <f>IF(G40&lt;&gt;"",SUBTOTAL(3,$G$5:G40),"")</f>
        <v/>
      </c>
      <c r="C40" s="56"/>
      <c r="D40" s="56"/>
      <c r="E40" s="57"/>
      <c r="F40" s="57"/>
      <c r="G40" s="58"/>
      <c r="H40" s="59"/>
      <c r="I40" s="66">
        <v>0.5</v>
      </c>
      <c r="J40" s="61" t="s">
        <v>394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56" t="str">
        <f>IF(G41&lt;&gt;"",SUBTOTAL(3,$G$5:G41),"")</f>
        <v/>
      </c>
      <c r="C41" s="56"/>
      <c r="D41" s="56"/>
      <c r="E41" s="57"/>
      <c r="F41" s="57"/>
      <c r="G41" s="58"/>
      <c r="H41" s="59"/>
      <c r="I41" s="66">
        <v>0.5</v>
      </c>
      <c r="J41" s="61" t="s">
        <v>1</v>
      </c>
      <c r="K41" s="62" t="s">
        <v>395</v>
      </c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 t="str">
        <f>IF(G42&lt;&gt;"",SUBTOTAL(3,$G$5:G42),"")</f>
        <v/>
      </c>
      <c r="C42" s="56"/>
      <c r="D42" s="56"/>
      <c r="E42" s="57"/>
      <c r="F42" s="57"/>
      <c r="G42" s="58"/>
      <c r="H42" s="59"/>
      <c r="I42" s="66">
        <v>0.5</v>
      </c>
      <c r="J42" s="61"/>
      <c r="K42" s="62" t="s">
        <v>396</v>
      </c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 t="str">
        <f>IF(G43&lt;&gt;"",SUBTOTAL(3,$G$5:G43),"")</f>
        <v/>
      </c>
      <c r="C43" s="56"/>
      <c r="D43" s="56"/>
      <c r="E43" s="57"/>
      <c r="F43" s="57"/>
      <c r="G43" s="58"/>
      <c r="H43" s="59"/>
      <c r="I43" s="66">
        <v>0.5</v>
      </c>
      <c r="J43" s="61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>
        <f>IF(G44&lt;&gt;"",SUBTOTAL(3,$G$5:G44),"")</f>
        <v>15</v>
      </c>
      <c r="C44" s="56"/>
      <c r="D44" s="56"/>
      <c r="E44" s="57" t="s">
        <v>139</v>
      </c>
      <c r="F44" s="57" t="s">
        <v>142</v>
      </c>
      <c r="G44" s="58" t="s">
        <v>230</v>
      </c>
      <c r="H44" s="59">
        <v>44087</v>
      </c>
      <c r="I44" s="60">
        <v>1</v>
      </c>
      <c r="J44" s="61" t="s">
        <v>244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 t="str">
        <f>IF(G45&lt;&gt;"",SUBTOTAL(3,$G$5:G45),"")</f>
        <v/>
      </c>
      <c r="C45" s="56"/>
      <c r="D45" s="56"/>
      <c r="E45" s="57"/>
      <c r="F45" s="57"/>
      <c r="G45" s="58"/>
      <c r="H45" s="59"/>
      <c r="I45" s="68">
        <v>1</v>
      </c>
      <c r="J45" s="61" t="s">
        <v>245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 t="str">
        <f>IF(G46&lt;&gt;"",SUBTOTAL(3,$G$5:G46),"")</f>
        <v/>
      </c>
      <c r="C46" s="56"/>
      <c r="D46" s="56"/>
      <c r="E46" s="57"/>
      <c r="F46" s="57"/>
      <c r="G46" s="58"/>
      <c r="H46" s="59"/>
      <c r="I46" s="68">
        <v>1</v>
      </c>
      <c r="J46" s="61" t="s">
        <v>246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8">
        <v>1</v>
      </c>
      <c r="J47" s="61" t="s">
        <v>247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8">
        <v>1</v>
      </c>
      <c r="J48" s="61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>
        <f>IF(G49&lt;&gt;"",SUBTOTAL(3,$G$5:G49),"")</f>
        <v>16</v>
      </c>
      <c r="C49" s="56"/>
      <c r="D49" s="56"/>
      <c r="E49" s="57" t="s">
        <v>139</v>
      </c>
      <c r="F49" s="57" t="s">
        <v>142</v>
      </c>
      <c r="G49" s="58" t="s">
        <v>229</v>
      </c>
      <c r="H49" s="59">
        <v>44076</v>
      </c>
      <c r="I49" s="60">
        <v>1</v>
      </c>
      <c r="J49" s="61" t="s">
        <v>248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 t="str">
        <f>IF(G50&lt;&gt;"",SUBTOTAL(3,$G$5:G50),"")</f>
        <v/>
      </c>
      <c r="C50" s="56"/>
      <c r="D50" s="56"/>
      <c r="E50" s="57"/>
      <c r="F50" s="57"/>
      <c r="G50" s="58"/>
      <c r="H50" s="59"/>
      <c r="I50" s="68">
        <v>1</v>
      </c>
      <c r="J50" s="61" t="s">
        <v>249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 t="str">
        <f>IF(G51&lt;&gt;"",SUBTOTAL(3,$G$5:G51),"")</f>
        <v/>
      </c>
      <c r="C51" s="56"/>
      <c r="D51" s="56"/>
      <c r="E51" s="57"/>
      <c r="F51" s="57"/>
      <c r="G51" s="58"/>
      <c r="H51" s="59"/>
      <c r="I51" s="68">
        <v>1</v>
      </c>
      <c r="J51" s="61" t="s">
        <v>250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 t="str">
        <f>IF(G52&lt;&gt;"",SUBTOTAL(3,$G$5:G52),"")</f>
        <v/>
      </c>
      <c r="C52" s="56"/>
      <c r="D52" s="56"/>
      <c r="E52" s="57"/>
      <c r="F52" s="57"/>
      <c r="G52" s="58"/>
      <c r="H52" s="59"/>
      <c r="I52" s="68">
        <v>1</v>
      </c>
      <c r="J52" s="61" t="s">
        <v>251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8">
        <v>1</v>
      </c>
      <c r="J53" s="61" t="s">
        <v>252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 t="str">
        <f>IF(G54&lt;&gt;"",SUBTOTAL(3,$G$5:G54),"")</f>
        <v/>
      </c>
      <c r="C54" s="56"/>
      <c r="D54" s="56"/>
      <c r="E54" s="57"/>
      <c r="F54" s="57"/>
      <c r="G54" s="58"/>
      <c r="H54" s="59"/>
      <c r="I54" s="68">
        <v>1</v>
      </c>
      <c r="J54" s="61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>
        <f>IF(G55&lt;&gt;"",SUBTOTAL(3,$G$5:G55),"")</f>
        <v>17</v>
      </c>
      <c r="C55" s="56"/>
      <c r="D55" s="56"/>
      <c r="E55" s="57" t="s">
        <v>139</v>
      </c>
      <c r="F55" s="57" t="s">
        <v>142</v>
      </c>
      <c r="G55" s="58" t="s">
        <v>228</v>
      </c>
      <c r="H55" s="59">
        <v>44080</v>
      </c>
      <c r="I55" s="60">
        <v>1</v>
      </c>
      <c r="J55" s="61" t="s">
        <v>234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8">
        <v>1</v>
      </c>
      <c r="J56" s="61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>
        <f>IF(G57&lt;&gt;"",SUBTOTAL(3,$G$5:G57),"")</f>
        <v>18</v>
      </c>
      <c r="C57" s="56"/>
      <c r="D57" s="56"/>
      <c r="E57" s="57" t="s">
        <v>139</v>
      </c>
      <c r="F57" s="57" t="s">
        <v>142</v>
      </c>
      <c r="G57" s="58" t="s">
        <v>226</v>
      </c>
      <c r="H57" s="59">
        <v>43871</v>
      </c>
      <c r="I57" s="60">
        <v>0.3</v>
      </c>
      <c r="J57" s="61" t="s">
        <v>253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 t="s">
        <v>354</v>
      </c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6">
        <v>0.3</v>
      </c>
      <c r="J58" s="61" t="s">
        <v>340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0.3</v>
      </c>
      <c r="J59" s="61" t="s">
        <v>341</v>
      </c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6">
        <v>0.3</v>
      </c>
      <c r="J60" s="61" t="s">
        <v>254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/>
      <c r="C61" s="56"/>
      <c r="D61" s="56"/>
      <c r="E61" s="57"/>
      <c r="F61" s="57"/>
      <c r="G61" s="58"/>
      <c r="H61" s="59"/>
      <c r="I61" s="66">
        <v>0.3</v>
      </c>
      <c r="J61" s="69" t="s">
        <v>227</v>
      </c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1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/>
      <c r="C62" s="56"/>
      <c r="D62" s="56"/>
      <c r="E62" s="57"/>
      <c r="F62" s="57"/>
      <c r="G62" s="58"/>
      <c r="H62" s="59"/>
      <c r="I62" s="66">
        <v>0.3</v>
      </c>
      <c r="J62" s="69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1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>
        <f>IF(G63&lt;&gt;"",SUBTOTAL(3,$G$5:G63),"")</f>
        <v>19</v>
      </c>
      <c r="C63" s="56"/>
      <c r="D63" s="56"/>
      <c r="E63" s="57" t="s">
        <v>139</v>
      </c>
      <c r="F63" s="57" t="s">
        <v>135</v>
      </c>
      <c r="G63" s="58" t="s">
        <v>224</v>
      </c>
      <c r="H63" s="59">
        <v>44072</v>
      </c>
      <c r="I63" s="60">
        <v>0.8</v>
      </c>
      <c r="J63" s="61" t="s">
        <v>358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 t="s">
        <v>355</v>
      </c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6">
        <v>0.8</v>
      </c>
      <c r="J64" s="61" t="s">
        <v>359</v>
      </c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 t="s">
        <v>356</v>
      </c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6">
        <v>0.8</v>
      </c>
      <c r="J65" s="61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>
        <f>IF(G66&lt;&gt;"",SUBTOTAL(3,$G$5:G66),"")</f>
        <v>20</v>
      </c>
      <c r="C66" s="56"/>
      <c r="D66" s="56"/>
      <c r="E66" s="57" t="s">
        <v>139</v>
      </c>
      <c r="F66" s="57" t="s">
        <v>135</v>
      </c>
      <c r="G66" s="58" t="s">
        <v>222</v>
      </c>
      <c r="H66" s="59">
        <v>44070</v>
      </c>
      <c r="I66" s="60">
        <v>0.8</v>
      </c>
      <c r="J66" s="61" t="s">
        <v>360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 t="s">
        <v>357</v>
      </c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6">
        <v>0.8</v>
      </c>
      <c r="J67" s="61" t="s">
        <v>255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 t="str">
        <f>IF(G68&lt;&gt;"",SUBTOTAL(3,$G$5:G68),"")</f>
        <v/>
      </c>
      <c r="C68" s="56"/>
      <c r="D68" s="56"/>
      <c r="E68" s="57"/>
      <c r="F68" s="57"/>
      <c r="G68" s="58"/>
      <c r="H68" s="59"/>
      <c r="I68" s="66">
        <v>0.8</v>
      </c>
      <c r="J68" s="61" t="s">
        <v>256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6">
        <v>0.8</v>
      </c>
      <c r="J69" s="69" t="s">
        <v>223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6">
        <v>0.8</v>
      </c>
      <c r="J70" s="69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 t="str">
        <f>IF(G71&lt;&gt;"",SUBTOTAL(3,$G$5:G71),"")</f>
        <v/>
      </c>
      <c r="C71" s="56"/>
      <c r="D71" s="56"/>
      <c r="E71" s="57"/>
      <c r="F71" s="57"/>
      <c r="G71" s="58"/>
      <c r="H71" s="59"/>
      <c r="I71" s="66">
        <v>0.8</v>
      </c>
      <c r="J71" s="69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1"/>
      <c r="AS71" s="69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1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>
        <f>IF(G72&lt;&gt;"",SUBTOTAL(3,$G$5:G72),"")</f>
        <v>21</v>
      </c>
      <c r="C72" s="56"/>
      <c r="D72" s="56"/>
      <c r="E72" s="57" t="s">
        <v>139</v>
      </c>
      <c r="F72" s="57" t="s">
        <v>135</v>
      </c>
      <c r="G72" s="58" t="s">
        <v>218</v>
      </c>
      <c r="H72" s="59">
        <v>44066</v>
      </c>
      <c r="I72" s="60">
        <v>0</v>
      </c>
      <c r="J72" s="61" t="s">
        <v>257</v>
      </c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 t="s">
        <v>219</v>
      </c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 t="str">
        <f>IF(G73&lt;&gt;"",SUBTOTAL(3,$G$5:G73),"")</f>
        <v/>
      </c>
      <c r="C73" s="56"/>
      <c r="D73" s="56"/>
      <c r="E73" s="57"/>
      <c r="F73" s="57"/>
      <c r="G73" s="58"/>
      <c r="H73" s="59"/>
      <c r="I73" s="66">
        <v>0</v>
      </c>
      <c r="J73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 t="str">
        <f>IF(G74&lt;&gt;"",SUBTOTAL(3,$G$5:G74),"")</f>
        <v/>
      </c>
      <c r="C74" s="56"/>
      <c r="D74" s="56"/>
      <c r="E74" s="57"/>
      <c r="F74" s="57"/>
      <c r="G74" s="58"/>
      <c r="H74" s="59"/>
      <c r="I74" s="66">
        <v>0</v>
      </c>
      <c r="J74" s="95" t="s">
        <v>361</v>
      </c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1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6">
        <v>0</v>
      </c>
      <c r="J75" s="96" t="s">
        <v>346</v>
      </c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1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 t="str">
        <f>IF(G76&lt;&gt;"",SUBTOTAL(3,$G$5:G76),"")</f>
        <v/>
      </c>
      <c r="C76" s="56"/>
      <c r="D76" s="56"/>
      <c r="E76" s="57"/>
      <c r="F76" s="57"/>
      <c r="G76" s="58"/>
      <c r="H76" s="59"/>
      <c r="I76" s="66">
        <v>0</v>
      </c>
      <c r="J76" s="95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1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>
        <f>IF(G77&lt;&gt;"",SUBTOTAL(3,$G$5:G77),"")</f>
        <v>22</v>
      </c>
      <c r="C77" s="56"/>
      <c r="D77" s="56"/>
      <c r="E77" s="101" t="s">
        <v>139</v>
      </c>
      <c r="F77" s="101" t="s">
        <v>135</v>
      </c>
      <c r="G77" s="102" t="s">
        <v>116</v>
      </c>
      <c r="H77" s="100">
        <v>43869</v>
      </c>
      <c r="I77" s="60">
        <v>0.5</v>
      </c>
      <c r="J77" s="61" t="s">
        <v>549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97" t="str">
        <f>IF(G78&lt;&gt;"",SUBTOTAL(3,$G$5:G78),"")</f>
        <v/>
      </c>
      <c r="C78" s="56"/>
      <c r="D78" s="56"/>
      <c r="E78" s="101"/>
      <c r="F78" s="101"/>
      <c r="G78" s="102"/>
      <c r="H78" s="100"/>
      <c r="I78" s="66">
        <v>0.5</v>
      </c>
      <c r="J78" s="61" t="s">
        <v>548</v>
      </c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97" t="str">
        <f>IF(G79&lt;&gt;"",SUBTOTAL(3,$G$5:G79),"")</f>
        <v/>
      </c>
      <c r="C79" s="56"/>
      <c r="D79" s="56"/>
      <c r="E79" s="101"/>
      <c r="F79" s="101"/>
      <c r="G79" s="102"/>
      <c r="H79" s="100"/>
      <c r="I79" s="66">
        <v>0.5</v>
      </c>
      <c r="J79" s="61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>
        <f>IF(G80&lt;&gt;"",SUBTOTAL(3,$G$5:G80),"")</f>
        <v>23</v>
      </c>
      <c r="C80" s="56"/>
      <c r="D80" s="56"/>
      <c r="E80" s="101" t="s">
        <v>139</v>
      </c>
      <c r="F80" s="101" t="s">
        <v>135</v>
      </c>
      <c r="G80" s="102" t="s">
        <v>157</v>
      </c>
      <c r="H80" s="100">
        <v>43995</v>
      </c>
      <c r="I80" s="60">
        <v>0</v>
      </c>
      <c r="J80" s="61" t="s">
        <v>550</v>
      </c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65" t="s">
        <v>13</v>
      </c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97" t="str">
        <f>IF(G81&lt;&gt;"",SUBTOTAL(3,$G$5:G81),"")</f>
        <v/>
      </c>
      <c r="C81" s="56"/>
      <c r="D81" s="56"/>
      <c r="E81" s="101"/>
      <c r="F81" s="101"/>
      <c r="G81" s="102"/>
      <c r="H81" s="100"/>
      <c r="I81" s="66">
        <v>0</v>
      </c>
      <c r="J81" s="61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3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65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97" t="str">
        <f>IF(G82&lt;&gt;"",SUBTOTAL(3,$G$5:G82),"")</f>
        <v/>
      </c>
      <c r="C82" s="56"/>
      <c r="D82" s="56"/>
      <c r="E82" s="101"/>
      <c r="F82" s="101"/>
      <c r="G82" s="102"/>
      <c r="H82" s="100"/>
      <c r="I82" s="66">
        <v>0</v>
      </c>
      <c r="J82" s="61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65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97" t="str">
        <f>IF(G83&lt;&gt;"",SUBTOTAL(3,$G$5:G83),"")</f>
        <v/>
      </c>
      <c r="C83" s="56"/>
      <c r="D83" s="56"/>
      <c r="E83" s="101"/>
      <c r="F83" s="101"/>
      <c r="G83" s="102"/>
      <c r="H83" s="100"/>
      <c r="I83" s="66">
        <v>0</v>
      </c>
      <c r="J83" s="61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65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>
        <f>IF(G84&lt;&gt;"",SUBTOTAL(3,$G$5:G84),"")</f>
        <v>24</v>
      </c>
      <c r="C84" s="56"/>
      <c r="D84" s="56"/>
      <c r="E84" s="101" t="s">
        <v>139</v>
      </c>
      <c r="F84" s="101" t="s">
        <v>135</v>
      </c>
      <c r="G84" s="102" t="s">
        <v>158</v>
      </c>
      <c r="H84" s="100">
        <v>43961</v>
      </c>
      <c r="I84" s="60">
        <v>0.8</v>
      </c>
      <c r="J84" s="61" t="s">
        <v>569</v>
      </c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97" t="str">
        <f>IF(G85&lt;&gt;"",SUBTOTAL(3,$G$5:G85),"")</f>
        <v/>
      </c>
      <c r="C85" s="56"/>
      <c r="D85" s="56"/>
      <c r="E85" s="101"/>
      <c r="F85" s="101"/>
      <c r="G85" s="102"/>
      <c r="H85" s="100"/>
      <c r="I85" s="66">
        <v>0.8</v>
      </c>
      <c r="J85" s="61" t="s">
        <v>570</v>
      </c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3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97" t="str">
        <f>IF(G86&lt;&gt;"",SUBTOTAL(3,$G$5:G86),"")</f>
        <v/>
      </c>
      <c r="C86" s="56"/>
      <c r="D86" s="56"/>
      <c r="E86" s="101"/>
      <c r="F86" s="101"/>
      <c r="G86" s="102"/>
      <c r="H86" s="100"/>
      <c r="I86" s="66">
        <v>0.8</v>
      </c>
      <c r="J86" s="61" t="s">
        <v>571</v>
      </c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3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97" t="str">
        <f>IF(G87&lt;&gt;"",SUBTOTAL(3,$G$5:G87),"")</f>
        <v/>
      </c>
      <c r="C87" s="56"/>
      <c r="D87" s="56"/>
      <c r="E87" s="101"/>
      <c r="F87" s="101"/>
      <c r="G87" s="102"/>
      <c r="H87" s="100"/>
      <c r="I87" s="66">
        <v>0.8</v>
      </c>
      <c r="J87" s="61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3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>
        <f>IF(G88&lt;&gt;"",SUBTOTAL(3,$G$5:G88),"")</f>
        <v>25</v>
      </c>
      <c r="C88" s="56"/>
      <c r="D88" s="56"/>
      <c r="E88" s="101" t="s">
        <v>139</v>
      </c>
      <c r="F88" s="101" t="s">
        <v>135</v>
      </c>
      <c r="G88" s="102" t="s">
        <v>159</v>
      </c>
      <c r="H88" s="100">
        <v>43995</v>
      </c>
      <c r="I88" s="60">
        <v>0</v>
      </c>
      <c r="J88" s="61" t="s">
        <v>551</v>
      </c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97" t="str">
        <f>IF(G89&lt;&gt;"",SUBTOTAL(3,$G$5:G89),"")</f>
        <v/>
      </c>
      <c r="C89" s="56"/>
      <c r="D89" s="56"/>
      <c r="E89" s="101"/>
      <c r="F89" s="101"/>
      <c r="G89" s="102"/>
      <c r="H89" s="100"/>
      <c r="I89" s="66">
        <v>0</v>
      </c>
      <c r="J89" s="61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>
        <f>IF(G90&lt;&gt;"",SUBTOTAL(3,$G$5:G90),"")</f>
        <v>26</v>
      </c>
      <c r="C90" s="56"/>
      <c r="D90" s="56"/>
      <c r="E90" s="57" t="s">
        <v>139</v>
      </c>
      <c r="F90" s="57" t="s">
        <v>135</v>
      </c>
      <c r="G90" s="58" t="s">
        <v>217</v>
      </c>
      <c r="H90" s="59">
        <v>44058</v>
      </c>
      <c r="I90" s="60">
        <v>1</v>
      </c>
      <c r="J90" s="61" t="s">
        <v>362</v>
      </c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3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8">
        <v>1</v>
      </c>
      <c r="J91" s="61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3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>
        <f>IF(G92&lt;&gt;"",SUBTOTAL(3,$G$5:G92),"")</f>
        <v>27</v>
      </c>
      <c r="C92" s="56"/>
      <c r="D92" s="56"/>
      <c r="E92" s="57" t="s">
        <v>139</v>
      </c>
      <c r="F92" s="57" t="s">
        <v>135</v>
      </c>
      <c r="G92" s="58" t="s">
        <v>216</v>
      </c>
      <c r="H92" s="59">
        <v>44057</v>
      </c>
      <c r="I92" s="60">
        <v>1</v>
      </c>
      <c r="J92" s="106" t="s">
        <v>258</v>
      </c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8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8">
        <v>1</v>
      </c>
      <c r="J93" s="106" t="s">
        <v>259</v>
      </c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8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8">
        <v>1</v>
      </c>
      <c r="J94" s="106" t="s">
        <v>260</v>
      </c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8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8">
        <v>1</v>
      </c>
      <c r="J95" s="106" t="s">
        <v>261</v>
      </c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8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 t="str">
        <f>IF(G96&lt;&gt;"",SUBTOTAL(3,$G$5:G96),"")</f>
        <v/>
      </c>
      <c r="C96" s="56"/>
      <c r="D96" s="56"/>
      <c r="E96" s="57"/>
      <c r="F96" s="57"/>
      <c r="G96" s="58"/>
      <c r="H96" s="59"/>
      <c r="I96" s="68">
        <v>1</v>
      </c>
      <c r="J96" s="106" t="s">
        <v>262</v>
      </c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8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 t="str">
        <f>IF(G97&lt;&gt;"",SUBTOTAL(3,$G$5:G97),"")</f>
        <v/>
      </c>
      <c r="C97" s="56"/>
      <c r="D97" s="56"/>
      <c r="E97" s="57"/>
      <c r="F97" s="57"/>
      <c r="G97" s="58"/>
      <c r="H97" s="59"/>
      <c r="I97" s="68">
        <v>1</v>
      </c>
      <c r="J97" s="106" t="s">
        <v>263</v>
      </c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8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8">
        <v>1</v>
      </c>
      <c r="J98" s="106" t="s">
        <v>264</v>
      </c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8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 t="str">
        <f>IF(G99&lt;&gt;"",SUBTOTAL(3,$G$5:G99),"")</f>
        <v/>
      </c>
      <c r="C99" s="56"/>
      <c r="D99" s="56"/>
      <c r="E99" s="57"/>
      <c r="F99" s="57"/>
      <c r="G99" s="58"/>
      <c r="H99" s="59"/>
      <c r="I99" s="68">
        <v>1</v>
      </c>
      <c r="J99" s="106" t="s">
        <v>265</v>
      </c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8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8">
        <v>1</v>
      </c>
      <c r="J100" s="106" t="s">
        <v>266</v>
      </c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8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 t="str">
        <f>IF(G101&lt;&gt;"",SUBTOTAL(3,$G$5:G101),"")</f>
        <v/>
      </c>
      <c r="C101" s="56"/>
      <c r="D101" s="56"/>
      <c r="E101" s="57"/>
      <c r="F101" s="57"/>
      <c r="G101" s="58"/>
      <c r="H101" s="59"/>
      <c r="I101" s="68">
        <v>1</v>
      </c>
      <c r="J101" s="106" t="s">
        <v>267</v>
      </c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8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 t="str">
        <f>IF(G102&lt;&gt;"",SUBTOTAL(3,$G$5:G102),"")</f>
        <v/>
      </c>
      <c r="C102" s="56"/>
      <c r="D102" s="56"/>
      <c r="E102" s="57"/>
      <c r="F102" s="57"/>
      <c r="G102" s="58"/>
      <c r="H102" s="59"/>
      <c r="I102" s="68">
        <v>1</v>
      </c>
      <c r="J102" s="106" t="s">
        <v>268</v>
      </c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8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8">
        <v>1</v>
      </c>
      <c r="J103" s="106" t="s">
        <v>269</v>
      </c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8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8">
        <v>1</v>
      </c>
      <c r="J104" s="106" t="s">
        <v>270</v>
      </c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8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8">
        <v>1</v>
      </c>
      <c r="J105" s="106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8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>
        <f>IF(G106&lt;&gt;"",SUBTOTAL(3,$G$5:G106),"")</f>
        <v>28</v>
      </c>
      <c r="C106" s="56"/>
      <c r="D106" s="56"/>
      <c r="E106" s="57" t="s">
        <v>139</v>
      </c>
      <c r="F106" s="57" t="s">
        <v>135</v>
      </c>
      <c r="G106" s="58" t="s">
        <v>215</v>
      </c>
      <c r="H106" s="59">
        <v>44053</v>
      </c>
      <c r="I106" s="60">
        <v>0.3</v>
      </c>
      <c r="J106" s="61" t="s">
        <v>271</v>
      </c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 t="s">
        <v>363</v>
      </c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6">
        <v>0.3</v>
      </c>
      <c r="J107" s="61" t="s">
        <v>364</v>
      </c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 t="s">
        <v>272</v>
      </c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6">
        <v>0.3</v>
      </c>
      <c r="J108" s="61" t="s">
        <v>365</v>
      </c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6">
        <v>0.3</v>
      </c>
      <c r="J109" s="61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>
        <f>IF(G110&lt;&gt;"",SUBTOTAL(3,$G$5:G110),"")</f>
        <v>29</v>
      </c>
      <c r="C110" s="56"/>
      <c r="D110" s="56"/>
      <c r="E110" s="57" t="s">
        <v>139</v>
      </c>
      <c r="F110" s="57" t="s">
        <v>135</v>
      </c>
      <c r="G110" s="58" t="s">
        <v>214</v>
      </c>
      <c r="H110" s="59">
        <v>44045</v>
      </c>
      <c r="I110" s="60">
        <v>1</v>
      </c>
      <c r="J110" s="61" t="s">
        <v>273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 t="s">
        <v>275</v>
      </c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8">
        <v>1</v>
      </c>
      <c r="J111" s="61" t="s">
        <v>274</v>
      </c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 t="s">
        <v>547</v>
      </c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61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 t="s">
        <v>276</v>
      </c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61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 t="s">
        <v>277</v>
      </c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61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 t="s">
        <v>278</v>
      </c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61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 t="s">
        <v>279</v>
      </c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>
        <f>IF(G116&lt;&gt;"",SUBTOTAL(3,$G$5:G116),"")</f>
        <v>30</v>
      </c>
      <c r="C116" s="56"/>
      <c r="D116" s="56"/>
      <c r="E116" s="57" t="s">
        <v>139</v>
      </c>
      <c r="F116" s="57" t="s">
        <v>135</v>
      </c>
      <c r="G116" s="58" t="s">
        <v>211</v>
      </c>
      <c r="H116" s="59">
        <v>44045</v>
      </c>
      <c r="I116" s="60">
        <v>0.8</v>
      </c>
      <c r="J116" s="61" t="s">
        <v>280</v>
      </c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 t="s">
        <v>285</v>
      </c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6">
        <v>0.8</v>
      </c>
      <c r="J117" s="61" t="s">
        <v>281</v>
      </c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 t="s">
        <v>286</v>
      </c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6">
        <v>0.8</v>
      </c>
      <c r="J118" s="61" t="s">
        <v>282</v>
      </c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 t="s">
        <v>287</v>
      </c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6">
        <v>0.8</v>
      </c>
      <c r="J119" s="61" t="s">
        <v>283</v>
      </c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 t="s">
        <v>290</v>
      </c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6">
        <v>0.8</v>
      </c>
      <c r="J120" s="61" t="s">
        <v>284</v>
      </c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 t="s">
        <v>291</v>
      </c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6">
        <v>0.8</v>
      </c>
      <c r="J121" s="69" t="s">
        <v>212</v>
      </c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288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6">
        <v>0.8</v>
      </c>
      <c r="J122" s="61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289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6">
        <v>0.8</v>
      </c>
      <c r="J123" s="61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>
        <f>IF(G124&lt;&gt;"",SUBTOTAL(3,$G$5:G124),"")</f>
        <v>31</v>
      </c>
      <c r="C124" s="56"/>
      <c r="D124" s="56"/>
      <c r="E124" s="57" t="s">
        <v>139</v>
      </c>
      <c r="F124" s="57" t="s">
        <v>135</v>
      </c>
      <c r="G124" s="58" t="s">
        <v>210</v>
      </c>
      <c r="H124" s="59">
        <v>44045</v>
      </c>
      <c r="I124" s="60">
        <v>1</v>
      </c>
      <c r="J124" s="61" t="s">
        <v>292</v>
      </c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8">
        <v>1</v>
      </c>
      <c r="J125" s="61" t="s">
        <v>293</v>
      </c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8">
        <v>1</v>
      </c>
      <c r="J126" s="61" t="s">
        <v>562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8">
        <v>1</v>
      </c>
      <c r="J127" s="61" t="s">
        <v>563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 t="s">
        <v>294</v>
      </c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>
        <f>IF(G130&lt;&gt;"",SUBTOTAL(3,$G$5:G130),"")</f>
        <v>32</v>
      </c>
      <c r="C130" s="56"/>
      <c r="D130" s="56"/>
      <c r="E130" s="57" t="s">
        <v>139</v>
      </c>
      <c r="F130" s="57" t="s">
        <v>135</v>
      </c>
      <c r="G130" s="58" t="s">
        <v>209</v>
      </c>
      <c r="H130" s="59">
        <v>44044</v>
      </c>
      <c r="I130" s="60">
        <v>1</v>
      </c>
      <c r="J130" s="61" t="s">
        <v>476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 t="s">
        <v>275</v>
      </c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 t="s">
        <v>477</v>
      </c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 t="s">
        <v>366</v>
      </c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8">
        <v>1</v>
      </c>
      <c r="J132" s="61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367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368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8">
        <v>1</v>
      </c>
      <c r="J134" s="61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369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277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295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296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297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8">
        <v>1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8">
        <v>1</v>
      </c>
      <c r="J140" s="61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>
        <f>IF(G141&lt;&gt;"",SUBTOTAL(3,$G$5:G141),"")</f>
        <v>33</v>
      </c>
      <c r="C141" s="56"/>
      <c r="D141" s="56"/>
      <c r="E141" s="57" t="s">
        <v>139</v>
      </c>
      <c r="F141" s="57" t="s">
        <v>135</v>
      </c>
      <c r="G141" s="58" t="s">
        <v>208</v>
      </c>
      <c r="H141" s="59">
        <v>44038</v>
      </c>
      <c r="I141" s="60">
        <v>1</v>
      </c>
      <c r="J141" s="61" t="s">
        <v>298</v>
      </c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275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 t="s">
        <v>299</v>
      </c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 t="s">
        <v>370</v>
      </c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 t="s">
        <v>342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 t="s">
        <v>343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 t="s">
        <v>300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 t="s">
        <v>301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>
        <f>IF(G148&lt;&gt;"",SUBTOTAL(3,$G$5:G148),"")</f>
        <v>34</v>
      </c>
      <c r="C148" s="56"/>
      <c r="D148" s="56"/>
      <c r="E148" s="57" t="s">
        <v>139</v>
      </c>
      <c r="F148" s="57" t="s">
        <v>135</v>
      </c>
      <c r="G148" s="58" t="s">
        <v>207</v>
      </c>
      <c r="H148" s="59">
        <v>44038</v>
      </c>
      <c r="I148" s="60">
        <v>1</v>
      </c>
      <c r="J148" s="61" t="s">
        <v>371</v>
      </c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 t="s">
        <v>275</v>
      </c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65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8">
        <v>1</v>
      </c>
      <c r="J149" s="61" t="s">
        <v>372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 t="s">
        <v>302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65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8">
        <v>1</v>
      </c>
      <c r="J150" s="61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 t="s">
        <v>373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65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8">
        <v>1</v>
      </c>
      <c r="J151" s="61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 t="s">
        <v>374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65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 t="s">
        <v>375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65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8">
        <v>1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65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>
        <f>IF(G154&lt;&gt;"",SUBTOTAL(3,$G$5:G154),"")</f>
        <v>35</v>
      </c>
      <c r="C154" s="56"/>
      <c r="D154" s="56"/>
      <c r="E154" s="57" t="s">
        <v>139</v>
      </c>
      <c r="F154" s="57" t="s">
        <v>135</v>
      </c>
      <c r="G154" s="58" t="s">
        <v>160</v>
      </c>
      <c r="H154" s="59">
        <v>43960</v>
      </c>
      <c r="I154" s="60">
        <v>1</v>
      </c>
      <c r="J154" s="61" t="s">
        <v>303</v>
      </c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 t="s">
        <v>275</v>
      </c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65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 t="s">
        <v>304</v>
      </c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 t="s">
        <v>376</v>
      </c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65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 t="str">
        <f>IF(G156&lt;&gt;"",SUBTOTAL(3,$G$5:G156),"")</f>
        <v/>
      </c>
      <c r="C156" s="56"/>
      <c r="D156" s="56"/>
      <c r="E156" s="57"/>
      <c r="F156" s="57"/>
      <c r="G156" s="58"/>
      <c r="H156" s="59"/>
      <c r="I156" s="68">
        <v>1</v>
      </c>
      <c r="J156" s="61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65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ht="15.75" x14ac:dyDescent="0.15">
      <c r="B157" s="56">
        <f>IF(G157&lt;&gt;"",SUBTOTAL(3,$G$5:G157),"")</f>
        <v>36</v>
      </c>
      <c r="C157" s="56"/>
      <c r="D157" s="56"/>
      <c r="E157" s="57" t="s">
        <v>139</v>
      </c>
      <c r="F157" s="57" t="s">
        <v>135</v>
      </c>
      <c r="G157" s="58" t="s">
        <v>161</v>
      </c>
      <c r="H157" s="59">
        <v>44036</v>
      </c>
      <c r="I157" s="60">
        <v>0.3</v>
      </c>
      <c r="J157" s="61" t="s">
        <v>305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2" t="s">
        <v>350</v>
      </c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 t="str">
        <f>IF(G158&lt;&gt;"",SUBTOTAL(3,$G$5:G158),"")</f>
        <v/>
      </c>
      <c r="C158" s="56"/>
      <c r="D158" s="56"/>
      <c r="E158" s="57"/>
      <c r="F158" s="57"/>
      <c r="G158" s="58"/>
      <c r="H158" s="59"/>
      <c r="I158" s="66">
        <v>0.3</v>
      </c>
      <c r="J158" s="61" t="s">
        <v>348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2" t="s">
        <v>275</v>
      </c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56" t="str">
        <f>IF(G159&lt;&gt;"",SUBTOTAL(3,$G$5:G159),"")</f>
        <v/>
      </c>
      <c r="C159" s="56"/>
      <c r="D159" s="56"/>
      <c r="E159" s="57"/>
      <c r="F159" s="57"/>
      <c r="G159" s="58"/>
      <c r="H159" s="59"/>
      <c r="I159" s="66">
        <v>0.3</v>
      </c>
      <c r="J159" s="61" t="s">
        <v>349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2" t="s">
        <v>307</v>
      </c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 t="str">
        <f>IF(G160&lt;&gt;"",SUBTOTAL(3,$G$5:G160),"")</f>
        <v/>
      </c>
      <c r="C160" s="56"/>
      <c r="D160" s="56"/>
      <c r="E160" s="57"/>
      <c r="F160" s="57"/>
      <c r="G160" s="58"/>
      <c r="H160" s="59"/>
      <c r="I160" s="66">
        <v>0.3</v>
      </c>
      <c r="J160" s="61" t="s">
        <v>344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6">
        <v>0.3</v>
      </c>
      <c r="J161" s="61" t="s">
        <v>306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56" t="str">
        <f>IF(G162&lt;&gt;"",SUBTOTAL(3,$G$5:G162),"")</f>
        <v/>
      </c>
      <c r="C162" s="56"/>
      <c r="D162" s="56"/>
      <c r="E162" s="57"/>
      <c r="F162" s="57"/>
      <c r="G162" s="58"/>
      <c r="H162" s="59"/>
      <c r="I162" s="66">
        <v>0.3</v>
      </c>
      <c r="J162" s="61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>
        <f>IF(G163&lt;&gt;"",SUBTOTAL(3,$G$5:G163),"")</f>
        <v>37</v>
      </c>
      <c r="C163" s="56"/>
      <c r="D163" s="56"/>
      <c r="E163" s="57" t="s">
        <v>139</v>
      </c>
      <c r="F163" s="57" t="s">
        <v>135</v>
      </c>
      <c r="G163" s="58" t="s">
        <v>162</v>
      </c>
      <c r="H163" s="59">
        <v>44013</v>
      </c>
      <c r="I163" s="60">
        <v>0.5</v>
      </c>
      <c r="J163" s="61" t="s">
        <v>545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97" t="str">
        <f>IF(G164&lt;&gt;"",SUBTOTAL(3,$G$4:G164),"")</f>
        <v/>
      </c>
      <c r="C164" s="56"/>
      <c r="D164" s="56"/>
      <c r="E164" s="57"/>
      <c r="F164" s="57"/>
      <c r="G164" s="58"/>
      <c r="H164" s="59"/>
      <c r="I164" s="66">
        <v>0.8</v>
      </c>
      <c r="J164" s="61" t="s">
        <v>542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97" t="str">
        <f>IF(G165&lt;&gt;"",SUBTOTAL(3,$G$4:G165),"")</f>
        <v/>
      </c>
      <c r="C165" s="56"/>
      <c r="D165" s="56"/>
      <c r="E165" s="57"/>
      <c r="F165" s="57"/>
      <c r="G165" s="58"/>
      <c r="H165" s="59"/>
      <c r="I165" s="66">
        <v>0.8</v>
      </c>
      <c r="J165" s="61" t="s">
        <v>546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97" t="str">
        <f>IF(G166&lt;&gt;"",SUBTOTAL(3,$G$4:G166),"")</f>
        <v/>
      </c>
      <c r="C166" s="56"/>
      <c r="D166" s="56"/>
      <c r="E166" s="57"/>
      <c r="F166" s="57"/>
      <c r="G166" s="58"/>
      <c r="H166" s="59"/>
      <c r="I166" s="66">
        <v>0.8</v>
      </c>
      <c r="J166" s="61" t="s">
        <v>544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97" t="str">
        <f>IF(G167&lt;&gt;"",SUBTOTAL(3,$G$4:G167),"")</f>
        <v/>
      </c>
      <c r="C167" s="56"/>
      <c r="D167" s="56"/>
      <c r="E167" s="57"/>
      <c r="F167" s="57"/>
      <c r="G167" s="58"/>
      <c r="H167" s="59"/>
      <c r="I167" s="66">
        <v>0.8</v>
      </c>
      <c r="J167" s="61" t="s">
        <v>538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97" t="str">
        <f>IF(G168&lt;&gt;"",SUBTOTAL(3,$G$4:G168),"")</f>
        <v/>
      </c>
      <c r="C168" s="56"/>
      <c r="D168" s="56"/>
      <c r="E168" s="57"/>
      <c r="F168" s="57"/>
      <c r="G168" s="58"/>
      <c r="H168" s="59"/>
      <c r="I168" s="66">
        <v>0.8</v>
      </c>
      <c r="J168" s="61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ht="15.75" x14ac:dyDescent="0.15">
      <c r="B169" s="56">
        <f>IF(G169&lt;&gt;"",SUBTOTAL(3,$G$5:G169),"")</f>
        <v>38</v>
      </c>
      <c r="C169" s="56"/>
      <c r="D169" s="56"/>
      <c r="E169" s="57" t="s">
        <v>139</v>
      </c>
      <c r="F169" s="57" t="s">
        <v>135</v>
      </c>
      <c r="G169" s="58" t="s">
        <v>535</v>
      </c>
      <c r="H169" s="59">
        <v>44013</v>
      </c>
      <c r="I169" s="60">
        <v>1</v>
      </c>
      <c r="J169" s="61" t="s">
        <v>539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97" t="str">
        <f>IF(G170&lt;&gt;"",SUBTOTAL(3,$G$4:G170),"")</f>
        <v/>
      </c>
      <c r="C170" s="56"/>
      <c r="D170" s="56"/>
      <c r="E170" s="57"/>
      <c r="F170" s="57"/>
      <c r="G170" s="58"/>
      <c r="H170" s="59"/>
      <c r="I170" s="68">
        <v>1</v>
      </c>
      <c r="J170" s="61" t="s">
        <v>536</v>
      </c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97" t="str">
        <f>IF(G171&lt;&gt;"",SUBTOTAL(3,$G$4:G171),"")</f>
        <v/>
      </c>
      <c r="C171" s="56"/>
      <c r="D171" s="56"/>
      <c r="E171" s="57"/>
      <c r="F171" s="57"/>
      <c r="G171" s="58"/>
      <c r="H171" s="59"/>
      <c r="I171" s="68">
        <v>1</v>
      </c>
      <c r="J171" s="61" t="s">
        <v>543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8">
        <v>1</v>
      </c>
      <c r="J172" s="61" t="s">
        <v>540</v>
      </c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ht="15.75" x14ac:dyDescent="0.15">
      <c r="B173" s="97" t="str">
        <f>IF(G173&lt;&gt;"",SUBTOTAL(3,$G$4:G173),"")</f>
        <v/>
      </c>
      <c r="C173" s="56"/>
      <c r="D173" s="56"/>
      <c r="E173" s="57"/>
      <c r="F173" s="57"/>
      <c r="G173" s="58"/>
      <c r="H173" s="59"/>
      <c r="I173" s="68">
        <v>1</v>
      </c>
      <c r="J173" s="61" t="s">
        <v>541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8">
        <v>1</v>
      </c>
      <c r="J174" s="61" t="s">
        <v>537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97" t="str">
        <f>IF(G175&lt;&gt;"",SUBTOTAL(3,$G$4:G175),"")</f>
        <v/>
      </c>
      <c r="C175" s="56"/>
      <c r="D175" s="56"/>
      <c r="E175" s="57"/>
      <c r="F175" s="57"/>
      <c r="G175" s="58"/>
      <c r="H175" s="59"/>
      <c r="I175" s="68">
        <v>1</v>
      </c>
      <c r="J175" s="61" t="s">
        <v>538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97" t="str">
        <f>IF(G176&lt;&gt;"",SUBTOTAL(3,$G$4:G176),"")</f>
        <v/>
      </c>
      <c r="C176" s="56"/>
      <c r="D176" s="56"/>
      <c r="E176" s="57"/>
      <c r="F176" s="57"/>
      <c r="G176" s="58"/>
      <c r="H176" s="59"/>
      <c r="I176" s="68">
        <v>1</v>
      </c>
      <c r="J176" s="61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56">
        <f>IF(G177&lt;&gt;"",SUBTOTAL(3,$G$5:G177),"")</f>
        <v>39</v>
      </c>
      <c r="C177" s="56"/>
      <c r="D177" s="56"/>
      <c r="E177" s="57" t="s">
        <v>139</v>
      </c>
      <c r="F177" s="57" t="s">
        <v>135</v>
      </c>
      <c r="G177" s="58" t="s">
        <v>163</v>
      </c>
      <c r="H177" s="59">
        <v>44010</v>
      </c>
      <c r="I177" s="60">
        <v>1</v>
      </c>
      <c r="J177" s="61" t="s">
        <v>533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97" t="str">
        <f>IF(G178&lt;&gt;"",SUBTOTAL(3,$G$4:G178),"")</f>
        <v/>
      </c>
      <c r="C178" s="56"/>
      <c r="D178" s="56"/>
      <c r="E178" s="57"/>
      <c r="F178" s="57"/>
      <c r="G178" s="58"/>
      <c r="H178" s="59"/>
      <c r="I178" s="68">
        <v>1</v>
      </c>
      <c r="J178" s="61" t="s">
        <v>534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97" t="str">
        <f>IF(G179&lt;&gt;"",SUBTOTAL(3,$G$4:G179),"")</f>
        <v/>
      </c>
      <c r="C179" s="56"/>
      <c r="D179" s="56"/>
      <c r="E179" s="57"/>
      <c r="F179" s="57"/>
      <c r="G179" s="58"/>
      <c r="H179" s="59"/>
      <c r="I179" s="68">
        <v>1</v>
      </c>
      <c r="J179" s="61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56">
        <f>IF(G180&lt;&gt;"",SUBTOTAL(3,$G$5:G180),"")</f>
        <v>40</v>
      </c>
      <c r="C180" s="56"/>
      <c r="D180" s="56"/>
      <c r="E180" s="57" t="s">
        <v>139</v>
      </c>
      <c r="F180" s="57" t="s">
        <v>135</v>
      </c>
      <c r="G180" s="58" t="s">
        <v>164</v>
      </c>
      <c r="H180" s="59">
        <v>44007</v>
      </c>
      <c r="I180" s="60">
        <v>1</v>
      </c>
      <c r="J180" s="61" t="s">
        <v>529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 t="s">
        <v>530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8">
        <v>1</v>
      </c>
      <c r="J182" s="61" t="s">
        <v>532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8">
        <v>1</v>
      </c>
      <c r="J183" s="61" t="s">
        <v>531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8">
        <v>1</v>
      </c>
      <c r="J184" s="61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56">
        <f>IF(G185&lt;&gt;"",SUBTOTAL(3,$G$5:G185),"")</f>
        <v>41</v>
      </c>
      <c r="C185" s="56"/>
      <c r="D185" s="56"/>
      <c r="E185" s="57" t="s">
        <v>139</v>
      </c>
      <c r="F185" s="57" t="s">
        <v>135</v>
      </c>
      <c r="G185" s="58" t="s">
        <v>165</v>
      </c>
      <c r="H185" s="59">
        <v>44006</v>
      </c>
      <c r="I185" s="60">
        <v>0.5</v>
      </c>
      <c r="J185" s="61" t="s">
        <v>528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6">
        <v>0.5</v>
      </c>
      <c r="J186" s="61" t="s">
        <v>526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6">
        <v>0.5</v>
      </c>
      <c r="J187" s="61" t="s">
        <v>527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6">
        <v>0.5</v>
      </c>
      <c r="J188" s="61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56">
        <f>IF(G189&lt;&gt;"",SUBTOTAL(3,$G$5:G189),"")</f>
        <v>42</v>
      </c>
      <c r="C189" s="56"/>
      <c r="D189" s="56"/>
      <c r="E189" s="57" t="s">
        <v>139</v>
      </c>
      <c r="F189" s="57" t="s">
        <v>135</v>
      </c>
      <c r="G189" s="58" t="s">
        <v>166</v>
      </c>
      <c r="H189" s="59">
        <v>44003</v>
      </c>
      <c r="I189" s="60">
        <v>1</v>
      </c>
      <c r="J189" s="61" t="s">
        <v>524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ht="17.25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525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56">
        <f>IF(G192&lt;&gt;"",SUBTOTAL(3,$G$5:G192),"")</f>
        <v>43</v>
      </c>
      <c r="C192" s="56"/>
      <c r="D192" s="56"/>
      <c r="E192" s="57" t="s">
        <v>139</v>
      </c>
      <c r="F192" s="57" t="s">
        <v>135</v>
      </c>
      <c r="G192" s="58" t="s">
        <v>167</v>
      </c>
      <c r="H192" s="59">
        <v>44000</v>
      </c>
      <c r="I192" s="60">
        <v>1</v>
      </c>
      <c r="J192" s="61" t="s">
        <v>519</v>
      </c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97" t="str">
        <f>IF(G193&lt;&gt;"",SUBTOTAL(3,$G$4:G193),"")</f>
        <v/>
      </c>
      <c r="C193" s="56"/>
      <c r="D193" s="56"/>
      <c r="E193" s="57"/>
      <c r="F193" s="57"/>
      <c r="G193" s="58"/>
      <c r="H193" s="59"/>
      <c r="I193" s="68">
        <v>1</v>
      </c>
      <c r="J193" s="61" t="s">
        <v>520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521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 t="s">
        <v>522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 t="s">
        <v>523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56">
        <f>IF(G198&lt;&gt;"",SUBTOTAL(3,$G$5:G198),"")</f>
        <v>44</v>
      </c>
      <c r="C198" s="56"/>
      <c r="D198" s="56"/>
      <c r="E198" s="57" t="s">
        <v>139</v>
      </c>
      <c r="F198" s="57" t="s">
        <v>135</v>
      </c>
      <c r="G198" s="58" t="s">
        <v>168</v>
      </c>
      <c r="H198" s="59">
        <v>43996</v>
      </c>
      <c r="I198" s="60">
        <v>1</v>
      </c>
      <c r="J198" s="61" t="s">
        <v>516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517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518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56">
        <f>IF(G202&lt;&gt;"",SUBTOTAL(3,$G$5:G202),"")</f>
        <v>45</v>
      </c>
      <c r="C202" s="56"/>
      <c r="D202" s="56"/>
      <c r="E202" s="57" t="s">
        <v>139</v>
      </c>
      <c r="F202" s="57" t="s">
        <v>135</v>
      </c>
      <c r="G202" s="58" t="s">
        <v>169</v>
      </c>
      <c r="H202" s="59">
        <v>43996</v>
      </c>
      <c r="I202" s="60">
        <v>1</v>
      </c>
      <c r="J202" s="61" t="s">
        <v>512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8">
        <v>1</v>
      </c>
      <c r="J203" s="61" t="s">
        <v>513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ht="15.75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8">
        <v>1</v>
      </c>
      <c r="J204" s="61" t="s">
        <v>514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515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56">
        <f>IF(G207&lt;&gt;"",SUBTOTAL(3,$G$5:G207),"")</f>
        <v>46</v>
      </c>
      <c r="C207" s="56"/>
      <c r="D207" s="56"/>
      <c r="E207" s="57" t="s">
        <v>139</v>
      </c>
      <c r="F207" s="57" t="s">
        <v>135</v>
      </c>
      <c r="G207" s="58" t="s">
        <v>170</v>
      </c>
      <c r="H207" s="59">
        <v>43996</v>
      </c>
      <c r="I207" s="60">
        <v>1</v>
      </c>
      <c r="J207" s="61" t="s">
        <v>508</v>
      </c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97" t="str">
        <f>IF(G208&lt;&gt;"",SUBTOTAL(3,$G$4:G208),"")</f>
        <v/>
      </c>
      <c r="C208" s="56"/>
      <c r="D208" s="56"/>
      <c r="E208" s="57"/>
      <c r="F208" s="57"/>
      <c r="G208" s="58"/>
      <c r="H208" s="59"/>
      <c r="I208" s="68">
        <v>1</v>
      </c>
      <c r="J208" s="61" t="s">
        <v>511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510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509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IF(G211&lt;&gt;"",SUBTOTAL(3,$G$4:G211),"")</f>
        <v/>
      </c>
      <c r="C211" s="56"/>
      <c r="D211" s="56"/>
      <c r="E211" s="57"/>
      <c r="F211" s="57"/>
      <c r="G211" s="58"/>
      <c r="H211" s="59"/>
      <c r="I211" s="68">
        <v>1</v>
      </c>
      <c r="J211" s="6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56">
        <f>IF(G212&lt;&gt;"",SUBTOTAL(3,$G$5:G212),"")</f>
        <v>47</v>
      </c>
      <c r="C212" s="56"/>
      <c r="D212" s="56"/>
      <c r="E212" s="57" t="s">
        <v>139</v>
      </c>
      <c r="F212" s="57" t="s">
        <v>135</v>
      </c>
      <c r="G212" s="58" t="s">
        <v>171</v>
      </c>
      <c r="H212" s="59">
        <v>43995</v>
      </c>
      <c r="I212" s="60">
        <v>1</v>
      </c>
      <c r="J212" s="61" t="s">
        <v>504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 t="s">
        <v>505</v>
      </c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97" t="str">
        <f>IF(G214&lt;&gt;"",SUBTOTAL(3,$G$4:G214),"")</f>
        <v/>
      </c>
      <c r="C214" s="56"/>
      <c r="D214" s="56"/>
      <c r="E214" s="57"/>
      <c r="F214" s="57"/>
      <c r="G214" s="58"/>
      <c r="H214" s="59"/>
      <c r="I214" s="68">
        <v>1</v>
      </c>
      <c r="J214" s="61" t="s">
        <v>506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507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56">
        <f>IF(G217&lt;&gt;"",SUBTOTAL(3,$G$5:G217),"")</f>
        <v>48</v>
      </c>
      <c r="C217" s="56"/>
      <c r="D217" s="56"/>
      <c r="E217" s="57" t="s">
        <v>139</v>
      </c>
      <c r="F217" s="57" t="s">
        <v>135</v>
      </c>
      <c r="G217" s="58" t="s">
        <v>172</v>
      </c>
      <c r="H217" s="59">
        <v>43995</v>
      </c>
      <c r="I217" s="60">
        <v>1</v>
      </c>
      <c r="J217" s="61" t="s">
        <v>424</v>
      </c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97" t="str">
        <f>IF(G218&lt;&gt;"",SUBTOTAL(3,$G$5:G218),"")</f>
        <v/>
      </c>
      <c r="C218" s="56"/>
      <c r="D218" s="56"/>
      <c r="E218" s="57"/>
      <c r="F218" s="57"/>
      <c r="G218" s="58"/>
      <c r="H218" s="59"/>
      <c r="I218" s="68">
        <v>1</v>
      </c>
      <c r="J218" s="61" t="s">
        <v>422</v>
      </c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97" t="str">
        <f>IF(G219&lt;&gt;"",SUBTOTAL(3,$G$5:G219),"")</f>
        <v/>
      </c>
      <c r="C219" s="56"/>
      <c r="D219" s="56"/>
      <c r="E219" s="57"/>
      <c r="F219" s="57"/>
      <c r="G219" s="58"/>
      <c r="H219" s="59"/>
      <c r="I219" s="68">
        <v>1</v>
      </c>
      <c r="J219" s="61" t="s">
        <v>423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x14ac:dyDescent="0.15">
      <c r="B220" s="97" t="str">
        <f>IF(G220&lt;&gt;"",SUBTOTAL(3,$G$5:G220),"")</f>
        <v/>
      </c>
      <c r="C220" s="56"/>
      <c r="D220" s="56"/>
      <c r="E220" s="57"/>
      <c r="F220" s="57"/>
      <c r="G220" s="58"/>
      <c r="H220" s="59"/>
      <c r="I220" s="68">
        <v>1</v>
      </c>
      <c r="J220" s="61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56">
        <f>IF(G221&lt;&gt;"",SUBTOTAL(3,$G$5:G221),"")</f>
        <v>49</v>
      </c>
      <c r="C221" s="56"/>
      <c r="D221" s="56"/>
      <c r="E221" s="57" t="s">
        <v>139</v>
      </c>
      <c r="F221" s="57" t="s">
        <v>135</v>
      </c>
      <c r="G221" s="72" t="s">
        <v>173</v>
      </c>
      <c r="H221" s="59">
        <v>43982</v>
      </c>
      <c r="I221" s="60">
        <v>1</v>
      </c>
      <c r="J221" s="61" t="s">
        <v>439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97" t="str">
        <f>IF(G222&lt;&gt;"",SUBTOTAL(3,$G$5:G222),"")</f>
        <v/>
      </c>
      <c r="C222" s="56"/>
      <c r="D222" s="56"/>
      <c r="E222" s="57"/>
      <c r="F222" s="57"/>
      <c r="G222" s="72"/>
      <c r="H222" s="59"/>
      <c r="I222" s="68">
        <v>1</v>
      </c>
      <c r="J222" s="61" t="s">
        <v>440</v>
      </c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x14ac:dyDescent="0.15">
      <c r="B223" s="97" t="str">
        <f>IF(G223&lt;&gt;"",SUBTOTAL(3,$G$5:G223),"")</f>
        <v/>
      </c>
      <c r="C223" s="56"/>
      <c r="D223" s="56"/>
      <c r="E223" s="57"/>
      <c r="F223" s="57"/>
      <c r="G223" s="72"/>
      <c r="H223" s="59"/>
      <c r="I223" s="68">
        <v>1</v>
      </c>
      <c r="J223" s="61" t="s">
        <v>441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IF(G224&lt;&gt;"",SUBTOTAL(3,$G$5:G224),"")</f>
        <v/>
      </c>
      <c r="C224" s="56"/>
      <c r="D224" s="56"/>
      <c r="E224" s="57"/>
      <c r="F224" s="57"/>
      <c r="G224" s="72"/>
      <c r="H224" s="59"/>
      <c r="I224" s="68">
        <v>1</v>
      </c>
      <c r="J224" s="61" t="s">
        <v>442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IF(G225&lt;&gt;"",SUBTOTAL(3,$G$5:G225),"")</f>
        <v/>
      </c>
      <c r="C225" s="56"/>
      <c r="D225" s="56"/>
      <c r="E225" s="57"/>
      <c r="F225" s="57"/>
      <c r="G225" s="72"/>
      <c r="H225" s="59"/>
      <c r="I225" s="68">
        <v>1</v>
      </c>
      <c r="J225" s="61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s="45" customFormat="1" ht="13.5" customHeight="1" x14ac:dyDescent="0.15">
      <c r="B226" s="73">
        <f>IF(G226&lt;&gt;"",SUBTOTAL(3,$G$5:G226),"")</f>
        <v>50</v>
      </c>
      <c r="C226" s="73"/>
      <c r="D226" s="73"/>
      <c r="E226" s="74" t="s">
        <v>139</v>
      </c>
      <c r="F226" s="74" t="s">
        <v>135</v>
      </c>
      <c r="G226" s="72" t="s">
        <v>174</v>
      </c>
      <c r="H226" s="59">
        <v>43995</v>
      </c>
      <c r="I226" s="60">
        <v>1</v>
      </c>
      <c r="J226" s="75" t="s">
        <v>412</v>
      </c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76"/>
      <c r="AS226" s="75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76"/>
      <c r="CB226" s="7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</row>
    <row r="227" spans="2:130" s="45" customFormat="1" ht="13.5" customHeight="1" x14ac:dyDescent="0.15">
      <c r="B227" s="97" t="str">
        <f>IF(G227&lt;&gt;"",SUBTOTAL(3,$G$5:G227),"")</f>
        <v/>
      </c>
      <c r="C227" s="73"/>
      <c r="D227" s="73"/>
      <c r="E227" s="74"/>
      <c r="F227" s="74"/>
      <c r="G227" s="72"/>
      <c r="H227" s="59"/>
      <c r="I227" s="68">
        <v>1</v>
      </c>
      <c r="J227" s="75" t="s">
        <v>413</v>
      </c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76"/>
      <c r="AS227" s="75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76"/>
      <c r="CB227" s="7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</row>
    <row r="228" spans="2:130" s="45" customFormat="1" ht="13.5" customHeight="1" x14ac:dyDescent="0.15">
      <c r="B228" s="97" t="str">
        <f>IF(G228&lt;&gt;"",SUBTOTAL(3,$G$5:G228),"")</f>
        <v/>
      </c>
      <c r="C228" s="73"/>
      <c r="D228" s="73"/>
      <c r="E228" s="74"/>
      <c r="F228" s="74"/>
      <c r="G228" s="72"/>
      <c r="H228" s="59"/>
      <c r="I228" s="68">
        <v>1</v>
      </c>
      <c r="J228" s="75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76"/>
      <c r="AS228" s="75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76"/>
      <c r="CB228" s="7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</row>
    <row r="229" spans="2:130" s="45" customFormat="1" x14ac:dyDescent="0.15">
      <c r="B229" s="73">
        <f>IF(G229&lt;&gt;"",SUBTOTAL(3,$G$5:G229),"")</f>
        <v>51</v>
      </c>
      <c r="C229" s="73"/>
      <c r="D229" s="73"/>
      <c r="E229" s="74" t="s">
        <v>139</v>
      </c>
      <c r="F229" s="74" t="s">
        <v>135</v>
      </c>
      <c r="G229" s="72" t="s">
        <v>175</v>
      </c>
      <c r="H229" s="59">
        <v>43955</v>
      </c>
      <c r="I229" s="60">
        <v>1</v>
      </c>
      <c r="J229" s="61" t="s">
        <v>456</v>
      </c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3"/>
      <c r="AS229" s="61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3"/>
      <c r="CB229" s="7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</row>
    <row r="230" spans="2:130" s="45" customFormat="1" x14ac:dyDescent="0.15">
      <c r="B230" s="73" t="str">
        <f>IF(G230&lt;&gt;"",SUBTOTAL(3,$G$5:G230),"")</f>
        <v/>
      </c>
      <c r="C230" s="73"/>
      <c r="D230" s="73"/>
      <c r="E230" s="74"/>
      <c r="F230" s="74"/>
      <c r="G230" s="72"/>
      <c r="H230" s="59"/>
      <c r="I230" s="68">
        <v>1</v>
      </c>
      <c r="J230" s="61" t="s">
        <v>457</v>
      </c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3"/>
      <c r="AS230" s="61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3"/>
      <c r="CB230" s="7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</row>
    <row r="231" spans="2:130" s="45" customFormat="1" x14ac:dyDescent="0.15">
      <c r="B231" s="73" t="str">
        <f>IF(G231&lt;&gt;"",SUBTOTAL(3,$G$5:G231),"")</f>
        <v/>
      </c>
      <c r="C231" s="73"/>
      <c r="D231" s="73"/>
      <c r="E231" s="74"/>
      <c r="F231" s="74"/>
      <c r="G231" s="72"/>
      <c r="H231" s="59"/>
      <c r="I231" s="68">
        <v>1</v>
      </c>
      <c r="J231" s="61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3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7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ht="13.5" customHeight="1" x14ac:dyDescent="0.15">
      <c r="B232" s="73">
        <f>IF(G232&lt;&gt;"",SUBTOTAL(3,$G$5:G232),"")</f>
        <v>52</v>
      </c>
      <c r="C232" s="73"/>
      <c r="D232" s="73"/>
      <c r="E232" s="74" t="s">
        <v>139</v>
      </c>
      <c r="F232" s="74" t="s">
        <v>135</v>
      </c>
      <c r="G232" s="72" t="s">
        <v>176</v>
      </c>
      <c r="H232" s="59">
        <v>43967</v>
      </c>
      <c r="I232" s="98">
        <v>1</v>
      </c>
      <c r="J232" s="75" t="s">
        <v>400</v>
      </c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76"/>
      <c r="AS232" s="75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76"/>
      <c r="CB232" s="7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ht="13.5" customHeight="1" x14ac:dyDescent="0.15">
      <c r="B233" s="97" t="str">
        <f>IF(G233&lt;&gt;"",SUBTOTAL(3,$G$5:G233),"")</f>
        <v/>
      </c>
      <c r="C233" s="73"/>
      <c r="D233" s="73"/>
      <c r="E233" s="74"/>
      <c r="F233" s="74"/>
      <c r="G233" s="72"/>
      <c r="H233" s="59"/>
      <c r="I233" s="68">
        <v>1</v>
      </c>
      <c r="J233" s="75" t="s">
        <v>401</v>
      </c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76"/>
      <c r="AS233" s="75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76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ht="13.5" customHeight="1" x14ac:dyDescent="0.15">
      <c r="B234" s="73">
        <f>IF(G234&lt;&gt;"",SUBTOTAL(3,$G$5:G234),"")</f>
        <v>53</v>
      </c>
      <c r="C234" s="73"/>
      <c r="D234" s="73"/>
      <c r="E234" s="74" t="s">
        <v>139</v>
      </c>
      <c r="F234" s="74" t="s">
        <v>135</v>
      </c>
      <c r="G234" s="72" t="s">
        <v>177</v>
      </c>
      <c r="H234" s="59">
        <v>43870</v>
      </c>
      <c r="I234" s="60">
        <v>1</v>
      </c>
      <c r="J234" s="75" t="s">
        <v>397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76"/>
      <c r="AS234" s="75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76"/>
      <c r="CB234" s="7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ht="13.5" customHeight="1" x14ac:dyDescent="0.15">
      <c r="B235" s="97" t="str">
        <f>IF(G235&lt;&gt;"",SUBTOTAL(3,$G$5:G235),"")</f>
        <v/>
      </c>
      <c r="C235" s="73"/>
      <c r="D235" s="73"/>
      <c r="E235" s="74"/>
      <c r="F235" s="74"/>
      <c r="G235" s="72"/>
      <c r="H235" s="59"/>
      <c r="I235" s="66"/>
      <c r="J235" s="75" t="s">
        <v>398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76"/>
      <c r="AS235" s="75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76"/>
      <c r="CB235" s="7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ht="13.5" customHeight="1" x14ac:dyDescent="0.15">
      <c r="B236" s="97" t="str">
        <f>IF(G236&lt;&gt;"",SUBTOTAL(3,$G$5:G236),"")</f>
        <v/>
      </c>
      <c r="C236" s="73"/>
      <c r="D236" s="73"/>
      <c r="E236" s="74"/>
      <c r="F236" s="74"/>
      <c r="G236" s="72"/>
      <c r="H236" s="59"/>
      <c r="I236" s="66"/>
      <c r="J236" s="75" t="s">
        <v>399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97" t="str">
        <f>IF(G237&lt;&gt;"",SUBTOTAL(3,$G$5:G237),"")</f>
        <v/>
      </c>
      <c r="C237" s="73"/>
      <c r="D237" s="73"/>
      <c r="E237" s="74"/>
      <c r="F237" s="74"/>
      <c r="G237" s="72"/>
      <c r="H237" s="59"/>
      <c r="I237" s="66"/>
      <c r="J237" s="75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x14ac:dyDescent="0.15">
      <c r="B238" s="73">
        <f>IF(G238&lt;&gt;"",SUBTOTAL(3,$G$5:G238),"")</f>
        <v>54</v>
      </c>
      <c r="C238" s="73"/>
      <c r="D238" s="73"/>
      <c r="E238" s="74" t="s">
        <v>139</v>
      </c>
      <c r="F238" s="74" t="s">
        <v>135</v>
      </c>
      <c r="G238" s="72" t="s">
        <v>178</v>
      </c>
      <c r="H238" s="59">
        <v>43869</v>
      </c>
      <c r="I238" s="60">
        <v>1</v>
      </c>
      <c r="J238" s="75" t="s">
        <v>464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x14ac:dyDescent="0.15">
      <c r="B239" s="97" t="str">
        <f>IF(G239&lt;&gt;"",SUBTOTAL(3,$G$5:G239),"")</f>
        <v/>
      </c>
      <c r="C239" s="73"/>
      <c r="D239" s="73"/>
      <c r="E239" s="74"/>
      <c r="F239" s="74"/>
      <c r="G239" s="72"/>
      <c r="H239" s="59"/>
      <c r="I239" s="68">
        <v>1</v>
      </c>
      <c r="J239" s="75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x14ac:dyDescent="0.15">
      <c r="B240" s="73">
        <f>IF(G240&lt;&gt;"",SUBTOTAL(3,$G$5:G240),"")</f>
        <v>55</v>
      </c>
      <c r="C240" s="73"/>
      <c r="D240" s="73"/>
      <c r="E240" s="74" t="s">
        <v>139</v>
      </c>
      <c r="F240" s="74" t="s">
        <v>135</v>
      </c>
      <c r="G240" s="72" t="s">
        <v>89</v>
      </c>
      <c r="H240" s="59">
        <v>43961</v>
      </c>
      <c r="I240" s="60">
        <v>1</v>
      </c>
      <c r="J240" s="103" t="s">
        <v>454</v>
      </c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5"/>
      <c r="AS240" s="61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3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x14ac:dyDescent="0.15">
      <c r="B241" s="73" t="str">
        <f>IF(G241&lt;&gt;"",SUBTOTAL(3,$G$5:G241),"")</f>
        <v/>
      </c>
      <c r="C241" s="73"/>
      <c r="D241" s="73"/>
      <c r="E241" s="74"/>
      <c r="F241" s="74"/>
      <c r="G241" s="72"/>
      <c r="H241" s="59"/>
      <c r="I241" s="68">
        <v>1</v>
      </c>
      <c r="J241" s="103" t="s">
        <v>455</v>
      </c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5"/>
      <c r="AS241" s="61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3"/>
      <c r="CB241" s="7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x14ac:dyDescent="0.15">
      <c r="B242" s="73" t="str">
        <f>IF(G242&lt;&gt;"",SUBTOTAL(3,$G$5:G242),"")</f>
        <v/>
      </c>
      <c r="C242" s="73"/>
      <c r="D242" s="73"/>
      <c r="E242" s="74"/>
      <c r="F242" s="74"/>
      <c r="G242" s="72"/>
      <c r="H242" s="59"/>
      <c r="I242" s="68">
        <v>1</v>
      </c>
      <c r="J242" s="103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5"/>
      <c r="AS242" s="61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 s="63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73">
        <f>IF(G243&lt;&gt;"",SUBTOTAL(3,$G$5:G243),"")</f>
        <v>56</v>
      </c>
      <c r="C243" s="73"/>
      <c r="D243" s="73"/>
      <c r="E243" s="74" t="s">
        <v>139</v>
      </c>
      <c r="F243" s="74" t="s">
        <v>135</v>
      </c>
      <c r="G243" s="72" t="s">
        <v>179</v>
      </c>
      <c r="H243" s="59">
        <v>43961</v>
      </c>
      <c r="I243" s="60">
        <v>1</v>
      </c>
      <c r="J243" s="75" t="s">
        <v>443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7" t="s">
        <v>13</v>
      </c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97" t="str">
        <f>IF(G244&lt;&gt;"",SUBTOTAL(3,$G$5:G244),"")</f>
        <v/>
      </c>
      <c r="C244" s="73"/>
      <c r="D244" s="73"/>
      <c r="E244" s="74"/>
      <c r="F244" s="74"/>
      <c r="G244" s="72"/>
      <c r="H244" s="59"/>
      <c r="I244" s="68">
        <v>1</v>
      </c>
      <c r="J244" s="75" t="s">
        <v>444</v>
      </c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7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97" t="str">
        <f>IF(G245&lt;&gt;"",SUBTOTAL(3,$G$5:G245),"")</f>
        <v/>
      </c>
      <c r="C245" s="73"/>
      <c r="D245" s="73"/>
      <c r="E245" s="74"/>
      <c r="F245" s="74"/>
      <c r="G245" s="72"/>
      <c r="H245" s="59"/>
      <c r="I245" s="68">
        <v>1</v>
      </c>
      <c r="J245" s="75" t="s">
        <v>445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7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75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7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73">
        <f>IF(G247&lt;&gt;"",SUBTOTAL(3,$G$5:G247),"")</f>
        <v>57</v>
      </c>
      <c r="C247" s="73"/>
      <c r="D247" s="73"/>
      <c r="E247" s="74" t="s">
        <v>139</v>
      </c>
      <c r="F247" s="74" t="s">
        <v>135</v>
      </c>
      <c r="G247" s="72" t="s">
        <v>180</v>
      </c>
      <c r="H247" s="59">
        <v>43995</v>
      </c>
      <c r="I247" s="60">
        <v>1</v>
      </c>
      <c r="J247" s="75" t="s">
        <v>414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97" t="str">
        <f>IF(G248&lt;&gt;"",SUBTOTAL(3,$G$5:G248),"")</f>
        <v/>
      </c>
      <c r="C248" s="73"/>
      <c r="D248" s="73"/>
      <c r="E248" s="74"/>
      <c r="F248" s="74"/>
      <c r="G248" s="72"/>
      <c r="H248" s="59"/>
      <c r="I248" s="68">
        <v>1</v>
      </c>
      <c r="J248" s="75" t="s">
        <v>415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75" t="s">
        <v>416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97" t="str">
        <f>IF(G250&lt;&gt;"",SUBTOTAL(3,$G$5:G250),"")</f>
        <v/>
      </c>
      <c r="C250" s="73"/>
      <c r="D250" s="73"/>
      <c r="E250" s="74"/>
      <c r="F250" s="74"/>
      <c r="G250" s="72"/>
      <c r="H250" s="59"/>
      <c r="I250" s="68">
        <v>1</v>
      </c>
      <c r="J250" s="75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73">
        <f>IF(G251&lt;&gt;"",SUBTOTAL(3,$G$5:G251),"")</f>
        <v>58</v>
      </c>
      <c r="C251" s="73"/>
      <c r="D251" s="73"/>
      <c r="E251" s="74" t="s">
        <v>139</v>
      </c>
      <c r="F251" s="74" t="s">
        <v>135</v>
      </c>
      <c r="G251" s="72" t="s">
        <v>181</v>
      </c>
      <c r="H251" s="59">
        <v>43961</v>
      </c>
      <c r="I251" s="60">
        <v>1</v>
      </c>
      <c r="J251" s="75" t="s">
        <v>446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75" t="s">
        <v>447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8">
        <v>1</v>
      </c>
      <c r="J253" s="75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73">
        <f>IF(G254&lt;&gt;"",SUBTOTAL(3,$G$5:G254),"")</f>
        <v>59</v>
      </c>
      <c r="C254" s="73"/>
      <c r="D254" s="73"/>
      <c r="E254" s="74" t="s">
        <v>139</v>
      </c>
      <c r="F254" s="74" t="s">
        <v>135</v>
      </c>
      <c r="G254" s="72" t="s">
        <v>182</v>
      </c>
      <c r="H254" s="59">
        <v>43995</v>
      </c>
      <c r="I254" s="60"/>
      <c r="J254" s="75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73">
        <f>IF(G255&lt;&gt;"",SUBTOTAL(3,$G$5:G255),"")</f>
        <v>60</v>
      </c>
      <c r="C255" s="73"/>
      <c r="D255" s="73"/>
      <c r="E255" s="74" t="s">
        <v>139</v>
      </c>
      <c r="F255" s="74" t="s">
        <v>135</v>
      </c>
      <c r="G255" s="72" t="s">
        <v>183</v>
      </c>
      <c r="H255" s="59">
        <v>44006</v>
      </c>
      <c r="I255" s="60"/>
      <c r="J255" s="75" t="s">
        <v>448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7" t="s">
        <v>13</v>
      </c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6"/>
      <c r="J256" s="75" t="s">
        <v>449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7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97" t="str">
        <f>IF(G257&lt;&gt;"",SUBTOTAL(3,$G$5:G257),"")</f>
        <v/>
      </c>
      <c r="C257" s="73"/>
      <c r="D257" s="73"/>
      <c r="E257" s="74"/>
      <c r="F257" s="74"/>
      <c r="G257" s="72"/>
      <c r="H257" s="59"/>
      <c r="I257" s="66"/>
      <c r="J257" s="75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7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73">
        <f>IF(G258&lt;&gt;"",SUBTOTAL(3,$G$5:G258),"")</f>
        <v>61</v>
      </c>
      <c r="C258" s="73"/>
      <c r="D258" s="73"/>
      <c r="E258" s="74" t="s">
        <v>139</v>
      </c>
      <c r="F258" s="74" t="s">
        <v>135</v>
      </c>
      <c r="G258" s="72" t="s">
        <v>15</v>
      </c>
      <c r="H258" s="59">
        <v>43995</v>
      </c>
      <c r="I258" s="60">
        <v>1</v>
      </c>
      <c r="J258" s="75" t="s">
        <v>402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7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IF(G259&lt;&gt;"",SUBTOTAL(3,$G$5:G259),"")</f>
        <v/>
      </c>
      <c r="C259" s="73"/>
      <c r="D259" s="73"/>
      <c r="E259" s="74"/>
      <c r="F259" s="74"/>
      <c r="G259" s="72"/>
      <c r="H259" s="59"/>
      <c r="I259" s="68">
        <v>1</v>
      </c>
      <c r="J259" s="75" t="s">
        <v>403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7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97" t="str">
        <f>IF(G260&lt;&gt;"",SUBTOTAL(3,$G$5:G260),"")</f>
        <v/>
      </c>
      <c r="C260" s="73"/>
      <c r="D260" s="73"/>
      <c r="E260" s="74"/>
      <c r="F260" s="74"/>
      <c r="G260" s="72"/>
      <c r="H260" s="59"/>
      <c r="I260" s="68">
        <v>1</v>
      </c>
      <c r="J260" s="75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7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73">
        <f>IF(G261&lt;&gt;"",SUBTOTAL(3,$G$5:G261),"")</f>
        <v>62</v>
      </c>
      <c r="C261" s="73"/>
      <c r="D261" s="73"/>
      <c r="E261" s="74" t="s">
        <v>139</v>
      </c>
      <c r="F261" s="74" t="s">
        <v>135</v>
      </c>
      <c r="G261" s="72" t="s">
        <v>184</v>
      </c>
      <c r="H261" s="59">
        <v>43871</v>
      </c>
      <c r="I261" s="60">
        <v>1</v>
      </c>
      <c r="J261" s="75" t="s">
        <v>410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7" t="s">
        <v>13</v>
      </c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8">
        <v>1</v>
      </c>
      <c r="J262" s="75" t="s">
        <v>411</v>
      </c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7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97" t="str">
        <f>IF(G263&lt;&gt;"",SUBTOTAL(3,$G$5:G263),"")</f>
        <v/>
      </c>
      <c r="C263" s="73"/>
      <c r="D263" s="73"/>
      <c r="E263" s="74"/>
      <c r="F263" s="74"/>
      <c r="G263" s="72"/>
      <c r="H263" s="59"/>
      <c r="I263" s="68">
        <v>1</v>
      </c>
      <c r="J263" s="75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7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73">
        <f>IF(G264&lt;&gt;"",SUBTOTAL(3,$G$5:G264),"")</f>
        <v>63</v>
      </c>
      <c r="C264" s="73"/>
      <c r="D264" s="73"/>
      <c r="E264" s="74" t="s">
        <v>139</v>
      </c>
      <c r="F264" s="74" t="s">
        <v>135</v>
      </c>
      <c r="G264" s="72" t="s">
        <v>185</v>
      </c>
      <c r="H264" s="59">
        <v>43936</v>
      </c>
      <c r="I264" s="60">
        <v>1</v>
      </c>
      <c r="J264" s="75" t="s">
        <v>406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IF(G265&lt;&gt;"",SUBTOTAL(3,$G$5:G265),"")</f>
        <v/>
      </c>
      <c r="C265" s="73"/>
      <c r="D265" s="73"/>
      <c r="E265" s="74"/>
      <c r="F265" s="74"/>
      <c r="G265" s="72"/>
      <c r="H265" s="59"/>
      <c r="I265" s="68">
        <v>1</v>
      </c>
      <c r="J265" s="75" t="s">
        <v>407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IF(G266&lt;&gt;"",SUBTOTAL(3,$G$5:G266),"")</f>
        <v/>
      </c>
      <c r="C266" s="73"/>
      <c r="D266" s="73"/>
      <c r="E266" s="74"/>
      <c r="F266" s="74"/>
      <c r="G266" s="72"/>
      <c r="H266" s="59"/>
      <c r="I266" s="68">
        <v>1</v>
      </c>
      <c r="J266" s="75" t="s">
        <v>408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IF(G267&lt;&gt;"",SUBTOTAL(3,$G$5:G267),"")</f>
        <v/>
      </c>
      <c r="C267" s="73"/>
      <c r="D267" s="73"/>
      <c r="E267" s="74"/>
      <c r="F267" s="74"/>
      <c r="G267" s="72"/>
      <c r="H267" s="59"/>
      <c r="I267" s="68">
        <v>1</v>
      </c>
      <c r="J267" s="75" t="s">
        <v>409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IF(G268&lt;&gt;"",SUBTOTAL(3,$G$5:G268),"")</f>
        <v/>
      </c>
      <c r="C268" s="73"/>
      <c r="D268" s="73"/>
      <c r="E268" s="74"/>
      <c r="F268" s="74"/>
      <c r="G268" s="72"/>
      <c r="H268" s="59"/>
      <c r="I268" s="68">
        <v>1</v>
      </c>
      <c r="J268" s="75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73">
        <f>IF(G269&lt;&gt;"",SUBTOTAL(3,$G$5:G269),"")</f>
        <v>64</v>
      </c>
      <c r="C269" s="73"/>
      <c r="D269" s="73"/>
      <c r="E269" s="74" t="s">
        <v>139</v>
      </c>
      <c r="F269" s="74" t="s">
        <v>135</v>
      </c>
      <c r="G269" s="72" t="s">
        <v>186</v>
      </c>
      <c r="H269" s="59">
        <v>43935</v>
      </c>
      <c r="I269" s="60">
        <v>1</v>
      </c>
      <c r="J269" s="75" t="s">
        <v>405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97" t="str">
        <f>IF(G270&lt;&gt;"",SUBTOTAL(3,$G$5:G270),"")</f>
        <v/>
      </c>
      <c r="C270" s="73"/>
      <c r="D270" s="73"/>
      <c r="E270" s="74"/>
      <c r="F270" s="74"/>
      <c r="G270" s="72"/>
      <c r="H270" s="59"/>
      <c r="I270" s="68">
        <v>1</v>
      </c>
      <c r="J270" s="75" t="s">
        <v>404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 t="str">
        <f>IF(G271&lt;&gt;"",SUBTOTAL(3,$G$5:G271),"")</f>
        <v/>
      </c>
      <c r="C271" s="73"/>
      <c r="D271" s="73"/>
      <c r="E271" s="74"/>
      <c r="F271" s="74"/>
      <c r="G271" s="72"/>
      <c r="H271" s="59"/>
      <c r="I271" s="68">
        <v>1</v>
      </c>
      <c r="J271" s="75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73">
        <f>IF(G272&lt;&gt;"",SUBTOTAL(3,$G$5:G272),"")</f>
        <v>65</v>
      </c>
      <c r="C272" s="73"/>
      <c r="D272" s="73"/>
      <c r="E272" s="74" t="s">
        <v>139</v>
      </c>
      <c r="F272" s="74" t="s">
        <v>135</v>
      </c>
      <c r="G272" s="72" t="s">
        <v>187</v>
      </c>
      <c r="H272" s="59">
        <v>43919</v>
      </c>
      <c r="I272" s="60">
        <v>1</v>
      </c>
      <c r="J272" s="75" t="s">
        <v>500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97" t="str">
        <f>IF(G273&lt;&gt;"",SUBTOTAL(3,$G$4:G273),"")</f>
        <v/>
      </c>
      <c r="C273" s="73"/>
      <c r="D273" s="73"/>
      <c r="E273" s="74"/>
      <c r="F273" s="74"/>
      <c r="G273" s="72"/>
      <c r="H273" s="59"/>
      <c r="I273" s="68">
        <v>1</v>
      </c>
      <c r="J273" s="75" t="s">
        <v>502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97" t="str">
        <f>IF(G274&lt;&gt;"",SUBTOTAL(3,$G$4:G274),"")</f>
        <v/>
      </c>
      <c r="C274" s="73"/>
      <c r="D274" s="73"/>
      <c r="E274" s="74"/>
      <c r="F274" s="74"/>
      <c r="G274" s="72"/>
      <c r="H274" s="59"/>
      <c r="I274" s="68">
        <v>1</v>
      </c>
      <c r="J274" s="75" t="s">
        <v>501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IF(G275&lt;&gt;"",SUBTOTAL(3,$G$4:G275),"")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503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IF(G276&lt;&gt;"",SUBTOTAL(3,$G$4:G276),"")</f>
        <v/>
      </c>
      <c r="C276" s="73"/>
      <c r="D276" s="73"/>
      <c r="E276" s="74"/>
      <c r="F276" s="74"/>
      <c r="G276" s="72"/>
      <c r="H276" s="59"/>
      <c r="I276" s="68">
        <v>1</v>
      </c>
      <c r="J276" s="75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73">
        <f>IF(G277&lt;&gt;"",SUBTOTAL(3,$G$5:G277),"")</f>
        <v>66</v>
      </c>
      <c r="C277" s="73"/>
      <c r="D277" s="73"/>
      <c r="E277" s="74" t="s">
        <v>139</v>
      </c>
      <c r="F277" s="74" t="s">
        <v>135</v>
      </c>
      <c r="G277" s="72" t="s">
        <v>188</v>
      </c>
      <c r="H277" s="59">
        <v>43995</v>
      </c>
      <c r="I277" s="60">
        <v>1</v>
      </c>
      <c r="J277" s="75" t="s">
        <v>417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IF(G278&lt;&gt;"",SUBTOTAL(3,$G$5:G278),"")</f>
        <v/>
      </c>
      <c r="C278" s="73"/>
      <c r="D278" s="73"/>
      <c r="E278" s="74"/>
      <c r="F278" s="74"/>
      <c r="G278" s="72"/>
      <c r="H278" s="59"/>
      <c r="I278" s="68">
        <v>1</v>
      </c>
      <c r="J278" s="75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73">
        <f>IF(G279&lt;&gt;"",SUBTOTAL(3,$G$5:G279),"")</f>
        <v>67</v>
      </c>
      <c r="C279" s="73"/>
      <c r="D279" s="73"/>
      <c r="E279" s="74" t="s">
        <v>139</v>
      </c>
      <c r="F279" s="74" t="s">
        <v>135</v>
      </c>
      <c r="G279" s="72" t="s">
        <v>189</v>
      </c>
      <c r="H279" s="59">
        <v>43975</v>
      </c>
      <c r="I279" s="60">
        <v>1</v>
      </c>
      <c r="J279" s="75" t="s">
        <v>498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IF(G280&lt;&gt;"",SUBTOTAL(3,$G$4:G280),"")</f>
        <v/>
      </c>
      <c r="C280" s="73"/>
      <c r="D280" s="73"/>
      <c r="E280" s="74"/>
      <c r="F280" s="74"/>
      <c r="G280" s="72"/>
      <c r="H280" s="59"/>
      <c r="I280" s="68">
        <v>1</v>
      </c>
      <c r="J280" s="75" t="s">
        <v>499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IF(G281&lt;&gt;"",SUBTOTAL(3,$G$4:G281),"")</f>
        <v/>
      </c>
      <c r="C281" s="73"/>
      <c r="D281" s="73"/>
      <c r="E281" s="74"/>
      <c r="F281" s="74"/>
      <c r="G281" s="72"/>
      <c r="H281" s="59"/>
      <c r="I281" s="68">
        <v>1</v>
      </c>
      <c r="J281" s="75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73">
        <f>IF(G282&lt;&gt;"",SUBTOTAL(3,$G$5:G282),"")</f>
        <v>68</v>
      </c>
      <c r="C282" s="73"/>
      <c r="D282" s="73"/>
      <c r="E282" s="74" t="s">
        <v>139</v>
      </c>
      <c r="F282" s="74" t="s">
        <v>135</v>
      </c>
      <c r="G282" s="72" t="s">
        <v>190</v>
      </c>
      <c r="H282" s="59">
        <v>43975</v>
      </c>
      <c r="I282" s="60">
        <v>1</v>
      </c>
      <c r="J282" s="75" t="s">
        <v>497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 t="s">
        <v>496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IF(G284&lt;&gt;"",SUBTOTAL(3,$G$4:G284),"")</f>
        <v/>
      </c>
      <c r="C284" s="73"/>
      <c r="D284" s="73"/>
      <c r="E284" s="74"/>
      <c r="F284" s="74"/>
      <c r="G284" s="72"/>
      <c r="H284" s="59"/>
      <c r="I284" s="68">
        <v>1</v>
      </c>
      <c r="J284" s="75" t="s">
        <v>495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/>
      <c r="C285" s="73"/>
      <c r="D285" s="73"/>
      <c r="E285" s="74"/>
      <c r="F285" s="74"/>
      <c r="G285" s="72"/>
      <c r="H285" s="59"/>
      <c r="I285" s="68"/>
      <c r="J285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IF(G286&lt;&gt;"",SUBTOTAL(3,$G$4:G286),"")</f>
        <v/>
      </c>
      <c r="C286" s="73"/>
      <c r="D286" s="73"/>
      <c r="E286" s="74"/>
      <c r="F286" s="74"/>
      <c r="G286" s="72"/>
      <c r="H286" s="59"/>
      <c r="I286" s="68">
        <v>1</v>
      </c>
      <c r="J286" s="75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73">
        <f>IF(G287&lt;&gt;"",SUBTOTAL(3,$G$5:G287),"")</f>
        <v>69</v>
      </c>
      <c r="C287" s="73"/>
      <c r="D287" s="73"/>
      <c r="E287" s="74" t="s">
        <v>139</v>
      </c>
      <c r="F287" s="74" t="s">
        <v>135</v>
      </c>
      <c r="G287" s="72" t="s">
        <v>191</v>
      </c>
      <c r="H287" s="59">
        <v>43975</v>
      </c>
      <c r="I287" s="60">
        <v>1</v>
      </c>
      <c r="J287" s="75" t="s">
        <v>485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IF(G288&lt;&gt;"",SUBTOTAL(3,$G$4:G288),"")</f>
        <v/>
      </c>
      <c r="C288" s="73"/>
      <c r="D288" s="73"/>
      <c r="E288" s="74"/>
      <c r="F288" s="74"/>
      <c r="G288" s="72"/>
      <c r="H288" s="59"/>
      <c r="I288" s="68">
        <v>1</v>
      </c>
      <c r="J288" s="75" t="s">
        <v>493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97" t="str">
        <f>IF(G289&lt;&gt;"",SUBTOTAL(3,$G$4:G289),"")</f>
        <v/>
      </c>
      <c r="C289" s="73"/>
      <c r="D289" s="73"/>
      <c r="E289" s="74"/>
      <c r="F289" s="74"/>
      <c r="G289" s="72"/>
      <c r="H289" s="59"/>
      <c r="I289" s="68">
        <v>1</v>
      </c>
      <c r="J289" s="75" t="s">
        <v>494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IF(G290&lt;&gt;"",SUBTOTAL(3,$G$4:G290),"")</f>
        <v/>
      </c>
      <c r="C290" s="73"/>
      <c r="D290" s="73"/>
      <c r="E290" s="74"/>
      <c r="F290" s="74"/>
      <c r="G290" s="72"/>
      <c r="H290" s="59"/>
      <c r="I290" s="68">
        <v>1</v>
      </c>
      <c r="J290" s="75" t="s">
        <v>487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IF(G291&lt;&gt;"",SUBTOTAL(3,$G$4:G291),"")</f>
        <v/>
      </c>
      <c r="C291" s="73"/>
      <c r="D291" s="73"/>
      <c r="E291" s="74"/>
      <c r="F291" s="74"/>
      <c r="G291" s="72"/>
      <c r="H291" s="59"/>
      <c r="I291" s="68">
        <v>1</v>
      </c>
      <c r="J291" s="75" t="s">
        <v>488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IF(G292&lt;&gt;"",SUBTOTAL(3,$G$4:G292),"")</f>
        <v/>
      </c>
      <c r="C292" s="73"/>
      <c r="D292" s="73"/>
      <c r="E292" s="74"/>
      <c r="F292" s="74"/>
      <c r="G292" s="72"/>
      <c r="H292" s="59"/>
      <c r="I292" s="68">
        <v>1</v>
      </c>
      <c r="J292" s="75" t="s">
        <v>486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IF(G293&lt;&gt;"",SUBTOTAL(3,$G$4:G293),"")</f>
        <v/>
      </c>
      <c r="C293" s="73"/>
      <c r="D293" s="73"/>
      <c r="E293" s="74"/>
      <c r="F293" s="74"/>
      <c r="G293" s="72"/>
      <c r="H293" s="59"/>
      <c r="I293" s="68">
        <v>1</v>
      </c>
      <c r="J293" s="75" t="s">
        <v>489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IF(G294&lt;&gt;"",SUBTOTAL(3,$G$4:G294),"")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491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IF(G295&lt;&gt;"",SUBTOTAL(3,$G$4:G295),"")</f>
        <v/>
      </c>
      <c r="C295" s="73"/>
      <c r="D295" s="73"/>
      <c r="E295" s="74"/>
      <c r="F295" s="74"/>
      <c r="G295" s="72"/>
      <c r="H295" s="59"/>
      <c r="I295" s="68">
        <v>1</v>
      </c>
      <c r="J295" s="75" t="s">
        <v>492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IF(G296&lt;&gt;"",SUBTOTAL(3,$G$4:G296),"")</f>
        <v/>
      </c>
      <c r="C296" s="73"/>
      <c r="D296" s="73"/>
      <c r="E296" s="74"/>
      <c r="F296" s="74"/>
      <c r="G296" s="72"/>
      <c r="H296" s="59"/>
      <c r="I296" s="68">
        <v>1</v>
      </c>
      <c r="J296" s="75" t="s">
        <v>490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IF(G297&lt;&gt;"",SUBTOTAL(3,$G$4:G297),"")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70</v>
      </c>
      <c r="C298" s="73"/>
      <c r="D298" s="73"/>
      <c r="E298" s="74" t="s">
        <v>139</v>
      </c>
      <c r="F298" s="74" t="s">
        <v>135</v>
      </c>
      <c r="G298" s="72" t="s">
        <v>192</v>
      </c>
      <c r="H298" s="59">
        <v>43975</v>
      </c>
      <c r="I298" s="60">
        <v>1</v>
      </c>
      <c r="J298" s="75" t="s">
        <v>418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IF(G299&lt;&gt;"",SUBTOTAL(3,$G$5:G299),"")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419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IF(G300&lt;&gt;"",SUBTOTAL(3,$G$5:G300),"")</f>
        <v/>
      </c>
      <c r="C300" s="73"/>
      <c r="D300" s="73"/>
      <c r="E300" s="74"/>
      <c r="F300" s="74"/>
      <c r="G300" s="72"/>
      <c r="H300" s="59"/>
      <c r="I300" s="68">
        <v>1</v>
      </c>
      <c r="J300" s="75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73">
        <f>IF(G301&lt;&gt;"",SUBTOTAL(3,$G$5:G301),"")</f>
        <v>71</v>
      </c>
      <c r="C301" s="73"/>
      <c r="D301" s="73"/>
      <c r="E301" s="74" t="s">
        <v>139</v>
      </c>
      <c r="F301" s="74" t="s">
        <v>135</v>
      </c>
      <c r="G301" s="72" t="s">
        <v>193</v>
      </c>
      <c r="H301" s="59">
        <v>43977</v>
      </c>
      <c r="I301" s="60">
        <v>1</v>
      </c>
      <c r="J301" s="75" t="s">
        <v>420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IF(G302&lt;&gt;"",SUBTOTAL(3,$G$5:G302),"")</f>
        <v/>
      </c>
      <c r="C302" s="73"/>
      <c r="D302" s="73"/>
      <c r="E302" s="74"/>
      <c r="F302" s="74"/>
      <c r="G302" s="72"/>
      <c r="H302" s="59"/>
      <c r="I302" s="68">
        <v>1</v>
      </c>
      <c r="J302" s="75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73">
        <f>IF(G303&lt;&gt;"",SUBTOTAL(3,$G$5:G303),"")</f>
        <v>72</v>
      </c>
      <c r="C303" s="73"/>
      <c r="D303" s="73"/>
      <c r="E303" s="74" t="s">
        <v>139</v>
      </c>
      <c r="F303" s="74" t="s">
        <v>135</v>
      </c>
      <c r="G303" s="72" t="s">
        <v>194</v>
      </c>
      <c r="H303" s="59">
        <v>43977</v>
      </c>
      <c r="I303" s="60">
        <v>1</v>
      </c>
      <c r="J303" s="75" t="s">
        <v>421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IF(G304&lt;&gt;"",SUBTOTAL(3,$G$5:G304),"")</f>
        <v/>
      </c>
      <c r="C304" s="73"/>
      <c r="D304" s="73"/>
      <c r="E304" s="74"/>
      <c r="F304" s="74"/>
      <c r="G304" s="72"/>
      <c r="H304" s="59"/>
      <c r="I304" s="68">
        <v>1</v>
      </c>
      <c r="J304" s="75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73">
        <f>IF(G305&lt;&gt;"",SUBTOTAL(3,$G$5:G305),"")</f>
        <v>73</v>
      </c>
      <c r="C305" s="73"/>
      <c r="D305" s="73"/>
      <c r="E305" s="74" t="s">
        <v>139</v>
      </c>
      <c r="F305" s="74" t="s">
        <v>135</v>
      </c>
      <c r="G305" s="72" t="s">
        <v>195</v>
      </c>
      <c r="H305" s="59">
        <v>43977</v>
      </c>
      <c r="I305" s="60">
        <v>1</v>
      </c>
      <c r="J305" s="75" t="s">
        <v>450</v>
      </c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97" t="str">
        <f>IF(G306&lt;&gt;"",SUBTOTAL(3,$G$5:G306),"")</f>
        <v/>
      </c>
      <c r="C306" s="73"/>
      <c r="D306" s="73"/>
      <c r="E306" s="74"/>
      <c r="F306" s="74"/>
      <c r="G306" s="72"/>
      <c r="H306" s="59"/>
      <c r="I306" s="68">
        <v>1</v>
      </c>
      <c r="J306" s="75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73">
        <f>IF(G307&lt;&gt;"",SUBTOTAL(3,$G$5:G307),"")</f>
        <v>74</v>
      </c>
      <c r="C307" s="73"/>
      <c r="D307" s="73"/>
      <c r="E307" s="74" t="s">
        <v>139</v>
      </c>
      <c r="F307" s="74" t="s">
        <v>135</v>
      </c>
      <c r="G307" s="72" t="s">
        <v>196</v>
      </c>
      <c r="H307" s="59">
        <v>43995</v>
      </c>
      <c r="I307" s="60">
        <v>1</v>
      </c>
      <c r="J307" s="75" t="s">
        <v>425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IF(G308&lt;&gt;"",SUBTOTAL(3,$G$5:G308),"")</f>
        <v/>
      </c>
      <c r="C308" s="73"/>
      <c r="D308" s="73"/>
      <c r="E308" s="74"/>
      <c r="F308" s="74"/>
      <c r="G308" s="72"/>
      <c r="H308" s="59"/>
      <c r="I308" s="68">
        <v>1</v>
      </c>
      <c r="J308" s="75" t="s">
        <v>426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427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8">
        <v>1</v>
      </c>
      <c r="J310" s="75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73">
        <f>IF(G311&lt;&gt;"",SUBTOTAL(3,$G$5:G311),"")</f>
        <v>75</v>
      </c>
      <c r="C311" s="73"/>
      <c r="D311" s="73"/>
      <c r="E311" s="74" t="s">
        <v>139</v>
      </c>
      <c r="F311" s="74" t="s">
        <v>135</v>
      </c>
      <c r="G311" s="72" t="s">
        <v>197</v>
      </c>
      <c r="H311" s="59">
        <v>43982</v>
      </c>
      <c r="I311" s="60">
        <v>1</v>
      </c>
      <c r="J311" s="75" t="s">
        <v>428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IF(G312&lt;&gt;"",SUBTOTAL(3,$G$5:G312),"")</f>
        <v/>
      </c>
      <c r="C312" s="73"/>
      <c r="D312" s="73"/>
      <c r="E312" s="74"/>
      <c r="F312" s="74"/>
      <c r="G312" s="72"/>
      <c r="H312" s="59"/>
      <c r="I312" s="68">
        <v>1</v>
      </c>
      <c r="J312" s="75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73">
        <f>IF(G313&lt;&gt;"",SUBTOTAL(3,$G$5:G313),"")</f>
        <v>76</v>
      </c>
      <c r="C313" s="73"/>
      <c r="D313" s="73"/>
      <c r="E313" s="74" t="s">
        <v>139</v>
      </c>
      <c r="F313" s="74" t="s">
        <v>135</v>
      </c>
      <c r="G313" s="72" t="s">
        <v>198</v>
      </c>
      <c r="H313" s="59">
        <v>43989</v>
      </c>
      <c r="I313" s="60">
        <v>1</v>
      </c>
      <c r="J313" s="75" t="s">
        <v>429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IF(G314&lt;&gt;"",SUBTOTAL(3,$G$5:G314),"")</f>
        <v/>
      </c>
      <c r="C314" s="73"/>
      <c r="D314" s="73"/>
      <c r="E314" s="74"/>
      <c r="F314" s="74"/>
      <c r="G314" s="72"/>
      <c r="H314" s="59"/>
      <c r="I314" s="68">
        <v>1</v>
      </c>
      <c r="J314" s="75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73">
        <f>IF(G315&lt;&gt;"",SUBTOTAL(3,$G$5:G315),"")</f>
        <v>77</v>
      </c>
      <c r="C315" s="73"/>
      <c r="D315" s="73"/>
      <c r="E315" s="74" t="s">
        <v>139</v>
      </c>
      <c r="F315" s="74" t="s">
        <v>135</v>
      </c>
      <c r="G315" s="72" t="s">
        <v>199</v>
      </c>
      <c r="H315" s="59">
        <v>43989</v>
      </c>
      <c r="I315" s="60">
        <v>0.5</v>
      </c>
      <c r="J315" s="75" t="s">
        <v>564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IF(G316&lt;&gt;"",SUBTOTAL(3,$G$5:G316),"")</f>
        <v/>
      </c>
      <c r="C316" s="73"/>
      <c r="D316" s="73"/>
      <c r="E316" s="74"/>
      <c r="F316" s="74"/>
      <c r="G316" s="72"/>
      <c r="H316" s="59"/>
      <c r="I316" s="66">
        <v>0.5</v>
      </c>
      <c r="J316" s="75" t="s">
        <v>565</v>
      </c>
      <c r="K316" s="99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97" t="str">
        <f>IF(G317&lt;&gt;"",SUBTOTAL(3,$G$5:G317),"")</f>
        <v/>
      </c>
      <c r="C317" s="73"/>
      <c r="D317" s="73"/>
      <c r="E317" s="74"/>
      <c r="F317" s="74"/>
      <c r="G317" s="72"/>
      <c r="H317" s="59"/>
      <c r="I317" s="66">
        <v>0.5</v>
      </c>
      <c r="J317" s="75" t="s">
        <v>566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6">
        <v>0.5</v>
      </c>
      <c r="J318" s="75" t="s">
        <v>430</v>
      </c>
      <c r="K318" s="99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6">
        <v>0.5</v>
      </c>
      <c r="J319" s="75"/>
      <c r="K319" s="99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73">
        <f>IF(G320&lt;&gt;"",SUBTOTAL(3,$G$5:G320),"")</f>
        <v>78</v>
      </c>
      <c r="C320" s="73"/>
      <c r="D320" s="73"/>
      <c r="E320" s="74" t="s">
        <v>139</v>
      </c>
      <c r="F320" s="74" t="s">
        <v>135</v>
      </c>
      <c r="G320" s="72" t="s">
        <v>200</v>
      </c>
      <c r="H320" s="59">
        <v>43991</v>
      </c>
      <c r="I320" s="60">
        <v>1</v>
      </c>
      <c r="J320" s="75" t="s">
        <v>431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97" t="str">
        <f>IF(G321&lt;&gt;"",SUBTOTAL(3,$G$5:G321),"")</f>
        <v/>
      </c>
      <c r="C321" s="73"/>
      <c r="D321" s="73"/>
      <c r="E321" s="74"/>
      <c r="F321" s="74"/>
      <c r="G321" s="72"/>
      <c r="H321" s="59"/>
      <c r="I321" s="68">
        <v>1</v>
      </c>
      <c r="J321" s="75" t="s">
        <v>432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IF(G322&lt;&gt;"",SUBTOTAL(3,$G$5:G322),"")</f>
        <v/>
      </c>
      <c r="C322" s="73"/>
      <c r="D322" s="73"/>
      <c r="E322" s="74"/>
      <c r="F322" s="74"/>
      <c r="G322" s="72"/>
      <c r="H322" s="59"/>
      <c r="I322" s="68">
        <v>1</v>
      </c>
      <c r="J322" s="75" t="s">
        <v>433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97" t="str">
        <f>IF(G323&lt;&gt;"",SUBTOTAL(3,$G$5:G323),"")</f>
        <v/>
      </c>
      <c r="C323" s="73"/>
      <c r="D323" s="73"/>
      <c r="E323" s="74"/>
      <c r="F323" s="74"/>
      <c r="G323" s="72"/>
      <c r="H323" s="59"/>
      <c r="I323" s="68">
        <v>1</v>
      </c>
      <c r="J323" s="75" t="s">
        <v>434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8">
        <v>1</v>
      </c>
      <c r="J324" s="75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73">
        <f>IF(G325&lt;&gt;"",SUBTOTAL(3,$G$5:G325),"")</f>
        <v>79</v>
      </c>
      <c r="C325" s="73"/>
      <c r="D325" s="73"/>
      <c r="E325" s="74" t="s">
        <v>139</v>
      </c>
      <c r="F325" s="74" t="s">
        <v>135</v>
      </c>
      <c r="G325" s="72" t="s">
        <v>201</v>
      </c>
      <c r="H325" s="59">
        <v>43991</v>
      </c>
      <c r="I325" s="60">
        <v>1</v>
      </c>
      <c r="J325" s="75" t="s">
        <v>482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97" t="str">
        <f>IF(G326&lt;&gt;"",SUBTOTAL(3,$G$4:G326),"")</f>
        <v/>
      </c>
      <c r="C326" s="73"/>
      <c r="D326" s="73"/>
      <c r="E326" s="74"/>
      <c r="F326" s="74"/>
      <c r="G326" s="72"/>
      <c r="H326" s="59"/>
      <c r="I326" s="68">
        <v>1</v>
      </c>
      <c r="J326" s="75" t="s">
        <v>483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97" t="str">
        <f>IF(G327&lt;&gt;"",SUBTOTAL(3,$G$4:G327),"")</f>
        <v/>
      </c>
      <c r="C327" s="73"/>
      <c r="D327" s="73"/>
      <c r="E327" s="74"/>
      <c r="F327" s="74"/>
      <c r="G327" s="72"/>
      <c r="H327" s="59"/>
      <c r="I327" s="68">
        <v>1</v>
      </c>
      <c r="J327" s="75" t="s">
        <v>484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IF(G328&lt;&gt;"",SUBTOTAL(3,$G$4:G328),"")</f>
        <v/>
      </c>
      <c r="C328" s="73"/>
      <c r="D328" s="73"/>
      <c r="E328" s="74"/>
      <c r="F328" s="74"/>
      <c r="G328" s="72"/>
      <c r="H328" s="59"/>
      <c r="I328" s="68">
        <v>1</v>
      </c>
      <c r="J328" s="75" t="s">
        <v>481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97" t="str">
        <f>IF(G329&lt;&gt;"",SUBTOTAL(3,$G$4:G329),"")</f>
        <v/>
      </c>
      <c r="C329" s="73"/>
      <c r="D329" s="73"/>
      <c r="E329" s="74"/>
      <c r="F329" s="74"/>
      <c r="G329" s="72"/>
      <c r="H329" s="59"/>
      <c r="I329" s="68">
        <v>1</v>
      </c>
      <c r="J329" s="75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73">
        <f>IF(G330&lt;&gt;"",SUBTOTAL(3,$G$5:G330),"")</f>
        <v>80</v>
      </c>
      <c r="C330" s="73"/>
      <c r="D330" s="73"/>
      <c r="E330" s="74" t="s">
        <v>139</v>
      </c>
      <c r="F330" s="74" t="s">
        <v>135</v>
      </c>
      <c r="G330" s="72" t="s">
        <v>435</v>
      </c>
      <c r="H330" s="59">
        <v>43992</v>
      </c>
      <c r="I330" s="60">
        <v>0.8</v>
      </c>
      <c r="J330" s="75" t="s">
        <v>437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IF(G331&lt;&gt;"",SUBTOTAL(3,$G$5:G331),"")</f>
        <v/>
      </c>
      <c r="C331" s="73"/>
      <c r="D331" s="73"/>
      <c r="E331" s="74"/>
      <c r="F331" s="74"/>
      <c r="G331" s="72"/>
      <c r="H331" s="59"/>
      <c r="I331" s="66">
        <v>0.8</v>
      </c>
      <c r="J331" s="75" t="s">
        <v>436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97" t="str">
        <f>IF(G332&lt;&gt;"",SUBTOTAL(3,$G$5:G332),"")</f>
        <v/>
      </c>
      <c r="C332" s="73"/>
      <c r="D332" s="73"/>
      <c r="E332" s="74"/>
      <c r="F332" s="74"/>
      <c r="G332" s="72"/>
      <c r="H332" s="59"/>
      <c r="I332" s="66">
        <v>0.8</v>
      </c>
      <c r="J332" s="75" t="s">
        <v>438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IF(G333&lt;&gt;"",SUBTOTAL(3,$G$5:G333),"")</f>
        <v/>
      </c>
      <c r="C333" s="73"/>
      <c r="D333" s="73"/>
      <c r="E333" s="74"/>
      <c r="F333" s="74"/>
      <c r="G333" s="72"/>
      <c r="H333" s="59"/>
      <c r="I333" s="66">
        <v>0.8</v>
      </c>
      <c r="J333" s="75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x14ac:dyDescent="0.15">
      <c r="B334" s="73">
        <f>IF(G334&lt;&gt;"",SUBTOTAL(3,$G$5:G334),"")</f>
        <v>81</v>
      </c>
      <c r="C334" s="73"/>
      <c r="D334" s="73"/>
      <c r="E334" s="74" t="s">
        <v>139</v>
      </c>
      <c r="F334" s="74" t="s">
        <v>135</v>
      </c>
      <c r="G334" s="72" t="s">
        <v>202</v>
      </c>
      <c r="H334" s="59">
        <v>43994</v>
      </c>
      <c r="I334" s="60">
        <v>0.8</v>
      </c>
      <c r="J334" s="75" t="s">
        <v>308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x14ac:dyDescent="0.15">
      <c r="B335" s="73" t="str">
        <f>IF(G335&lt;&gt;"",SUBTOTAL(3,$G$5:G335),"")</f>
        <v/>
      </c>
      <c r="C335" s="73"/>
      <c r="D335" s="73"/>
      <c r="E335" s="74"/>
      <c r="F335" s="74"/>
      <c r="G335" s="72"/>
      <c r="H335" s="59"/>
      <c r="I335" s="66">
        <v>0.8</v>
      </c>
      <c r="J335" s="75" t="s">
        <v>309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x14ac:dyDescent="0.15">
      <c r="B336" s="73" t="str">
        <f>IF(G336&lt;&gt;"",SUBTOTAL(3,$G$5:G336),"")</f>
        <v/>
      </c>
      <c r="C336" s="73"/>
      <c r="D336" s="73"/>
      <c r="E336" s="74"/>
      <c r="F336" s="74"/>
      <c r="G336" s="72"/>
      <c r="H336" s="59"/>
      <c r="I336" s="66">
        <v>0.8</v>
      </c>
      <c r="J336" s="75" t="s">
        <v>310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x14ac:dyDescent="0.15">
      <c r="B337" s="73" t="str">
        <f>IF(G337&lt;&gt;"",SUBTOTAL(3,$G$5:G337),"")</f>
        <v/>
      </c>
      <c r="C337" s="73"/>
      <c r="D337" s="73"/>
      <c r="E337" s="74"/>
      <c r="F337" s="74"/>
      <c r="G337" s="72"/>
      <c r="H337" s="59"/>
      <c r="I337" s="66">
        <v>0.8</v>
      </c>
      <c r="J337" s="75" t="s">
        <v>311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x14ac:dyDescent="0.15">
      <c r="B338" s="73" t="str">
        <f>IF(G338&lt;&gt;"",SUBTOTAL(3,$G$5:G338),"")</f>
        <v/>
      </c>
      <c r="C338" s="73"/>
      <c r="D338" s="73"/>
      <c r="E338" s="74"/>
      <c r="F338" s="74"/>
      <c r="G338" s="72"/>
      <c r="H338" s="59"/>
      <c r="I338" s="66">
        <v>0.8</v>
      </c>
      <c r="J338" s="75" t="s">
        <v>312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x14ac:dyDescent="0.15">
      <c r="B339" s="73" t="str">
        <f>IF(G339&lt;&gt;"",SUBTOTAL(3,$G$5:G339),"")</f>
        <v/>
      </c>
      <c r="C339" s="73"/>
      <c r="D339" s="73"/>
      <c r="E339" s="74"/>
      <c r="F339" s="74"/>
      <c r="G339" s="72"/>
      <c r="H339" s="59"/>
      <c r="I339" s="66">
        <v>0.8</v>
      </c>
      <c r="J339" s="75" t="s">
        <v>313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x14ac:dyDescent="0.15">
      <c r="B340" s="73" t="str">
        <f>IF(G340&lt;&gt;"",SUBTOTAL(3,$G$5:G340),"")</f>
        <v/>
      </c>
      <c r="C340" s="73"/>
      <c r="D340" s="73"/>
      <c r="E340" s="74"/>
      <c r="F340" s="74"/>
      <c r="G340" s="72"/>
      <c r="H340" s="59"/>
      <c r="I340" s="66">
        <v>0.8</v>
      </c>
      <c r="J340" s="75" t="s">
        <v>314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x14ac:dyDescent="0.15">
      <c r="B341" s="73" t="str">
        <f>IF(G341&lt;&gt;"",SUBTOTAL(3,$G$5:G341),"")</f>
        <v/>
      </c>
      <c r="C341" s="73"/>
      <c r="D341" s="73"/>
      <c r="E341" s="74"/>
      <c r="F341" s="74"/>
      <c r="G341" s="72"/>
      <c r="H341" s="59"/>
      <c r="I341" s="66">
        <v>0.8</v>
      </c>
      <c r="J341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x14ac:dyDescent="0.15">
      <c r="B342" s="73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0.8</v>
      </c>
      <c r="J342" s="36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8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73">
        <f>IF(G343&lt;&gt;"",SUBTOTAL(3,$G$5:G343),"")</f>
        <v>82</v>
      </c>
      <c r="C343" s="73"/>
      <c r="D343" s="73"/>
      <c r="E343" s="74" t="s">
        <v>139</v>
      </c>
      <c r="F343" s="74" t="s">
        <v>135</v>
      </c>
      <c r="G343" s="72" t="s">
        <v>203</v>
      </c>
      <c r="H343" s="59">
        <v>43995</v>
      </c>
      <c r="I343" s="60">
        <v>1</v>
      </c>
      <c r="J343" s="75" t="s">
        <v>478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IF(G344&lt;&gt;"",SUBTOTAL(3,$G$4:G344),"")</f>
        <v/>
      </c>
      <c r="C344" s="73"/>
      <c r="D344" s="73"/>
      <c r="E344" s="74"/>
      <c r="F344" s="74"/>
      <c r="G344" s="72"/>
      <c r="H344" s="59"/>
      <c r="I344" s="68">
        <v>1</v>
      </c>
      <c r="J344" s="75" t="s">
        <v>479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IF(G345&lt;&gt;"",SUBTOTAL(3,$G$5:G345),"")</f>
        <v/>
      </c>
      <c r="C345" s="73"/>
      <c r="D345" s="73"/>
      <c r="E345" s="74"/>
      <c r="F345" s="74"/>
      <c r="G345" s="72"/>
      <c r="H345" s="59"/>
      <c r="I345" s="68">
        <v>1</v>
      </c>
      <c r="J345" s="75" t="s">
        <v>480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IF(G346&lt;&gt;"",SUBTOTAL(3,$G$5:G346),"")</f>
        <v/>
      </c>
      <c r="C346" s="73"/>
      <c r="D346" s="73"/>
      <c r="E346" s="74"/>
      <c r="F346" s="74"/>
      <c r="G346" s="72"/>
      <c r="H346" s="59"/>
      <c r="I346" s="68">
        <v>1</v>
      </c>
      <c r="J346" s="75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x14ac:dyDescent="0.15">
      <c r="B347" s="73">
        <f>IF(G347&lt;&gt;"",SUBTOTAL(3,$G$5:G347),"")</f>
        <v>83</v>
      </c>
      <c r="C347" s="73"/>
      <c r="D347" s="73"/>
      <c r="E347" s="74" t="s">
        <v>139</v>
      </c>
      <c r="F347" s="74" t="s">
        <v>135</v>
      </c>
      <c r="G347" s="72" t="s">
        <v>204</v>
      </c>
      <c r="H347" s="59">
        <v>43997</v>
      </c>
      <c r="I347" s="60">
        <v>1</v>
      </c>
      <c r="J347" s="75" t="s">
        <v>378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 t="s">
        <v>316</v>
      </c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x14ac:dyDescent="0.15">
      <c r="B348" s="73" t="str">
        <f>IF(G348&lt;&gt;"",SUBTOTAL(3,$G$5:G348),"")</f>
        <v/>
      </c>
      <c r="C348" s="73"/>
      <c r="D348" s="73"/>
      <c r="E348" s="74"/>
      <c r="F348" s="74"/>
      <c r="G348" s="72"/>
      <c r="H348" s="59"/>
      <c r="I348" s="68">
        <v>1</v>
      </c>
      <c r="J348" s="75" t="s">
        <v>377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 t="s">
        <v>379</v>
      </c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x14ac:dyDescent="0.15">
      <c r="B349" s="73" t="str">
        <f>IF(G349&lt;&gt;"",SUBTOTAL(3,$G$5:G349),"")</f>
        <v/>
      </c>
      <c r="C349" s="73"/>
      <c r="D349" s="73"/>
      <c r="E349" s="74"/>
      <c r="F349" s="74"/>
      <c r="G349" s="72"/>
      <c r="H349" s="59"/>
      <c r="I349" s="68">
        <v>1</v>
      </c>
      <c r="J349" s="75" t="s">
        <v>315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 t="s">
        <v>380</v>
      </c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ht="13.5" customHeight="1" x14ac:dyDescent="0.15">
      <c r="B350" s="73">
        <f>IF(G350&lt;&gt;"",SUBTOTAL(3,$G$5:G350),"")</f>
        <v>84</v>
      </c>
      <c r="C350" s="73"/>
      <c r="D350" s="73"/>
      <c r="E350" s="74" t="s">
        <v>139</v>
      </c>
      <c r="F350" s="74" t="s">
        <v>135</v>
      </c>
      <c r="G350" s="72" t="s">
        <v>205</v>
      </c>
      <c r="H350" s="59">
        <v>44004</v>
      </c>
      <c r="I350" s="60">
        <v>0.5</v>
      </c>
      <c r="J350" s="75" t="s">
        <v>467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ht="13.5" customHeight="1" x14ac:dyDescent="0.15">
      <c r="B351" s="97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0.5</v>
      </c>
      <c r="J351" s="75" t="s">
        <v>468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ht="13.5" customHeight="1" x14ac:dyDescent="0.15">
      <c r="B352" s="97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0.5</v>
      </c>
      <c r="J352" s="75" t="s">
        <v>465</v>
      </c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ht="13.5" customHeight="1" x14ac:dyDescent="0.15">
      <c r="B353" s="97" t="str">
        <f>IF(G353&lt;&gt;"",SUBTOTAL(3,$G$5:G353),"")</f>
        <v/>
      </c>
      <c r="C353" s="73"/>
      <c r="D353" s="73"/>
      <c r="E353" s="74"/>
      <c r="F353" s="74"/>
      <c r="G353" s="72"/>
      <c r="H353" s="59"/>
      <c r="I353" s="66">
        <v>0.5</v>
      </c>
      <c r="J353" s="75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3.5" customHeight="1" x14ac:dyDescent="0.15">
      <c r="B354" s="97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0.5</v>
      </c>
      <c r="J354" s="75" t="s">
        <v>474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ht="13.5" customHeight="1" x14ac:dyDescent="0.15">
      <c r="B355" s="97" t="str">
        <f>IF(G355&lt;&gt;"",SUBTOTAL(3,$G$5:G355),"")</f>
        <v/>
      </c>
      <c r="C355" s="73"/>
      <c r="D355" s="73"/>
      <c r="E355" s="74"/>
      <c r="F355" s="74"/>
      <c r="G355" s="72"/>
      <c r="H355" s="59"/>
      <c r="I355" s="66">
        <v>0.5</v>
      </c>
      <c r="J355" s="75" t="s">
        <v>475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ht="13.5" customHeight="1" x14ac:dyDescent="0.15">
      <c r="B356" s="97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0.5</v>
      </c>
      <c r="J356" s="75" t="s">
        <v>471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ht="13.5" customHeight="1" x14ac:dyDescent="0.15">
      <c r="B357" s="97" t="str">
        <f>IF(G357&lt;&gt;"",SUBTOTAL(3,$G$5:G357),"")</f>
        <v/>
      </c>
      <c r="C357" s="73"/>
      <c r="D357" s="73"/>
      <c r="E357" s="74"/>
      <c r="F357" s="74"/>
      <c r="G357" s="72"/>
      <c r="H357" s="59"/>
      <c r="I357" s="66">
        <v>0.5</v>
      </c>
      <c r="J357" s="75"/>
      <c r="K357" s="42" t="s">
        <v>472</v>
      </c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ht="13.5" customHeight="1" x14ac:dyDescent="0.15">
      <c r="B358" s="97" t="str">
        <f>IF(G358&lt;&gt;"",SUBTOTAL(3,$G$5:G358),"")</f>
        <v/>
      </c>
      <c r="C358" s="73"/>
      <c r="D358" s="73"/>
      <c r="E358" s="74"/>
      <c r="F358" s="74"/>
      <c r="G358" s="72"/>
      <c r="H358" s="59"/>
      <c r="I358" s="66">
        <v>0.5</v>
      </c>
      <c r="J358" s="75"/>
      <c r="K358" s="42" t="s">
        <v>473</v>
      </c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ht="13.5" customHeight="1" x14ac:dyDescent="0.15">
      <c r="B359" s="97" t="str">
        <f>IF(G359&lt;&gt;"",SUBTOTAL(3,$G$5:G359),"")</f>
        <v/>
      </c>
      <c r="C359" s="73"/>
      <c r="D359" s="73"/>
      <c r="E359" s="74"/>
      <c r="F359" s="74"/>
      <c r="G359" s="72"/>
      <c r="H359" s="59"/>
      <c r="I359" s="66">
        <v>0.5</v>
      </c>
      <c r="J359" s="75"/>
      <c r="K359" s="42" t="s">
        <v>466</v>
      </c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ht="13.5" customHeight="1" x14ac:dyDescent="0.15">
      <c r="B360" s="97" t="str">
        <f>IF(G360&lt;&gt;"",SUBTOTAL(3,$G$5:G360),"")</f>
        <v/>
      </c>
      <c r="C360" s="73"/>
      <c r="D360" s="73"/>
      <c r="E360" s="74"/>
      <c r="F360" s="74"/>
      <c r="G360" s="72"/>
      <c r="H360" s="59"/>
      <c r="I360" s="66">
        <v>0.5</v>
      </c>
      <c r="J360" s="75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ht="13.5" customHeight="1" x14ac:dyDescent="0.15">
      <c r="B361" s="97" t="str">
        <f>IF(G361&lt;&gt;"",SUBTOTAL(3,$G$5:G361),"")</f>
        <v/>
      </c>
      <c r="C361" s="73"/>
      <c r="D361" s="73"/>
      <c r="E361" s="74"/>
      <c r="F361" s="74"/>
      <c r="G361" s="72"/>
      <c r="H361" s="59"/>
      <c r="I361" s="66">
        <v>0.5</v>
      </c>
      <c r="J361" s="75"/>
      <c r="K361" s="42" t="s">
        <v>469</v>
      </c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97" t="str">
        <f>IF(G362&lt;&gt;"",SUBTOTAL(3,$G$5:G362),"")</f>
        <v/>
      </c>
      <c r="C362" s="73"/>
      <c r="D362" s="73"/>
      <c r="E362" s="74"/>
      <c r="F362" s="74"/>
      <c r="G362" s="72"/>
      <c r="H362" s="59"/>
      <c r="I362" s="66">
        <v>0.5</v>
      </c>
      <c r="J362" s="75"/>
      <c r="K362" s="42" t="s">
        <v>470</v>
      </c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ht="13.5" customHeight="1" x14ac:dyDescent="0.15">
      <c r="B363" s="97" t="str">
        <f>IF(G363&lt;&gt;"",SUBTOTAL(3,$G$5:G363),"")</f>
        <v/>
      </c>
      <c r="C363" s="73"/>
      <c r="D363" s="73"/>
      <c r="E363" s="74"/>
      <c r="F363" s="74"/>
      <c r="G363" s="72"/>
      <c r="H363" s="59"/>
      <c r="I363" s="66">
        <v>0.5</v>
      </c>
      <c r="J363" s="75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73">
        <f>IF(G364&lt;&gt;"",SUBTOTAL(3,$G$5:G364),"")</f>
        <v>85</v>
      </c>
      <c r="C364" s="73"/>
      <c r="D364" s="73"/>
      <c r="E364" s="74" t="s">
        <v>139</v>
      </c>
      <c r="F364" s="74" t="s">
        <v>142</v>
      </c>
      <c r="G364" s="74" t="s">
        <v>206</v>
      </c>
      <c r="H364" s="59">
        <v>44030</v>
      </c>
      <c r="I364" s="60">
        <v>1</v>
      </c>
      <c r="J364" s="75" t="s">
        <v>317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 t="s">
        <v>381</v>
      </c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73" t="str">
        <f>IF(G365&lt;&gt;"",SUBTOTAL(3,$G$5:G365),"")</f>
        <v/>
      </c>
      <c r="C365" s="73"/>
      <c r="D365" s="73"/>
      <c r="E365" s="74"/>
      <c r="F365" s="74"/>
      <c r="G365" s="74"/>
      <c r="H365" s="59"/>
      <c r="I365" s="68">
        <v>1</v>
      </c>
      <c r="J365" s="75" t="s">
        <v>318</v>
      </c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73" t="str">
        <f>IF(G366&lt;&gt;"",SUBTOTAL(3,$G$5:G366),"")</f>
        <v/>
      </c>
      <c r="C366" s="73"/>
      <c r="D366" s="73"/>
      <c r="E366" s="74"/>
      <c r="F366" s="74"/>
      <c r="G366" s="74"/>
      <c r="H366" s="59"/>
      <c r="I366" s="68">
        <v>1</v>
      </c>
      <c r="J366" s="75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 t="s">
        <v>382</v>
      </c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x14ac:dyDescent="0.15">
      <c r="B367" s="73" t="str">
        <f>IF(G367&lt;&gt;"",SUBTOTAL(3,$G$5:G367),"")</f>
        <v/>
      </c>
      <c r="C367" s="73"/>
      <c r="D367" s="73"/>
      <c r="E367" s="74"/>
      <c r="F367" s="74"/>
      <c r="G367" s="74"/>
      <c r="H367" s="59"/>
      <c r="I367" s="68">
        <v>1</v>
      </c>
      <c r="J367" s="75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 t="s">
        <v>319</v>
      </c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ht="15.75" x14ac:dyDescent="0.15">
      <c r="B368" s="73" t="str">
        <f>IF(G368&lt;&gt;"",SUBTOTAL(3,$G$5:G368),"")</f>
        <v/>
      </c>
      <c r="C368" s="73"/>
      <c r="D368" s="73"/>
      <c r="E368" s="74"/>
      <c r="F368" s="74"/>
      <c r="G368" s="74"/>
      <c r="H368" s="59"/>
      <c r="I368" s="68">
        <v>1</v>
      </c>
      <c r="J368" s="75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 t="s">
        <v>345</v>
      </c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x14ac:dyDescent="0.15">
      <c r="B369" s="73" t="str">
        <f>IF(G369&lt;&gt;"",SUBTOTAL(3,$G$5:G369),"")</f>
        <v/>
      </c>
      <c r="C369" s="73"/>
      <c r="D369" s="73"/>
      <c r="E369" s="74"/>
      <c r="F369" s="74"/>
      <c r="G369" s="74"/>
      <c r="H369" s="59"/>
      <c r="I369" s="68">
        <v>1</v>
      </c>
      <c r="J369" s="75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 t="s">
        <v>383</v>
      </c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x14ac:dyDescent="0.15">
      <c r="B370" s="73" t="str">
        <f>IF(G370&lt;&gt;"",SUBTOTAL(3,$G$5:G370),"")</f>
        <v/>
      </c>
      <c r="C370" s="73"/>
      <c r="D370" s="73"/>
      <c r="E370" s="74"/>
      <c r="F370" s="74"/>
      <c r="G370" s="74"/>
      <c r="H370" s="59"/>
      <c r="I370" s="68">
        <v>1</v>
      </c>
      <c r="J370" s="75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 t="s">
        <v>384</v>
      </c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x14ac:dyDescent="0.15">
      <c r="B371" s="73" t="str">
        <f>IF(G371&lt;&gt;"",SUBTOTAL(3,$G$5:G371),"")</f>
        <v/>
      </c>
      <c r="C371" s="73"/>
      <c r="D371" s="73"/>
      <c r="E371" s="74"/>
      <c r="F371" s="74"/>
      <c r="G371" s="74"/>
      <c r="H371" s="59"/>
      <c r="I371" s="68">
        <v>1</v>
      </c>
      <c r="J371" s="75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x14ac:dyDescent="0.15">
      <c r="B372" s="73">
        <f>IF(G372&lt;&gt;"",SUBTOTAL(3,$G$5:G372),"")</f>
        <v>86</v>
      </c>
      <c r="C372" s="73"/>
      <c r="D372" s="73"/>
      <c r="E372" s="74" t="s">
        <v>139</v>
      </c>
      <c r="F372" s="74" t="s">
        <v>142</v>
      </c>
      <c r="G372" s="74" t="s">
        <v>213</v>
      </c>
      <c r="H372" s="59">
        <v>44052</v>
      </c>
      <c r="I372" s="60">
        <v>0.5</v>
      </c>
      <c r="J372" s="75" t="s">
        <v>567</v>
      </c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 t="s">
        <v>386</v>
      </c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x14ac:dyDescent="0.15">
      <c r="B373" s="97" t="str">
        <f>IF(G373&lt;&gt;"",SUBTOTAL(3,$G$5:G373),"")</f>
        <v/>
      </c>
      <c r="C373" s="73"/>
      <c r="D373" s="73"/>
      <c r="E373" s="74"/>
      <c r="F373" s="74"/>
      <c r="G373" s="74"/>
      <c r="H373" s="59"/>
      <c r="I373" s="66">
        <v>0.5</v>
      </c>
      <c r="J373" s="75" t="s">
        <v>568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 t="s">
        <v>385</v>
      </c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x14ac:dyDescent="0.15">
      <c r="B374" s="97" t="str">
        <f>IF(G374&lt;&gt;"",SUBTOTAL(3,$G$5:G374),"")</f>
        <v/>
      </c>
      <c r="C374" s="73"/>
      <c r="D374" s="73"/>
      <c r="E374" s="74"/>
      <c r="F374" s="74"/>
      <c r="G374" s="74"/>
      <c r="H374" s="59"/>
      <c r="I374" s="66">
        <v>0.5</v>
      </c>
      <c r="J374" s="75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 t="s">
        <v>387</v>
      </c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x14ac:dyDescent="0.15">
      <c r="B375" s="97" t="str">
        <f>IF(G375&lt;&gt;"",SUBTOTAL(3,$G$5:G375),"")</f>
        <v/>
      </c>
      <c r="C375" s="73"/>
      <c r="D375" s="73"/>
      <c r="E375" s="74"/>
      <c r="F375" s="74"/>
      <c r="G375" s="74"/>
      <c r="H375" s="59"/>
      <c r="I375" s="66">
        <v>0.5</v>
      </c>
      <c r="J375" s="75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 t="s">
        <v>388</v>
      </c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x14ac:dyDescent="0.15">
      <c r="B376" s="97" t="str">
        <f>IF(G376&lt;&gt;"",SUBTOTAL(3,$G$5:G376),"")</f>
        <v/>
      </c>
      <c r="C376" s="73"/>
      <c r="D376" s="73"/>
      <c r="E376" s="74"/>
      <c r="F376" s="74"/>
      <c r="G376" s="74"/>
      <c r="H376" s="59"/>
      <c r="I376" s="66">
        <v>0.5</v>
      </c>
      <c r="J376" s="75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 t="s">
        <v>390</v>
      </c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x14ac:dyDescent="0.15">
      <c r="B377" s="73" t="str">
        <f>IF(G377&lt;&gt;"",SUBTOTAL(3,$G$5:G377),"")</f>
        <v/>
      </c>
      <c r="C377" s="73"/>
      <c r="D377" s="73"/>
      <c r="E377" s="74"/>
      <c r="F377" s="74"/>
      <c r="G377" s="74"/>
      <c r="H377" s="59"/>
      <c r="I377" s="66">
        <v>0.5</v>
      </c>
      <c r="J377" s="75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 t="s">
        <v>389</v>
      </c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x14ac:dyDescent="0.15">
      <c r="B378" s="73" t="str">
        <f>IF(G378&lt;&gt;"",SUBTOTAL(3,$G$5:G378),"")</f>
        <v/>
      </c>
      <c r="C378" s="73"/>
      <c r="D378" s="73"/>
      <c r="E378" s="74"/>
      <c r="F378" s="74"/>
      <c r="G378" s="74"/>
      <c r="H378" s="59"/>
      <c r="I378" s="66">
        <v>0.5</v>
      </c>
      <c r="J378" s="75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 t="s">
        <v>391</v>
      </c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x14ac:dyDescent="0.15">
      <c r="B379" s="73" t="str">
        <f>IF(G379&lt;&gt;"",SUBTOTAL(3,$G$5:G379),"")</f>
        <v/>
      </c>
      <c r="C379" s="73"/>
      <c r="D379" s="73"/>
      <c r="E379" s="74"/>
      <c r="F379" s="74"/>
      <c r="G379" s="74"/>
      <c r="H379" s="59"/>
      <c r="I379" s="66">
        <v>0.5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 t="str">
        <f>IF(G380&lt;&gt;"",SUBTOTAL(3,$G$5:G380),"")</f>
        <v/>
      </c>
      <c r="C380" s="73"/>
      <c r="D380" s="73"/>
      <c r="E380" s="74"/>
      <c r="F380" s="74"/>
      <c r="G380" s="74"/>
      <c r="H380" s="59"/>
      <c r="I380" s="66">
        <v>0.5</v>
      </c>
      <c r="J380" s="75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ht="13.5" customHeight="1" x14ac:dyDescent="0.15">
      <c r="B381" s="73">
        <f>IF(G381&lt;&gt;"",SUBTOTAL(3,$G$5:G381),"")</f>
        <v>87</v>
      </c>
      <c r="C381" s="73"/>
      <c r="D381" s="73"/>
      <c r="E381" s="74" t="s">
        <v>139</v>
      </c>
      <c r="F381" s="74" t="s">
        <v>142</v>
      </c>
      <c r="G381" s="74" t="s">
        <v>220</v>
      </c>
      <c r="H381" s="59">
        <v>44062</v>
      </c>
      <c r="I381" s="60">
        <v>1</v>
      </c>
      <c r="J381" s="75" t="s">
        <v>459</v>
      </c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ht="13.5" customHeight="1" x14ac:dyDescent="0.15">
      <c r="B382" s="97" t="str">
        <f>IF(G382&lt;&gt;"",SUBTOTAL(3,$G$5:G382),"")</f>
        <v/>
      </c>
      <c r="C382" s="73"/>
      <c r="D382" s="73"/>
      <c r="E382" s="74"/>
      <c r="F382" s="74"/>
      <c r="G382" s="74"/>
      <c r="H382" s="59"/>
      <c r="I382" s="68">
        <v>1</v>
      </c>
      <c r="J382" s="75" t="s">
        <v>460</v>
      </c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ht="13.5" customHeight="1" x14ac:dyDescent="0.15">
      <c r="B383" s="97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75" t="s">
        <v>461</v>
      </c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ht="13.5" customHeight="1" x14ac:dyDescent="0.15">
      <c r="B384" s="97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 t="s">
        <v>462</v>
      </c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ht="13.5" customHeight="1" x14ac:dyDescent="0.15">
      <c r="B385" s="97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 t="s">
        <v>463</v>
      </c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ht="13.5" customHeight="1" x14ac:dyDescent="0.15">
      <c r="B386" s="97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75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ht="13.5" customHeight="1" x14ac:dyDescent="0.15">
      <c r="B387" s="73">
        <f>IF(G387&lt;&gt;"",SUBTOTAL(3,$G$5:G387),"")</f>
        <v>88</v>
      </c>
      <c r="C387" s="73"/>
      <c r="D387" s="73"/>
      <c r="E387" s="74" t="s">
        <v>139</v>
      </c>
      <c r="F387" s="74" t="s">
        <v>142</v>
      </c>
      <c r="G387" s="74" t="s">
        <v>221</v>
      </c>
      <c r="H387" s="59">
        <v>44071</v>
      </c>
      <c r="I387" s="60">
        <v>1</v>
      </c>
      <c r="J387" s="75" t="s">
        <v>458</v>
      </c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ht="13.5" customHeight="1" x14ac:dyDescent="0.15">
      <c r="B388" s="97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75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>
        <f>IF(G389&lt;&gt;"",SUBTOTAL(3,$G$5:G389),"")</f>
        <v>89</v>
      </c>
      <c r="C389" s="73"/>
      <c r="D389" s="73"/>
      <c r="E389" s="74" t="s">
        <v>139</v>
      </c>
      <c r="F389" s="74" t="s">
        <v>142</v>
      </c>
      <c r="G389" s="74" t="s">
        <v>225</v>
      </c>
      <c r="H389" s="59">
        <v>44073</v>
      </c>
      <c r="I389" s="60">
        <v>1</v>
      </c>
      <c r="J389" s="93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93" t="s">
        <v>330</v>
      </c>
      <c r="AT389" s="42" t="s">
        <v>331</v>
      </c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94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94" t="s">
        <v>320</v>
      </c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 t="str">
        <f>IF(G391&lt;&gt;"",SUBTOTAL(3,$G$5:G391),"")</f>
        <v/>
      </c>
      <c r="C391" s="73"/>
      <c r="D391" s="73"/>
      <c r="E391" s="74"/>
      <c r="F391" s="74"/>
      <c r="G391" s="74"/>
      <c r="H391" s="59"/>
      <c r="I391" s="68">
        <v>1</v>
      </c>
      <c r="J391" s="94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94" t="s">
        <v>321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73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94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94" t="s">
        <v>322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94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94" t="s">
        <v>323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94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4" t="s">
        <v>335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94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94" t="s">
        <v>324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325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3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3" t="s">
        <v>330</v>
      </c>
      <c r="AT397" s="42" t="s">
        <v>332</v>
      </c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75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75" t="s">
        <v>336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75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75" t="s">
        <v>337</v>
      </c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94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94" t="s">
        <v>320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4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4" t="s">
        <v>321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4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4" t="s">
        <v>322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94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94" t="s">
        <v>323</v>
      </c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x14ac:dyDescent="0.15">
      <c r="B404" s="73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94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94" t="s">
        <v>338</v>
      </c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94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4" t="s">
        <v>326</v>
      </c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324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325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93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3" t="s">
        <v>333</v>
      </c>
      <c r="AT408" s="42" t="s">
        <v>334</v>
      </c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75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75" t="s">
        <v>339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4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4" t="s">
        <v>320</v>
      </c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94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94" t="s">
        <v>321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322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4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4" t="s">
        <v>323</v>
      </c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94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94" t="s">
        <v>327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94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94" t="s">
        <v>324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4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4" t="s">
        <v>325</v>
      </c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75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75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ht="14.25" customHeight="1" x14ac:dyDescent="0.15">
      <c r="B418" s="73">
        <f>IF(G418&lt;&gt;"",SUBTOTAL(3,$G$5:G418),"")</f>
        <v>90</v>
      </c>
      <c r="C418" s="73"/>
      <c r="D418" s="73"/>
      <c r="E418" s="74" t="s">
        <v>139</v>
      </c>
      <c r="F418" s="74" t="s">
        <v>142</v>
      </c>
      <c r="G418" s="74" t="s">
        <v>236</v>
      </c>
      <c r="H418" s="59">
        <v>44108</v>
      </c>
      <c r="I418" s="60">
        <v>0.5</v>
      </c>
      <c r="J418" s="75" t="s">
        <v>1</v>
      </c>
      <c r="K418" s="42" t="s">
        <v>329</v>
      </c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75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ht="14.25" customHeigh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6">
        <v>0.5</v>
      </c>
      <c r="J419" s="78"/>
      <c r="K419" s="79"/>
      <c r="L419" s="79"/>
      <c r="M419" s="79"/>
      <c r="N419" s="79"/>
      <c r="O419" s="79"/>
      <c r="P419" s="79"/>
      <c r="Q419" s="79"/>
      <c r="R419" s="80" t="s">
        <v>328</v>
      </c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/>
      <c r="AJ419" s="79"/>
      <c r="AK419" s="79"/>
      <c r="AL419" s="79"/>
      <c r="AM419" s="79"/>
      <c r="AN419" s="79"/>
      <c r="AO419" s="79"/>
      <c r="AP419" s="79"/>
      <c r="AQ419" s="79"/>
      <c r="AR419" s="81"/>
      <c r="AS419" s="75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ht="14.25" customHeight="1" x14ac:dyDescent="0.15">
      <c r="B420" s="73" t="str">
        <f>IF(G420&lt;&gt;"",SUBTOTAL(3,$G$5:G420),"")</f>
        <v/>
      </c>
      <c r="C420" s="73"/>
      <c r="D420" s="73"/>
      <c r="E420" s="74"/>
      <c r="F420" s="74"/>
      <c r="G420" s="74"/>
      <c r="H420" s="59"/>
      <c r="I420" s="66">
        <v>0.5</v>
      </c>
      <c r="J420" s="82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/>
      <c r="AH420" s="79"/>
      <c r="AI420" s="79"/>
      <c r="AJ420" s="79"/>
      <c r="AK420" s="79"/>
      <c r="AL420" s="79"/>
      <c r="AM420" s="79"/>
      <c r="AN420" s="79"/>
      <c r="AO420" s="79"/>
      <c r="AP420" s="79"/>
      <c r="AQ420" s="79"/>
      <c r="AR420" s="81"/>
      <c r="AS420" s="75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ht="14.25" customHeigh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6">
        <v>0.5</v>
      </c>
      <c r="J421" s="78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  <c r="AD421" s="79"/>
      <c r="AE421" s="79"/>
      <c r="AF421" s="79"/>
      <c r="AG421" s="79"/>
      <c r="AH421" s="79"/>
      <c r="AI421" s="79"/>
      <c r="AJ421" s="79"/>
      <c r="AK421" s="79"/>
      <c r="AL421" s="79"/>
      <c r="AM421" s="79"/>
      <c r="AN421" s="79"/>
      <c r="AO421" s="79"/>
      <c r="AP421" s="79"/>
      <c r="AQ421" s="79"/>
      <c r="AR421" s="81"/>
      <c r="AS421" s="75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ht="14.25" customHeigh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6">
        <v>0.5</v>
      </c>
      <c r="J422" s="78" t="s">
        <v>237</v>
      </c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  <c r="AG422" s="79"/>
      <c r="AH422" s="79"/>
      <c r="AI422" s="79"/>
      <c r="AJ422" s="79"/>
      <c r="AK422" s="79"/>
      <c r="AL422" s="79"/>
      <c r="AM422" s="79"/>
      <c r="AN422" s="79"/>
      <c r="AO422" s="79"/>
      <c r="AP422" s="79"/>
      <c r="AQ422" s="79"/>
      <c r="AR422" s="81"/>
      <c r="AS422" s="75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ht="14.25" customHeight="1" x14ac:dyDescent="0.15">
      <c r="B423" s="73" t="str">
        <f>IF(G423&lt;&gt;"",SUBTOTAL(3,$G$5:G423),"")</f>
        <v/>
      </c>
      <c r="C423" s="73"/>
      <c r="D423" s="73"/>
      <c r="E423" s="74"/>
      <c r="F423" s="74"/>
      <c r="G423" s="74"/>
      <c r="H423" s="59"/>
      <c r="I423" s="66">
        <v>0.5</v>
      </c>
      <c r="J423" s="78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  <c r="AG423" s="79"/>
      <c r="AH423" s="79"/>
      <c r="AI423" s="79"/>
      <c r="AJ423" s="79"/>
      <c r="AK423" s="79"/>
      <c r="AL423" s="79"/>
      <c r="AM423" s="79"/>
      <c r="AN423" s="79"/>
      <c r="AO423" s="79"/>
      <c r="AP423" s="79"/>
      <c r="AQ423" s="79"/>
      <c r="AR423" s="81"/>
      <c r="AS423" s="75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ht="13.5" customHeigh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0"/>
      <c r="J424" s="75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76"/>
      <c r="AS424" s="75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ht="13.5" customHeight="1" x14ac:dyDescent="0.15">
      <c r="B425" s="56" t="str">
        <f>IF(G425&lt;&gt;"",SUBTOTAL(3,$G$5:G425),"")</f>
        <v/>
      </c>
      <c r="C425" s="56"/>
      <c r="D425" s="56"/>
      <c r="E425" s="57"/>
      <c r="F425" s="57"/>
      <c r="G425" s="57"/>
      <c r="H425" s="59"/>
      <c r="I425" s="60"/>
      <c r="J425" s="39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1"/>
      <c r="AS425" s="61"/>
      <c r="AT425" s="62"/>
      <c r="AU425" s="62"/>
      <c r="AV425" s="62"/>
      <c r="AW425" s="62"/>
      <c r="AX425" s="62"/>
      <c r="AY425" s="62"/>
      <c r="AZ425" s="62"/>
      <c r="BA425" s="62"/>
      <c r="BB425" s="62"/>
      <c r="BC425" s="62"/>
      <c r="BD425" s="62"/>
      <c r="BE425" s="62"/>
      <c r="BF425" s="62"/>
      <c r="BG425" s="62"/>
      <c r="BH425" s="62"/>
      <c r="BI425" s="62"/>
      <c r="BJ425" s="62"/>
      <c r="BK425" s="62"/>
      <c r="BL425" s="62"/>
      <c r="BM425" s="62"/>
      <c r="BN425" s="62"/>
      <c r="BO425" s="62"/>
      <c r="BP425" s="62"/>
      <c r="BQ425" s="62"/>
      <c r="BR425" s="62"/>
      <c r="BS425" s="62"/>
      <c r="BT425" s="62"/>
      <c r="BU425" s="62"/>
      <c r="BV425" s="62"/>
      <c r="BW425" s="62"/>
      <c r="BX425" s="62"/>
      <c r="BY425" s="62"/>
      <c r="BZ425" s="62"/>
      <c r="CA425" s="63"/>
      <c r="CB425" s="58"/>
      <c r="CH425" s="62"/>
      <c r="CI425" s="62"/>
      <c r="CJ425" s="62"/>
      <c r="CK425" s="62"/>
      <c r="CL425" s="62"/>
      <c r="CM425" s="62"/>
      <c r="CN425" s="62"/>
      <c r="CO425" s="62"/>
      <c r="CP425" s="62"/>
      <c r="CQ425" s="62"/>
      <c r="CR425" s="62"/>
      <c r="CS425" s="62"/>
      <c r="CT425" s="62"/>
      <c r="CU425" s="62"/>
      <c r="CV425" s="62"/>
      <c r="CW425" s="62"/>
      <c r="CX425" s="62"/>
      <c r="CY425" s="62"/>
      <c r="CZ425" s="62"/>
      <c r="DA425" s="62"/>
      <c r="DB425" s="62"/>
      <c r="DC425" s="62"/>
      <c r="DD425" s="62"/>
      <c r="DE425" s="62"/>
      <c r="DF425" s="62"/>
      <c r="DG425" s="62"/>
      <c r="DH425" s="62"/>
      <c r="DI425" s="62"/>
      <c r="DJ425" s="62"/>
      <c r="DK425" s="62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62"/>
      <c r="DX425" s="62"/>
      <c r="DY425" s="62"/>
      <c r="DZ425" s="62"/>
    </row>
    <row r="426" spans="2:130" ht="13.5" customHeight="1" x14ac:dyDescent="0.15">
      <c r="B426" s="56" t="str">
        <f>IF(G426&lt;&gt;"",SUBTOTAL(3,$G$5:G426),"")</f>
        <v/>
      </c>
      <c r="C426" s="56"/>
      <c r="D426" s="56"/>
      <c r="E426" s="57"/>
      <c r="F426" s="57"/>
      <c r="G426" s="57"/>
      <c r="H426" s="59"/>
      <c r="I426" s="60"/>
      <c r="J426" s="61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3"/>
      <c r="AS426" s="61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  <c r="BK426" s="62"/>
      <c r="BL426" s="62"/>
      <c r="BM426" s="62"/>
      <c r="BN426" s="62"/>
      <c r="BO426" s="62"/>
      <c r="BP426" s="62"/>
      <c r="BQ426" s="62"/>
      <c r="BR426" s="62"/>
      <c r="BS426" s="62"/>
      <c r="BT426" s="62"/>
      <c r="BU426" s="62"/>
      <c r="BV426" s="62"/>
      <c r="BW426" s="62"/>
      <c r="BX426" s="62"/>
      <c r="BY426" s="62"/>
      <c r="BZ426" s="62"/>
      <c r="CA426" s="63"/>
      <c r="CB426" s="58"/>
      <c r="CH426" s="62"/>
      <c r="CI426" s="62"/>
      <c r="CJ426" s="62"/>
      <c r="CK426" s="62"/>
      <c r="CL426" s="62"/>
      <c r="CM426" s="62"/>
      <c r="CN426" s="62"/>
      <c r="CO426" s="62"/>
      <c r="CP426" s="62"/>
      <c r="CQ426" s="62"/>
      <c r="CR426" s="62"/>
      <c r="CS426" s="62"/>
      <c r="CT426" s="62"/>
      <c r="CU426" s="62"/>
      <c r="CV426" s="62"/>
      <c r="CW426" s="62"/>
      <c r="CX426" s="62"/>
      <c r="CY426" s="62"/>
      <c r="CZ426" s="62"/>
      <c r="DA426" s="62"/>
      <c r="DB426" s="62"/>
      <c r="DC426" s="62"/>
      <c r="DD426" s="62"/>
      <c r="DE426" s="62"/>
      <c r="DF426" s="62"/>
      <c r="DG426" s="62"/>
      <c r="DH426" s="62"/>
      <c r="DI426" s="62"/>
      <c r="DJ426" s="62"/>
      <c r="DK426" s="62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62"/>
      <c r="DX426" s="62"/>
      <c r="DY426" s="62"/>
      <c r="DZ426" s="62"/>
    </row>
    <row r="427" spans="2:130" x14ac:dyDescent="0.15">
      <c r="B427" s="56" t="str">
        <f>IF(G427&lt;&gt;"",SUBTOTAL(3,$G$5:G427),"")</f>
        <v/>
      </c>
      <c r="C427" s="56"/>
      <c r="D427" s="56"/>
      <c r="E427" s="57"/>
      <c r="F427" s="57"/>
      <c r="G427" s="57"/>
      <c r="H427" s="59"/>
      <c r="I427" s="60"/>
      <c r="J427" s="61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3"/>
      <c r="AS427" s="61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3"/>
      <c r="CB427" s="58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</row>
    <row r="428" spans="2:130" x14ac:dyDescent="0.15">
      <c r="B428" s="56" t="str">
        <f>IF(G428&lt;&gt;"",SUBTOTAL(3,$G$5:G428),"")</f>
        <v/>
      </c>
      <c r="C428" s="56"/>
      <c r="D428" s="56"/>
      <c r="E428" s="57"/>
      <c r="F428" s="57"/>
      <c r="G428" s="57"/>
      <c r="H428" s="59"/>
      <c r="I428" s="60"/>
      <c r="J428" s="61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3"/>
      <c r="AS428" s="61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3"/>
      <c r="CB428" s="58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</row>
    <row r="429" spans="2:130" x14ac:dyDescent="0.15">
      <c r="B429" s="56" t="str">
        <f>IF(G429&lt;&gt;"",SUBTOTAL(3,$G$5:G429),"")</f>
        <v/>
      </c>
      <c r="C429" s="56"/>
      <c r="D429" s="56"/>
      <c r="E429" s="57"/>
      <c r="F429" s="57"/>
      <c r="G429" s="57"/>
      <c r="H429" s="59"/>
      <c r="I429" s="60"/>
      <c r="J429" s="61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3"/>
      <c r="AS429" s="61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3"/>
      <c r="CB429" s="58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</row>
    <row r="430" spans="2:130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61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3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ht="15.75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39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1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7"/>
      <c r="CJ431" s="67"/>
      <c r="CK431" s="67"/>
      <c r="CL431" s="67"/>
      <c r="CM431" s="67"/>
      <c r="CN431" s="67"/>
      <c r="CO431" s="67"/>
      <c r="CP431" s="67"/>
      <c r="CQ431" s="67"/>
      <c r="CR431" s="67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7"/>
      <c r="DH431" s="67"/>
      <c r="DI431" s="67"/>
      <c r="DJ431" s="67"/>
      <c r="DK431" s="67"/>
      <c r="DL431" s="67"/>
      <c r="DM431" s="67"/>
      <c r="DN431" s="67"/>
      <c r="DO431" s="67"/>
      <c r="DP431" s="67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61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3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61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3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ht="15.75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39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1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56" t="str">
        <f>IF(G440&lt;&gt;"",SUBTOTAL(3,$G$5:G440),"")</f>
        <v/>
      </c>
      <c r="C440" s="56"/>
      <c r="D440" s="56"/>
      <c r="E440" s="57"/>
      <c r="F440" s="57"/>
      <c r="G440" s="57"/>
      <c r="H440" s="59"/>
      <c r="I440" s="60"/>
      <c r="J440" s="61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3"/>
      <c r="AS440" s="61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3"/>
      <c r="CB440" s="58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  <row r="441" spans="2:130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61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3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61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3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 t="str">
        <f>IF(G448&lt;&gt;"",SUBTOTAL(3,$G$5:G448),"")</f>
        <v/>
      </c>
      <c r="C448" s="56"/>
      <c r="D448" s="56"/>
      <c r="E448" s="57"/>
      <c r="F448" s="57"/>
      <c r="G448" s="57"/>
      <c r="H448" s="59"/>
      <c r="I448" s="60"/>
      <c r="J448" s="61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61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3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61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3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2"/>
      <c r="CJ450" s="62"/>
      <c r="CK450" s="62"/>
      <c r="CL450" s="62"/>
      <c r="CM450" s="62"/>
      <c r="CN450" s="62"/>
      <c r="CO450" s="62"/>
      <c r="CP450" s="62"/>
      <c r="CQ450" s="62"/>
      <c r="CR450" s="62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2"/>
      <c r="DH450" s="62"/>
      <c r="DI450" s="62"/>
      <c r="DJ450" s="62"/>
      <c r="DK450" s="62"/>
      <c r="DL450" s="62"/>
      <c r="DM450" s="62"/>
      <c r="DN450" s="62"/>
      <c r="DO450" s="62"/>
      <c r="DP450" s="62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83" t="str">
        <f>IF(G454&lt;&gt;"",SUBTOTAL(3,$G$5:G454),"")</f>
        <v/>
      </c>
      <c r="C454" s="83"/>
      <c r="D454" s="83"/>
      <c r="E454" s="84"/>
      <c r="F454" s="84"/>
      <c r="G454" s="84"/>
      <c r="H454" s="85"/>
      <c r="I454" s="86"/>
      <c r="J454" s="87"/>
      <c r="K454" s="88"/>
      <c r="L454" s="88"/>
      <c r="M454" s="88"/>
      <c r="N454" s="88"/>
      <c r="O454" s="88"/>
      <c r="P454" s="88"/>
      <c r="Q454" s="88"/>
      <c r="R454" s="88"/>
      <c r="S454" s="88"/>
      <c r="T454" s="88"/>
      <c r="U454" s="88"/>
      <c r="V454" s="88"/>
      <c r="W454" s="88"/>
      <c r="X454" s="88"/>
      <c r="Y454" s="88"/>
      <c r="Z454" s="88"/>
      <c r="AA454" s="88"/>
      <c r="AB454" s="88"/>
      <c r="AC454" s="88"/>
      <c r="AD454" s="88"/>
      <c r="AE454" s="88"/>
      <c r="AF454" s="88"/>
      <c r="AG454" s="88"/>
      <c r="AH454" s="88"/>
      <c r="AI454" s="88"/>
      <c r="AJ454" s="88"/>
      <c r="AK454" s="88"/>
      <c r="AL454" s="88"/>
      <c r="AM454" s="88"/>
      <c r="AN454" s="88"/>
      <c r="AO454" s="88"/>
      <c r="AP454" s="88"/>
      <c r="AQ454" s="88"/>
      <c r="AR454" s="89"/>
      <c r="AS454" s="87"/>
      <c r="AT454" s="88"/>
      <c r="AU454" s="88"/>
      <c r="AV454" s="88"/>
      <c r="AW454" s="88"/>
      <c r="AX454" s="88"/>
      <c r="AY454" s="88"/>
      <c r="AZ454" s="88"/>
      <c r="BA454" s="88"/>
      <c r="BB454" s="88"/>
      <c r="BC454" s="88"/>
      <c r="BD454" s="88"/>
      <c r="BE454" s="88"/>
      <c r="BF454" s="88"/>
      <c r="BG454" s="88"/>
      <c r="BH454" s="88"/>
      <c r="BI454" s="88"/>
      <c r="BJ454" s="88"/>
      <c r="BK454" s="88"/>
      <c r="BL454" s="88"/>
      <c r="BM454" s="88"/>
      <c r="BN454" s="88"/>
      <c r="BO454" s="88"/>
      <c r="BP454" s="88"/>
      <c r="BQ454" s="88"/>
      <c r="BR454" s="88"/>
      <c r="BS454" s="88"/>
      <c r="BT454" s="88"/>
      <c r="BU454" s="88"/>
      <c r="BV454" s="88"/>
      <c r="BW454" s="88"/>
      <c r="BX454" s="88"/>
      <c r="BY454" s="88"/>
      <c r="BZ454" s="88"/>
      <c r="CA454" s="89"/>
      <c r="CB454" s="90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</sheetData>
  <autoFilter ref="B4:CB45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25:I425 B439:I439 B431:I431 B55:D55 B62:H62 B71:H71 B426:AR430 B440:AR454 B432:AR438 F55:CB55 B56:CB60 J61:CB62 B72:CB72 K53:CB53 B54:CB54 K73:CB73 K341:CB341 B421:CB421 K420:CB420 K422:CB422 I229:CA229 K121:CB121 J70:CB71 B63:CB69 J74:CB76 I232:I239 B232:H240 J232:CB240 B423:AR424 AS423:CB454 J240:J242 B230:CB231 J229:J231 B342:CB419 B285:I285 K285:CB285 B241:CB284 J177:AR229 AS177:CA228 CB177:CB229 B177:H229 I177:I228 B122:CB176 B5:CB52 B286:CB340 B77:CB120">
    <cfRule type="expression" dxfId="28" priority="101">
      <formula>AND($I5&lt;&gt;1,$I5&lt;&gt;"")</formula>
    </cfRule>
  </conditionalFormatting>
  <conditionalFormatting sqref="I240:AR240">
    <cfRule type="expression" dxfId="27" priority="87">
      <formula>AND($I240&lt;&gt;1,$I240&lt;&gt;"")</formula>
    </cfRule>
  </conditionalFormatting>
  <conditionalFormatting sqref="E55">
    <cfRule type="expression" dxfId="26" priority="76">
      <formula>AND($I55&lt;&gt;1,$I55&lt;&gt;"")</formula>
    </cfRule>
  </conditionalFormatting>
  <conditionalFormatting sqref="B74:H74">
    <cfRule type="expression" dxfId="25" priority="73">
      <formula>AND($I74&lt;&gt;1,$I74&lt;&gt;"")</formula>
    </cfRule>
  </conditionalFormatting>
  <conditionalFormatting sqref="B53:I53">
    <cfRule type="expression" dxfId="24" priority="68">
      <formula>AND($I53&lt;&gt;1,$I53&lt;&gt;"")</formula>
    </cfRule>
  </conditionalFormatting>
  <conditionalFormatting sqref="J53">
    <cfRule type="expression" dxfId="23" priority="62">
      <formula>AND($I53&lt;&gt;1,$I53&lt;&gt;"")</formula>
    </cfRule>
  </conditionalFormatting>
  <conditionalFormatting sqref="B61:H61">
    <cfRule type="expression" dxfId="22" priority="60">
      <formula>AND($I61&lt;&gt;1,$I61&lt;&gt;"")</formula>
    </cfRule>
  </conditionalFormatting>
  <conditionalFormatting sqref="I61">
    <cfRule type="expression" dxfId="21" priority="59">
      <formula>AND($I61&lt;&gt;1,$I61&lt;&gt;"")</formula>
    </cfRule>
  </conditionalFormatting>
  <conditionalFormatting sqref="I62">
    <cfRule type="expression" dxfId="20" priority="58">
      <formula>AND($I62&lt;&gt;1,$I62&lt;&gt;"")</formula>
    </cfRule>
  </conditionalFormatting>
  <conditionalFormatting sqref="B70:I70">
    <cfRule type="expression" dxfId="19" priority="55">
      <formula>AND($I70&lt;&gt;1,$I70&lt;&gt;"")</formula>
    </cfRule>
  </conditionalFormatting>
  <conditionalFormatting sqref="J70">
    <cfRule type="expression" dxfId="18" priority="54">
      <formula>AND($I70&lt;&gt;1,$I70&lt;&gt;"")</formula>
    </cfRule>
  </conditionalFormatting>
  <conditionalFormatting sqref="I71">
    <cfRule type="expression" dxfId="17" priority="53">
      <formula>AND($I71&lt;&gt;1,$I71&lt;&gt;"")</formula>
    </cfRule>
  </conditionalFormatting>
  <conditionalFormatting sqref="B73:I73">
    <cfRule type="expression" dxfId="16" priority="52">
      <formula>AND($I73&lt;&gt;1,$I73&lt;&gt;"")</formula>
    </cfRule>
  </conditionalFormatting>
  <conditionalFormatting sqref="J73">
    <cfRule type="expression" dxfId="15" priority="51">
      <formula>AND($I73&lt;&gt;1,$I73&lt;&gt;"")</formula>
    </cfRule>
  </conditionalFormatting>
  <conditionalFormatting sqref="I74">
    <cfRule type="expression" dxfId="14" priority="50">
      <formula>AND($I74&lt;&gt;1,$I74&lt;&gt;"")</formula>
    </cfRule>
  </conditionalFormatting>
  <conditionalFormatting sqref="B121:I121">
    <cfRule type="expression" dxfId="13" priority="40">
      <formula>AND($I121&lt;&gt;1,$I121&lt;&gt;"")</formula>
    </cfRule>
  </conditionalFormatting>
  <conditionalFormatting sqref="J121">
    <cfRule type="expression" dxfId="12" priority="38">
      <formula>AND($I121&lt;&gt;1,$I121&lt;&gt;"")</formula>
    </cfRule>
  </conditionalFormatting>
  <conditionalFormatting sqref="B341:I341">
    <cfRule type="expression" dxfId="11" priority="23">
      <formula>AND($I341&lt;&gt;1,$I341&lt;&gt;"")</formula>
    </cfRule>
  </conditionalFormatting>
  <conditionalFormatting sqref="B420:I420 B422:I422">
    <cfRule type="expression" dxfId="10" priority="15">
      <formula>AND($I420&lt;&gt;1,$I420&lt;&gt;"")</formula>
    </cfRule>
  </conditionalFormatting>
  <conditionalFormatting sqref="J422">
    <cfRule type="expression" dxfId="9" priority="14">
      <formula>AND($I422&lt;&gt;1,$I422&lt;&gt;"")</formula>
    </cfRule>
  </conditionalFormatting>
  <conditionalFormatting sqref="B76:H76">
    <cfRule type="expression" dxfId="8" priority="12">
      <formula>AND($I76&lt;&gt;1,$I76&lt;&gt;"")</formula>
    </cfRule>
  </conditionalFormatting>
  <conditionalFormatting sqref="I76">
    <cfRule type="expression" dxfId="7" priority="11">
      <formula>AND($I76&lt;&gt;1,$I76&lt;&gt;"")</formula>
    </cfRule>
  </conditionalFormatting>
  <conditionalFormatting sqref="B75:H75">
    <cfRule type="expression" dxfId="6" priority="9">
      <formula>AND($I75&lt;&gt;1,$I75&lt;&gt;"")</formula>
    </cfRule>
  </conditionalFormatting>
  <conditionalFormatting sqref="I75">
    <cfRule type="expression" dxfId="5" priority="8">
      <formula>AND($I75&lt;&gt;1,$I75&lt;&gt;"")</formula>
    </cfRule>
  </conditionalFormatting>
  <conditionalFormatting sqref="J69">
    <cfRule type="expression" dxfId="4" priority="6">
      <formula>AND($I69&lt;&gt;1,$I69&lt;&gt;"")</formula>
    </cfRule>
  </conditionalFormatting>
  <conditionalFormatting sqref="J241">
    <cfRule type="expression" dxfId="3" priority="5">
      <formula>AND($I241&lt;&gt;1,$I241&lt;&gt;"")</formula>
    </cfRule>
  </conditionalFormatting>
  <conditionalFormatting sqref="J240">
    <cfRule type="expression" dxfId="2" priority="4">
      <formula>AND($I240&lt;&gt;1,$I240&lt;&gt;"")</formula>
    </cfRule>
  </conditionalFormatting>
  <conditionalFormatting sqref="J285">
    <cfRule type="expression" dxfId="1" priority="3">
      <formula>AND($I285&lt;&gt;1,$I285&lt;&gt;"")</formula>
    </cfRule>
  </conditionalFormatting>
  <conditionalFormatting sqref="J341">
    <cfRule type="expression" dxfId="0" priority="2">
      <formula>AND($I341&lt;&gt;1,$I341&lt;&gt;"")</formula>
    </cfRule>
  </conditionalFormatting>
  <dataValidations count="1">
    <dataValidation type="list" allowBlank="1" showInputMessage="1" showErrorMessage="1" sqref="I5:I454" xr:uid="{CDD3132F-D59C-4B0A-9A7C-94B9D9A88440}">
      <formula1>"100%,80%,50%,30%,0%"</formula1>
    </dataValidation>
  </dataValidations>
  <hyperlinks>
    <hyperlink ref="CB80" location="toABC114_C_755" display="(→)" xr:uid="{C3DBC3A8-8FB5-4AEF-8FA5-1088932AB54B}"/>
    <hyperlink ref="CB243" location="toABC143_C_Slimes" display="(→)" xr:uid="{D0A14FDC-339D-483C-A7FB-42784F1DB2F9}"/>
    <hyperlink ref="CB255" location="toABC147_C_Honest_or_Unkind2" display="(→)" xr:uid="{5E89EE6B-F278-4D19-9890-D06616736879}"/>
    <hyperlink ref="CB261" location="toABC149_C_NextPrime" display="(→)" xr:uid="{B7EC79F3-9ECE-482D-BD97-C57882E1060F}"/>
    <hyperlink ref="J61" r:id="rId1" xr:uid="{55DF2281-CA3A-49E3-A548-9C77168C683F}"/>
    <hyperlink ref="J121" r:id="rId2" xr:uid="{38E0EAF4-C8D9-4697-98F9-FFD2638747C7}"/>
    <hyperlink ref="J422" r:id="rId3" xr:uid="{9EDCCA2D-396F-4375-BE7A-B1954A66EC32}"/>
    <hyperlink ref="J75" r:id="rId4" xr:uid="{A5E407FA-9175-4245-9950-2C7E04570900}"/>
    <hyperlink ref="J6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2020-11-29T05:52:15Z</dcterms:modified>
</cp:coreProperties>
</file>
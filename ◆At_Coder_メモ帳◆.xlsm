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937B73C6-2C72-4D20-9AD5-8256BAD9F1A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At_Coder_C問題!$J$199</definedName>
    <definedName name="fromABC147_C_Honest_or_Unkind2">At_Coder_C問題!$J$210</definedName>
    <definedName name="fromABC149_C_NextPrime">At_Coder_C問題!$J$214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1" i="3" l="1"/>
  <c r="B200" i="3"/>
  <c r="B202" i="3"/>
  <c r="B162" i="3" l="1"/>
  <c r="B163" i="3"/>
  <c r="B161" i="3"/>
  <c r="B160" i="3"/>
  <c r="B260" i="3" l="1"/>
  <c r="B259" i="3"/>
  <c r="B261" i="3"/>
  <c r="B256" i="3"/>
  <c r="B253" i="3"/>
  <c r="B254" i="3"/>
  <c r="B255" i="3"/>
  <c r="B249" i="3" l="1"/>
  <c r="B250" i="3"/>
  <c r="B251" i="3"/>
  <c r="B248" i="3"/>
  <c r="B246" i="3" l="1"/>
  <c r="B244" i="3" l="1"/>
  <c r="B241" i="3"/>
  <c r="B240" i="3"/>
  <c r="B242" i="3" l="1"/>
  <c r="B158" i="3" l="1"/>
  <c r="B156" i="3"/>
  <c r="B157" i="3"/>
  <c r="B237" i="3" l="1"/>
  <c r="B235" i="3" l="1"/>
  <c r="B233" i="3"/>
  <c r="B232" i="3"/>
  <c r="B227" i="3"/>
  <c r="B206" i="3" l="1"/>
  <c r="B205" i="3"/>
  <c r="B204" i="3" l="1"/>
  <c r="B187" i="3"/>
  <c r="B165" i="3"/>
  <c r="B166" i="3"/>
  <c r="B215" i="3" l="1"/>
  <c r="B216" i="3"/>
  <c r="B221" i="3"/>
  <c r="B220" i="3"/>
  <c r="B219" i="3"/>
  <c r="B218" i="3"/>
  <c r="B224" i="3" l="1"/>
  <c r="B223" i="3"/>
  <c r="B213" i="3"/>
  <c r="B212" i="3"/>
  <c r="B181" i="3" l="1"/>
  <c r="B184" i="3"/>
  <c r="B185" i="3"/>
  <c r="B183" i="3"/>
  <c r="B30" i="3"/>
  <c r="B29" i="3"/>
  <c r="B28" i="3"/>
  <c r="B27" i="3"/>
  <c r="B138" i="3" l="1"/>
  <c r="B286" i="3"/>
  <c r="B287" i="3"/>
  <c r="B285" i="3"/>
  <c r="B288" i="3"/>
  <c r="B20" i="3" l="1"/>
  <c r="B13" i="3"/>
  <c r="B6" i="3" l="1"/>
  <c r="B62" i="3" l="1"/>
  <c r="B63" i="3"/>
  <c r="B330" i="3" l="1"/>
  <c r="B329" i="3"/>
  <c r="B328" i="3"/>
  <c r="B327" i="3"/>
  <c r="B326" i="3"/>
  <c r="B325" i="3"/>
  <c r="B322" i="3"/>
  <c r="B320" i="3"/>
  <c r="B319" i="3"/>
  <c r="B318" i="3"/>
  <c r="B317" i="3"/>
  <c r="B316" i="3"/>
  <c r="B315" i="3"/>
  <c r="B323" i="3"/>
  <c r="B321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2" i="3"/>
  <c r="B291" i="3"/>
  <c r="B290" i="3"/>
  <c r="B289" i="3"/>
  <c r="B283" i="3"/>
  <c r="B282" i="3"/>
  <c r="B281" i="3"/>
  <c r="B280" i="3"/>
  <c r="B279" i="3"/>
  <c r="B278" i="3"/>
  <c r="B277" i="3"/>
  <c r="B274" i="3"/>
  <c r="B273" i="3"/>
  <c r="J269" i="3"/>
  <c r="B269" i="3"/>
  <c r="B268" i="3"/>
  <c r="B267" i="3"/>
  <c r="B266" i="3"/>
  <c r="B265" i="3"/>
  <c r="B264" i="3"/>
  <c r="B263" i="3"/>
  <c r="B198" i="3"/>
  <c r="B197" i="3"/>
  <c r="B196" i="3"/>
  <c r="B195" i="3"/>
  <c r="B194" i="3"/>
  <c r="B193" i="3"/>
  <c r="B192" i="3"/>
  <c r="B191" i="3"/>
  <c r="B190" i="3"/>
  <c r="B189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31" i="3" l="1"/>
  <c r="B270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63" i="3" l="1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24" i="3"/>
  <c r="B295" i="3"/>
  <c r="B294" i="3"/>
  <c r="B293" i="3"/>
  <c r="B284" i="3"/>
  <c r="B276" i="3"/>
  <c r="B275" i="3"/>
  <c r="B272" i="3"/>
  <c r="B271" i="3"/>
  <c r="B262" i="3"/>
  <c r="B258" i="3"/>
  <c r="B257" i="3"/>
  <c r="B252" i="3"/>
  <c r="B247" i="3"/>
  <c r="B245" i="3"/>
  <c r="B243" i="3"/>
  <c r="B239" i="3"/>
  <c r="B238" i="3"/>
  <c r="B236" i="3"/>
  <c r="B234" i="3"/>
  <c r="B231" i="3"/>
  <c r="B230" i="3"/>
  <c r="B229" i="3"/>
  <c r="B228" i="3"/>
  <c r="B226" i="3"/>
  <c r="B225" i="3"/>
  <c r="B222" i="3"/>
  <c r="B217" i="3"/>
  <c r="B214" i="3"/>
  <c r="B211" i="3"/>
  <c r="B210" i="3"/>
  <c r="B209" i="3"/>
  <c r="B208" i="3"/>
  <c r="B207" i="3"/>
  <c r="B203" i="3"/>
  <c r="B199" i="3"/>
  <c r="B188" i="3"/>
  <c r="B186" i="3"/>
  <c r="B182" i="3"/>
  <c r="B180" i="3"/>
  <c r="B167" i="3"/>
  <c r="B164" i="3"/>
  <c r="B159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<sst xmlns="http://schemas.openxmlformats.org/spreadsheetml/2006/main" count="785" uniqueCount="475">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</sst>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324</xdr:row>
      <xdr:rowOff>33337</xdr:rowOff>
    </xdr:from>
    <xdr:to>
      <xdr:col>16</xdr:col>
      <xdr:colOff>38100</xdr:colOff>
      <xdr:row>324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326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325</xdr:row>
      <xdr:rowOff>35719</xdr:rowOff>
    </xdr:from>
    <xdr:to>
      <xdr:col>21</xdr:col>
      <xdr:colOff>133350</xdr:colOff>
      <xdr:row>326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63"/>
  <sheetViews>
    <sheetView tabSelected="1" zoomScale="115" zoomScaleNormal="115" workbookViewId="0">
      <pane xSplit="7" ySplit="4" topLeftCell="H189" activePane="bottomRight" state="frozen"/>
      <selection pane="topRight" activeCell="H1" sqref="H1"/>
      <selection pane="bottomLeft" activeCell="A5" sqref="A5"/>
      <selection pane="bottomRight" activeCell="J202" sqref="J202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9" t="s">
        <v>8</v>
      </c>
      <c r="C2" s="114" t="s">
        <v>233</v>
      </c>
      <c r="D2" s="114" t="s">
        <v>234</v>
      </c>
      <c r="E2" s="107" t="s">
        <v>141</v>
      </c>
      <c r="F2" s="108"/>
      <c r="G2" s="108"/>
      <c r="H2" s="111" t="s">
        <v>10</v>
      </c>
      <c r="I2" s="113" t="s">
        <v>11</v>
      </c>
      <c r="J2" s="107" t="s">
        <v>235</v>
      </c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6"/>
      <c r="AK2" s="116"/>
      <c r="AL2" s="116"/>
      <c r="AM2" s="116"/>
      <c r="AN2" s="116"/>
      <c r="AO2" s="116"/>
      <c r="AP2" s="116"/>
      <c r="AQ2" s="116"/>
      <c r="AR2" s="117"/>
      <c r="AS2" s="107" t="s">
        <v>417</v>
      </c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3"/>
      <c r="CB2" s="105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0"/>
      <c r="C3" s="110"/>
      <c r="D3" s="110"/>
      <c r="E3" s="36" t="s">
        <v>137</v>
      </c>
      <c r="F3" s="36" t="s">
        <v>138</v>
      </c>
      <c r="G3" s="36" t="s">
        <v>9</v>
      </c>
      <c r="H3" s="112"/>
      <c r="I3" s="110"/>
      <c r="J3" s="118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20"/>
      <c r="AK3" s="120"/>
      <c r="AL3" s="120"/>
      <c r="AM3" s="120"/>
      <c r="AN3" s="120"/>
      <c r="AO3" s="120"/>
      <c r="AP3" s="120"/>
      <c r="AQ3" s="120"/>
      <c r="AR3" s="121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6"/>
      <c r="CB3" s="106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372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243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242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376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241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377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378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244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245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418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419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420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421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232</v>
      </c>
      <c r="H31" s="61">
        <v>44087</v>
      </c>
      <c r="I31" s="62">
        <v>1</v>
      </c>
      <c r="J31" s="63" t="s">
        <v>246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247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248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249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231</v>
      </c>
      <c r="H36" s="61">
        <v>44076</v>
      </c>
      <c r="I36" s="62">
        <v>1</v>
      </c>
      <c r="J36" s="63" t="s">
        <v>250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251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252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253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254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230</v>
      </c>
      <c r="H42" s="61">
        <v>44080</v>
      </c>
      <c r="I42" s="62">
        <v>1</v>
      </c>
      <c r="J42" s="63" t="s">
        <v>236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228</v>
      </c>
      <c r="H44" s="61">
        <v>43871</v>
      </c>
      <c r="I44" s="62">
        <v>0.3</v>
      </c>
      <c r="J44" s="63" t="s">
        <v>255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379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363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364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256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229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226</v>
      </c>
      <c r="H50" s="61">
        <v>44072</v>
      </c>
      <c r="I50" s="62">
        <v>0.8</v>
      </c>
      <c r="J50" s="63" t="s">
        <v>383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380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384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381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44070</v>
      </c>
      <c r="I53" s="62">
        <v>0.8</v>
      </c>
      <c r="J53" s="63" t="s">
        <v>385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382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257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258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225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220</v>
      </c>
      <c r="H59" s="61">
        <v>44066</v>
      </c>
      <c r="I59" s="62">
        <v>0</v>
      </c>
      <c r="J59" s="63" t="s">
        <v>259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221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386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371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219</v>
      </c>
      <c r="H68" s="61">
        <v>44058</v>
      </c>
      <c r="I68" s="62">
        <v>1</v>
      </c>
      <c r="J68" s="63" t="s">
        <v>387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218</v>
      </c>
      <c r="H70" s="61">
        <v>44057</v>
      </c>
      <c r="I70" s="62">
        <v>1</v>
      </c>
      <c r="J70" s="63" t="s">
        <v>260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261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262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263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264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265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266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267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268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269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270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271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272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217</v>
      </c>
      <c r="H84" s="61">
        <v>44053</v>
      </c>
      <c r="I84" s="62">
        <v>0.3</v>
      </c>
      <c r="J84" s="63" t="s">
        <v>273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388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389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274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390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216</v>
      </c>
      <c r="H88" s="61">
        <v>44045</v>
      </c>
      <c r="I88" s="62">
        <v>1</v>
      </c>
      <c r="J88" s="63" t="s">
        <v>275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277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276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278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279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280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280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281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282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283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213</v>
      </c>
      <c r="H96" s="61">
        <v>44045</v>
      </c>
      <c r="I96" s="62">
        <v>0.8</v>
      </c>
      <c r="J96" s="63" t="s">
        <v>284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289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285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286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287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294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288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295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292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293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212</v>
      </c>
      <c r="H104" s="61">
        <v>44045</v>
      </c>
      <c r="I104" s="62">
        <v>1</v>
      </c>
      <c r="J104" s="63" t="s">
        <v>296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297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298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299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300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211</v>
      </c>
      <c r="H110" s="61">
        <v>44044</v>
      </c>
      <c r="I110" s="62">
        <v>1</v>
      </c>
      <c r="J110" s="63" t="s">
        <v>301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277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365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391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302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392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393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394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281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303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304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305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210</v>
      </c>
      <c r="H121" s="61">
        <v>44038</v>
      </c>
      <c r="I121" s="62">
        <v>1</v>
      </c>
      <c r="J121" s="63" t="s">
        <v>306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277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307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395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366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367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308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309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209</v>
      </c>
      <c r="H128" s="61">
        <v>44038</v>
      </c>
      <c r="I128" s="62">
        <v>1</v>
      </c>
      <c r="J128" s="63" t="s">
        <v>396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277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397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310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398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399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400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311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277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312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313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373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277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374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315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368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>
        <v>1</v>
      </c>
      <c r="J155" s="63" t="s">
        <v>450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102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448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102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449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IF(G159&lt;&gt;"",SUBTOTAL(3,$G$5:G159),"")</f>
        <v>49</v>
      </c>
      <c r="C159" s="58"/>
      <c r="D159" s="58"/>
      <c r="E159" s="59" t="s">
        <v>139</v>
      </c>
      <c r="F159" s="59" t="s">
        <v>135</v>
      </c>
      <c r="G159" s="74" t="s">
        <v>174</v>
      </c>
      <c r="H159" s="61">
        <v>43982</v>
      </c>
      <c r="I159" s="62">
        <v>1</v>
      </c>
      <c r="J159" s="63" t="s">
        <v>468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102" t="str">
        <f>IF(G160&lt;&gt;"",SUBTOTAL(3,$G$5:G160),"")</f>
        <v/>
      </c>
      <c r="C160" s="58"/>
      <c r="D160" s="58"/>
      <c r="E160" s="59"/>
      <c r="F160" s="59"/>
      <c r="G160" s="74"/>
      <c r="H160" s="61"/>
      <c r="I160" s="70">
        <v>1</v>
      </c>
      <c r="J160" s="63" t="s">
        <v>469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102" t="str">
        <f>IF(G161&lt;&gt;"",SUBTOTAL(3,$G$5:G161),"")</f>
        <v/>
      </c>
      <c r="C161" s="58"/>
      <c r="D161" s="58"/>
      <c r="E161" s="59"/>
      <c r="F161" s="59"/>
      <c r="G161" s="74"/>
      <c r="H161" s="61"/>
      <c r="I161" s="70">
        <v>1</v>
      </c>
      <c r="J161" s="63" t="s">
        <v>470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102" t="str">
        <f>IF(G162&lt;&gt;"",SUBTOTAL(3,$G$5:G162),"")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471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102" t="str">
        <f>IF(G163&lt;&gt;"",SUBTOTAL(3,$G$5:G163),"")</f>
        <v/>
      </c>
      <c r="C163" s="58"/>
      <c r="D163" s="58"/>
      <c r="E163" s="59"/>
      <c r="F163" s="59"/>
      <c r="G163" s="74"/>
      <c r="H163" s="61"/>
      <c r="I163" s="70">
        <v>1</v>
      </c>
      <c r="J163" s="63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s="46" customFormat="1" ht="13.5" customHeight="1" x14ac:dyDescent="0.15">
      <c r="B164" s="75">
        <f>IF(G164&lt;&gt;"",SUBTOTAL(3,$G$5:G164),"")</f>
        <v>50</v>
      </c>
      <c r="C164" s="75"/>
      <c r="D164" s="75"/>
      <c r="E164" s="76" t="s">
        <v>139</v>
      </c>
      <c r="F164" s="76" t="s">
        <v>135</v>
      </c>
      <c r="G164" s="74" t="s">
        <v>175</v>
      </c>
      <c r="H164" s="61">
        <v>43995</v>
      </c>
      <c r="I164" s="62">
        <v>1</v>
      </c>
      <c r="J164" s="77" t="s">
        <v>437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78"/>
      <c r="AS164" s="77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78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ht="13.5" customHeight="1" x14ac:dyDescent="0.15">
      <c r="B165" s="102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7" t="s">
        <v>438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78"/>
      <c r="AS165" s="77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78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ht="13.5" customHeight="1" x14ac:dyDescent="0.15">
      <c r="B166" s="102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7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>
        <f>IF(G167&lt;&gt;"",SUBTOTAL(3,$G$5:G167),"")</f>
        <v>51</v>
      </c>
      <c r="C167" s="75"/>
      <c r="D167" s="75"/>
      <c r="E167" s="76" t="s">
        <v>139</v>
      </c>
      <c r="F167" s="76" t="s">
        <v>135</v>
      </c>
      <c r="G167" s="74" t="s">
        <v>176</v>
      </c>
      <c r="H167" s="61">
        <v>43955</v>
      </c>
      <c r="I167" s="62">
        <v>1</v>
      </c>
      <c r="J167" s="79" t="s">
        <v>316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261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317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318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265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319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320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321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 t="s">
        <v>322</v>
      </c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x14ac:dyDescent="0.15">
      <c r="B176" s="75" t="str">
        <f>IF(G176&lt;&gt;"",SUBTOTAL(3,$G$5:G176),"")</f>
        <v/>
      </c>
      <c r="C176" s="75"/>
      <c r="D176" s="75"/>
      <c r="E176" s="76"/>
      <c r="F176" s="76"/>
      <c r="G176" s="74"/>
      <c r="H176" s="61"/>
      <c r="I176" s="70">
        <v>1</v>
      </c>
      <c r="J176" s="79" t="s">
        <v>323</v>
      </c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1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9" t="s">
        <v>271</v>
      </c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1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 t="str">
        <f>IF(G178&lt;&gt;"",SUBTOTAL(3,$G$5:G178),"")</f>
        <v/>
      </c>
      <c r="C178" s="75"/>
      <c r="D178" s="75"/>
      <c r="E178" s="76"/>
      <c r="F178" s="76"/>
      <c r="G178" s="74"/>
      <c r="H178" s="61"/>
      <c r="I178" s="70">
        <v>1</v>
      </c>
      <c r="J178" s="79" t="s">
        <v>324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/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75">
        <f>IF(G180&lt;&gt;"",SUBTOTAL(3,$G$5:G180),"")</f>
        <v>52</v>
      </c>
      <c r="C180" s="75"/>
      <c r="D180" s="75"/>
      <c r="E180" s="76" t="s">
        <v>139</v>
      </c>
      <c r="F180" s="76" t="s">
        <v>135</v>
      </c>
      <c r="G180" s="74" t="s">
        <v>177</v>
      </c>
      <c r="H180" s="61">
        <v>43967</v>
      </c>
      <c r="I180" s="103">
        <v>1</v>
      </c>
      <c r="J180" s="77" t="s">
        <v>425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102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7" t="s">
        <v>426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ht="13.5" customHeight="1" x14ac:dyDescent="0.15">
      <c r="B182" s="75">
        <f>IF(G182&lt;&gt;"",SUBTOTAL(3,$G$5:G182),"")</f>
        <v>53</v>
      </c>
      <c r="C182" s="75"/>
      <c r="D182" s="75"/>
      <c r="E182" s="76" t="s">
        <v>139</v>
      </c>
      <c r="F182" s="76" t="s">
        <v>135</v>
      </c>
      <c r="G182" s="74" t="s">
        <v>178</v>
      </c>
      <c r="H182" s="61">
        <v>43870</v>
      </c>
      <c r="I182" s="62">
        <v>1</v>
      </c>
      <c r="J182" s="77" t="s">
        <v>422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68"/>
      <c r="J183" s="77" t="s">
        <v>423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102" t="str">
        <f>IF(G184&lt;&gt;"",SUBTOTAL(3,$G$5:G184),"")</f>
        <v/>
      </c>
      <c r="C184" s="75"/>
      <c r="D184" s="75"/>
      <c r="E184" s="76"/>
      <c r="F184" s="76"/>
      <c r="G184" s="74"/>
      <c r="H184" s="61"/>
      <c r="I184" s="68"/>
      <c r="J184" s="77" t="s">
        <v>424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102" t="str">
        <f>IF(G185&lt;&gt;"",SUBTOTAL(3,$G$5:G185),"")</f>
        <v/>
      </c>
      <c r="C185" s="75"/>
      <c r="D185" s="75"/>
      <c r="E185" s="76"/>
      <c r="F185" s="76"/>
      <c r="G185" s="74"/>
      <c r="H185" s="61"/>
      <c r="I185" s="68"/>
      <c r="J185" s="77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>
        <f>IF(G186&lt;&gt;"",SUBTOTAL(3,$G$5:G186),"")</f>
        <v>54</v>
      </c>
      <c r="C186" s="75"/>
      <c r="D186" s="75"/>
      <c r="E186" s="76" t="s">
        <v>139</v>
      </c>
      <c r="F186" s="76" t="s">
        <v>135</v>
      </c>
      <c r="G186" s="74" t="s">
        <v>179</v>
      </c>
      <c r="H186" s="61">
        <v>43869</v>
      </c>
      <c r="I186" s="62">
        <v>1</v>
      </c>
      <c r="J186" s="77" t="s">
        <v>439</v>
      </c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102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7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>
        <f>IF(G188&lt;&gt;"",SUBTOTAL(3,$G$5:G188),"")</f>
        <v>55</v>
      </c>
      <c r="C188" s="75"/>
      <c r="D188" s="75"/>
      <c r="E188" s="76" t="s">
        <v>139</v>
      </c>
      <c r="F188" s="76" t="s">
        <v>135</v>
      </c>
      <c r="G188" s="74" t="s">
        <v>89</v>
      </c>
      <c r="H188" s="61">
        <v>43961</v>
      </c>
      <c r="I188" s="62">
        <v>1</v>
      </c>
      <c r="J188" s="79" t="s">
        <v>325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261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326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327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265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319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 t="s">
        <v>328</v>
      </c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x14ac:dyDescent="0.15">
      <c r="B195" s="75" t="str">
        <f>IF(G195&lt;&gt;"",SUBTOTAL(3,$G$5:G195),"")</f>
        <v/>
      </c>
      <c r="C195" s="75"/>
      <c r="D195" s="75"/>
      <c r="E195" s="76"/>
      <c r="F195" s="76"/>
      <c r="G195" s="74"/>
      <c r="H195" s="61"/>
      <c r="I195" s="70">
        <v>1</v>
      </c>
      <c r="J195" s="79" t="s">
        <v>329</v>
      </c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1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x14ac:dyDescent="0.15">
      <c r="B196" s="75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9" t="s">
        <v>322</v>
      </c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1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x14ac:dyDescent="0.15">
      <c r="B197" s="75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9" t="s">
        <v>271</v>
      </c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0"/>
      <c r="AO197" s="80"/>
      <c r="AP197" s="80"/>
      <c r="AQ197" s="80"/>
      <c r="AR197" s="81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x14ac:dyDescent="0.15">
      <c r="B198" s="75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9"/>
      <c r="K198" s="80"/>
      <c r="L198" s="80"/>
      <c r="M198" s="80"/>
      <c r="N198" s="80"/>
      <c r="O198" s="80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1"/>
      <c r="AS198" s="63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5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56</v>
      </c>
      <c r="C199" s="75"/>
      <c r="D199" s="75"/>
      <c r="E199" s="76" t="s">
        <v>139</v>
      </c>
      <c r="F199" s="76" t="s">
        <v>135</v>
      </c>
      <c r="G199" s="74" t="s">
        <v>180</v>
      </c>
      <c r="H199" s="61">
        <v>43961</v>
      </c>
      <c r="I199" s="62">
        <v>1</v>
      </c>
      <c r="J199" s="77" t="s">
        <v>472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82" t="s">
        <v>13</v>
      </c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102" t="str">
        <f>IF(G200&lt;&gt;"",SUBTOTAL(3,$G$5:G200),"")</f>
        <v/>
      </c>
      <c r="C200" s="75"/>
      <c r="D200" s="75"/>
      <c r="E200" s="76"/>
      <c r="F200" s="76"/>
      <c r="G200" s="74"/>
      <c r="H200" s="61"/>
      <c r="I200" s="70">
        <v>1</v>
      </c>
      <c r="J200" s="77" t="s">
        <v>473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82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102" t="str">
        <f>IF(G201&lt;&gt;"",SUBTOTAL(3,$G$5:G201),"")</f>
        <v/>
      </c>
      <c r="C201" s="75"/>
      <c r="D201" s="75"/>
      <c r="E201" s="76"/>
      <c r="F201" s="76"/>
      <c r="G201" s="74"/>
      <c r="H201" s="61"/>
      <c r="I201" s="70">
        <v>1</v>
      </c>
      <c r="J201" s="77" t="s">
        <v>474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82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102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82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57</v>
      </c>
      <c r="C203" s="75"/>
      <c r="D203" s="75"/>
      <c r="E203" s="76" t="s">
        <v>139</v>
      </c>
      <c r="F203" s="76" t="s">
        <v>135</v>
      </c>
      <c r="G203" s="74" t="s">
        <v>181</v>
      </c>
      <c r="H203" s="61">
        <v>43995</v>
      </c>
      <c r="I203" s="62">
        <v>1</v>
      </c>
      <c r="J203" s="77" t="s">
        <v>440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102" t="str">
        <f>IF(G204&lt;&gt;"",SUBTOTAL(3,$G$5:G204),"")</f>
        <v/>
      </c>
      <c r="C204" s="75"/>
      <c r="D204" s="75"/>
      <c r="E204" s="76"/>
      <c r="F204" s="76"/>
      <c r="G204" s="74"/>
      <c r="H204" s="61"/>
      <c r="I204" s="70">
        <v>1</v>
      </c>
      <c r="J204" s="77" t="s">
        <v>441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442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58</v>
      </c>
      <c r="C207" s="75"/>
      <c r="D207" s="75"/>
      <c r="E207" s="76" t="s">
        <v>139</v>
      </c>
      <c r="F207" s="76" t="s">
        <v>135</v>
      </c>
      <c r="G207" s="74" t="s">
        <v>182</v>
      </c>
      <c r="H207" s="61">
        <v>43961</v>
      </c>
      <c r="I207" s="62"/>
      <c r="J207" s="77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75">
        <f>IF(G208&lt;&gt;"",SUBTOTAL(3,$G$5:G208),"")</f>
        <v>59</v>
      </c>
      <c r="C208" s="75"/>
      <c r="D208" s="75"/>
      <c r="E208" s="76" t="s">
        <v>139</v>
      </c>
      <c r="F208" s="76" t="s">
        <v>135</v>
      </c>
      <c r="G208" s="74" t="s">
        <v>183</v>
      </c>
      <c r="H208" s="61">
        <v>43961</v>
      </c>
      <c r="I208" s="62"/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IF(G209&lt;&gt;"",SUBTOTAL(3,$G$5:G209),"")</f>
        <v>60</v>
      </c>
      <c r="C209" s="75"/>
      <c r="D209" s="75"/>
      <c r="E209" s="76" t="s">
        <v>139</v>
      </c>
      <c r="F209" s="76" t="s">
        <v>135</v>
      </c>
      <c r="G209" s="74" t="s">
        <v>184</v>
      </c>
      <c r="H209" s="61">
        <v>43995</v>
      </c>
      <c r="I209" s="62"/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61</v>
      </c>
      <c r="C210" s="75"/>
      <c r="D210" s="75"/>
      <c r="E210" s="76" t="s">
        <v>139</v>
      </c>
      <c r="F210" s="76" t="s">
        <v>135</v>
      </c>
      <c r="G210" s="74" t="s">
        <v>185</v>
      </c>
      <c r="H210" s="61">
        <v>44006</v>
      </c>
      <c r="I210" s="62"/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82" t="s">
        <v>13</v>
      </c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75">
        <f>IF(G211&lt;&gt;"",SUBTOTAL(3,$G$5:G211),"")</f>
        <v>62</v>
      </c>
      <c r="C211" s="75"/>
      <c r="D211" s="75"/>
      <c r="E211" s="76" t="s">
        <v>139</v>
      </c>
      <c r="F211" s="76" t="s">
        <v>135</v>
      </c>
      <c r="G211" s="74" t="s">
        <v>15</v>
      </c>
      <c r="H211" s="61">
        <v>43995</v>
      </c>
      <c r="I211" s="62">
        <v>1</v>
      </c>
      <c r="J211" s="77" t="s">
        <v>427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82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428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82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82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IF(G214&lt;&gt;"",SUBTOTAL(3,$G$5:G214),"")</f>
        <v>63</v>
      </c>
      <c r="C214" s="75"/>
      <c r="D214" s="75"/>
      <c r="E214" s="76" t="s">
        <v>139</v>
      </c>
      <c r="F214" s="76" t="s">
        <v>135</v>
      </c>
      <c r="G214" s="74" t="s">
        <v>186</v>
      </c>
      <c r="H214" s="61">
        <v>43871</v>
      </c>
      <c r="I214" s="62">
        <v>1</v>
      </c>
      <c r="J214" s="77" t="s">
        <v>435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82" t="s">
        <v>13</v>
      </c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102" t="str">
        <f>IF(G215&lt;&gt;"",SUBTOTAL(3,$G$5:G215),"")</f>
        <v/>
      </c>
      <c r="C215" s="75"/>
      <c r="D215" s="75"/>
      <c r="E215" s="76"/>
      <c r="F215" s="76"/>
      <c r="G215" s="74"/>
      <c r="H215" s="61"/>
      <c r="I215" s="70">
        <v>1</v>
      </c>
      <c r="J215" s="77" t="s">
        <v>436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82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70">
        <v>1</v>
      </c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82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IF(G217&lt;&gt;"",SUBTOTAL(3,$G$5:G217),"")</f>
        <v>64</v>
      </c>
      <c r="C217" s="75"/>
      <c r="D217" s="75"/>
      <c r="E217" s="76" t="s">
        <v>139</v>
      </c>
      <c r="F217" s="76" t="s">
        <v>135</v>
      </c>
      <c r="G217" s="74" t="s">
        <v>187</v>
      </c>
      <c r="H217" s="61">
        <v>43936</v>
      </c>
      <c r="I217" s="62">
        <v>1</v>
      </c>
      <c r="J217" s="77" t="s">
        <v>431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102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432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102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433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 t="s">
        <v>434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102" t="str">
        <f>IF(G221&lt;&gt;"",SUBTOTAL(3,$G$5:G221),"")</f>
        <v/>
      </c>
      <c r="C221" s="75"/>
      <c r="D221" s="75"/>
      <c r="E221" s="76"/>
      <c r="F221" s="76"/>
      <c r="G221" s="74"/>
      <c r="H221" s="61"/>
      <c r="I221" s="70">
        <v>1</v>
      </c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65</v>
      </c>
      <c r="C222" s="75"/>
      <c r="D222" s="75"/>
      <c r="E222" s="76" t="s">
        <v>139</v>
      </c>
      <c r="F222" s="76" t="s">
        <v>135</v>
      </c>
      <c r="G222" s="74" t="s">
        <v>188</v>
      </c>
      <c r="H222" s="61">
        <v>43935</v>
      </c>
      <c r="I222" s="62">
        <v>1</v>
      </c>
      <c r="J222" s="77" t="s">
        <v>430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102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429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102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IF(G225&lt;&gt;"",SUBTOTAL(3,$G$5:G225),"")</f>
        <v>66</v>
      </c>
      <c r="C225" s="75"/>
      <c r="D225" s="75"/>
      <c r="E225" s="76" t="s">
        <v>139</v>
      </c>
      <c r="F225" s="76" t="s">
        <v>135</v>
      </c>
      <c r="G225" s="74" t="s">
        <v>189</v>
      </c>
      <c r="H225" s="61">
        <v>43919</v>
      </c>
      <c r="I225" s="62"/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IF(G226&lt;&gt;"",SUBTOTAL(3,$G$5:G226),"")</f>
        <v>67</v>
      </c>
      <c r="C226" s="75"/>
      <c r="D226" s="75"/>
      <c r="E226" s="76" t="s">
        <v>139</v>
      </c>
      <c r="F226" s="76" t="s">
        <v>135</v>
      </c>
      <c r="G226" s="74" t="s">
        <v>190</v>
      </c>
      <c r="H226" s="61">
        <v>43995</v>
      </c>
      <c r="I226" s="62">
        <v>1</v>
      </c>
      <c r="J226" s="77" t="s">
        <v>443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102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IF(G228&lt;&gt;"",SUBTOTAL(3,$G$5:G228),"")</f>
        <v>68</v>
      </c>
      <c r="C228" s="75"/>
      <c r="D228" s="75"/>
      <c r="E228" s="76" t="s">
        <v>139</v>
      </c>
      <c r="F228" s="76" t="s">
        <v>135</v>
      </c>
      <c r="G228" s="74" t="s">
        <v>191</v>
      </c>
      <c r="H228" s="61">
        <v>43975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69</v>
      </c>
      <c r="C229" s="75"/>
      <c r="D229" s="75"/>
      <c r="E229" s="76" t="s">
        <v>139</v>
      </c>
      <c r="F229" s="76" t="s">
        <v>135</v>
      </c>
      <c r="G229" s="74" t="s">
        <v>192</v>
      </c>
      <c r="H229" s="61">
        <v>43975</v>
      </c>
      <c r="I229" s="62"/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IF(G230&lt;&gt;"",SUBTOTAL(3,$G$5:G230),"")</f>
        <v>70</v>
      </c>
      <c r="C230" s="75"/>
      <c r="D230" s="75"/>
      <c r="E230" s="76" t="s">
        <v>139</v>
      </c>
      <c r="F230" s="76" t="s">
        <v>135</v>
      </c>
      <c r="G230" s="74" t="s">
        <v>193</v>
      </c>
      <c r="H230" s="61">
        <v>43975</v>
      </c>
      <c r="I230" s="62"/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71</v>
      </c>
      <c r="C231" s="75"/>
      <c r="D231" s="75"/>
      <c r="E231" s="76" t="s">
        <v>139</v>
      </c>
      <c r="F231" s="76" t="s">
        <v>135</v>
      </c>
      <c r="G231" s="74" t="s">
        <v>194</v>
      </c>
      <c r="H231" s="61">
        <v>43975</v>
      </c>
      <c r="I231" s="62">
        <v>1</v>
      </c>
      <c r="J231" s="77" t="s">
        <v>444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102" t="str">
        <f>IF(G232&lt;&gt;"",SUBTOTAL(3,$G$5:G232),"")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445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102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IF(G234&lt;&gt;"",SUBTOTAL(3,$G$5:G234),"")</f>
        <v>72</v>
      </c>
      <c r="C234" s="75"/>
      <c r="D234" s="75"/>
      <c r="E234" s="76" t="s">
        <v>139</v>
      </c>
      <c r="F234" s="76" t="s">
        <v>135</v>
      </c>
      <c r="G234" s="74" t="s">
        <v>195</v>
      </c>
      <c r="H234" s="61">
        <v>43977</v>
      </c>
      <c r="I234" s="62">
        <v>1</v>
      </c>
      <c r="J234" s="77" t="s">
        <v>446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102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73</v>
      </c>
      <c r="C236" s="75"/>
      <c r="D236" s="75"/>
      <c r="E236" s="76" t="s">
        <v>139</v>
      </c>
      <c r="F236" s="76" t="s">
        <v>135</v>
      </c>
      <c r="G236" s="74" t="s">
        <v>196</v>
      </c>
      <c r="H236" s="61">
        <v>43977</v>
      </c>
      <c r="I236" s="62">
        <v>1</v>
      </c>
      <c r="J236" s="77" t="s">
        <v>447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102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74</v>
      </c>
      <c r="C238" s="75"/>
      <c r="D238" s="75"/>
      <c r="E238" s="76" t="s">
        <v>139</v>
      </c>
      <c r="F238" s="76" t="s">
        <v>135</v>
      </c>
      <c r="G238" s="74" t="s">
        <v>197</v>
      </c>
      <c r="H238" s="61">
        <v>43977</v>
      </c>
      <c r="I238" s="62"/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75">
        <f>IF(G239&lt;&gt;"",SUBTOTAL(3,$G$5:G239),"")</f>
        <v>75</v>
      </c>
      <c r="C239" s="75"/>
      <c r="D239" s="75"/>
      <c r="E239" s="76" t="s">
        <v>139</v>
      </c>
      <c r="F239" s="76" t="s">
        <v>135</v>
      </c>
      <c r="G239" s="74" t="s">
        <v>198</v>
      </c>
      <c r="H239" s="61">
        <v>43995</v>
      </c>
      <c r="I239" s="62">
        <v>1</v>
      </c>
      <c r="J239" s="77" t="s">
        <v>451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102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452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102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453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102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IF(G243&lt;&gt;"",SUBTOTAL(3,$G$5:G243),"")</f>
        <v>76</v>
      </c>
      <c r="C243" s="75"/>
      <c r="D243" s="75"/>
      <c r="E243" s="76" t="s">
        <v>139</v>
      </c>
      <c r="F243" s="76" t="s">
        <v>135</v>
      </c>
      <c r="G243" s="74" t="s">
        <v>199</v>
      </c>
      <c r="H243" s="61">
        <v>43982</v>
      </c>
      <c r="I243" s="62">
        <v>1</v>
      </c>
      <c r="J243" s="77" t="s">
        <v>454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102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77</v>
      </c>
      <c r="C245" s="75"/>
      <c r="D245" s="75"/>
      <c r="E245" s="76" t="s">
        <v>139</v>
      </c>
      <c r="F245" s="76" t="s">
        <v>135</v>
      </c>
      <c r="G245" s="74" t="s">
        <v>200</v>
      </c>
      <c r="H245" s="61">
        <v>43989</v>
      </c>
      <c r="I245" s="62">
        <v>1</v>
      </c>
      <c r="J245" s="77" t="s">
        <v>455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102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IF(G247&lt;&gt;"",SUBTOTAL(3,$G$5:G247),"")</f>
        <v>78</v>
      </c>
      <c r="C247" s="75"/>
      <c r="D247" s="75"/>
      <c r="E247" s="76" t="s">
        <v>139</v>
      </c>
      <c r="F247" s="76" t="s">
        <v>135</v>
      </c>
      <c r="G247" s="74" t="s">
        <v>201</v>
      </c>
      <c r="H247" s="61">
        <v>43989</v>
      </c>
      <c r="I247" s="62">
        <v>0.5</v>
      </c>
      <c r="J247" s="77" t="s">
        <v>457</v>
      </c>
      <c r="K247" s="104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102" t="str">
        <f>IF(G248&lt;&gt;"",SUBTOTAL(3,$G$5:G248),"")</f>
        <v/>
      </c>
      <c r="C248" s="75"/>
      <c r="D248" s="75"/>
      <c r="E248" s="76"/>
      <c r="F248" s="76"/>
      <c r="G248" s="74"/>
      <c r="H248" s="61"/>
      <c r="I248" s="68">
        <v>0.5</v>
      </c>
      <c r="J248" s="77" t="s">
        <v>456</v>
      </c>
      <c r="K248" s="104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102" t="str">
        <f>IF(G249&lt;&gt;"",SUBTOTAL(3,$G$5:G249),"")</f>
        <v/>
      </c>
      <c r="C249" s="75"/>
      <c r="D249" s="75"/>
      <c r="E249" s="76"/>
      <c r="F249" s="76"/>
      <c r="G249" s="74"/>
      <c r="H249" s="61"/>
      <c r="I249" s="68">
        <v>0.5</v>
      </c>
      <c r="J249" s="77" t="s">
        <v>458</v>
      </c>
      <c r="K249" s="104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102" t="str">
        <f>IF(G250&lt;&gt;"",SUBTOTAL(3,$G$5:G250),"")</f>
        <v/>
      </c>
      <c r="C250" s="75"/>
      <c r="D250" s="75"/>
      <c r="E250" s="76"/>
      <c r="F250" s="76"/>
      <c r="G250" s="74"/>
      <c r="H250" s="61"/>
      <c r="I250" s="68">
        <v>0.5</v>
      </c>
      <c r="J250" s="77" t="s">
        <v>459</v>
      </c>
      <c r="K250" s="104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102" t="str">
        <f>IF(G251&lt;&gt;"",SUBTOTAL(3,$G$5:G251),"")</f>
        <v/>
      </c>
      <c r="C251" s="75"/>
      <c r="D251" s="75"/>
      <c r="E251" s="76"/>
      <c r="F251" s="76"/>
      <c r="G251" s="74"/>
      <c r="H251" s="61"/>
      <c r="I251" s="68">
        <v>0.5</v>
      </c>
      <c r="J251" s="77"/>
      <c r="K251" s="104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75">
        <f>IF(G252&lt;&gt;"",SUBTOTAL(3,$G$5:G252),"")</f>
        <v>79</v>
      </c>
      <c r="C252" s="75"/>
      <c r="D252" s="75"/>
      <c r="E252" s="76" t="s">
        <v>139</v>
      </c>
      <c r="F252" s="76" t="s">
        <v>135</v>
      </c>
      <c r="G252" s="74" t="s">
        <v>202</v>
      </c>
      <c r="H252" s="61">
        <v>43991</v>
      </c>
      <c r="I252" s="62">
        <v>1</v>
      </c>
      <c r="J252" s="77" t="s">
        <v>460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102" t="str">
        <f>IF(G253&lt;&gt;"",SUBTOTAL(3,$G$5:G253),"")</f>
        <v/>
      </c>
      <c r="C253" s="75"/>
      <c r="D253" s="75"/>
      <c r="E253" s="76"/>
      <c r="F253" s="76"/>
      <c r="G253" s="74"/>
      <c r="H253" s="61"/>
      <c r="I253" s="70">
        <v>1</v>
      </c>
      <c r="J253" s="77" t="s">
        <v>461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102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462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102" t="str">
        <f>IF(G255&lt;&gt;"",SUBTOTAL(3,$G$5:G255),"")</f>
        <v/>
      </c>
      <c r="C255" s="75"/>
      <c r="D255" s="75"/>
      <c r="E255" s="76"/>
      <c r="F255" s="76"/>
      <c r="G255" s="74"/>
      <c r="H255" s="61"/>
      <c r="I255" s="70">
        <v>1</v>
      </c>
      <c r="J255" s="77" t="s">
        <v>463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102" t="str">
        <f>IF(G256&lt;&gt;"",SUBTOTAL(3,$G$5:G256),"")</f>
        <v/>
      </c>
      <c r="C256" s="75"/>
      <c r="D256" s="75"/>
      <c r="E256" s="76"/>
      <c r="F256" s="76"/>
      <c r="G256" s="74"/>
      <c r="H256" s="61"/>
      <c r="I256" s="70">
        <v>1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75">
        <f>IF(G257&lt;&gt;"",SUBTOTAL(3,$G$5:G257),"")</f>
        <v>80</v>
      </c>
      <c r="C257" s="75"/>
      <c r="D257" s="75"/>
      <c r="E257" s="76" t="s">
        <v>139</v>
      </c>
      <c r="F257" s="76" t="s">
        <v>135</v>
      </c>
      <c r="G257" s="74" t="s">
        <v>203</v>
      </c>
      <c r="H257" s="61">
        <v>43991</v>
      </c>
      <c r="I257" s="62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IF(G258&lt;&gt;"",SUBTOTAL(3,$G$5:G258),"")</f>
        <v>81</v>
      </c>
      <c r="C258" s="75"/>
      <c r="D258" s="75"/>
      <c r="E258" s="76" t="s">
        <v>139</v>
      </c>
      <c r="F258" s="76" t="s">
        <v>135</v>
      </c>
      <c r="G258" s="74" t="s">
        <v>464</v>
      </c>
      <c r="H258" s="61">
        <v>43992</v>
      </c>
      <c r="I258" s="62">
        <v>0.8</v>
      </c>
      <c r="J258" s="77" t="s">
        <v>466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102" t="str">
        <f>IF(G259&lt;&gt;"",SUBTOTAL(3,$G$5:G259),"")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465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102" t="str">
        <f>IF(G260&lt;&gt;"",SUBTOTAL(3,$G$5:G260),"")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467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102" t="str">
        <f>IF(G261&lt;&gt;"",SUBTOTAL(3,$G$5:G261),"")</f>
        <v/>
      </c>
      <c r="C261" s="75"/>
      <c r="D261" s="75"/>
      <c r="E261" s="76"/>
      <c r="F261" s="76"/>
      <c r="G261" s="74"/>
      <c r="H261" s="61"/>
      <c r="I261" s="68">
        <v>0.8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>
        <f>IF(G262&lt;&gt;"",SUBTOTAL(3,$G$5:G262),"")</f>
        <v>82</v>
      </c>
      <c r="C262" s="75"/>
      <c r="D262" s="75"/>
      <c r="E262" s="76" t="s">
        <v>139</v>
      </c>
      <c r="F262" s="76" t="s">
        <v>135</v>
      </c>
      <c r="G262" s="74" t="s">
        <v>204</v>
      </c>
      <c r="H262" s="61">
        <v>43994</v>
      </c>
      <c r="I262" s="62">
        <v>0.8</v>
      </c>
      <c r="J262" s="77" t="s">
        <v>330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4"/>
      <c r="H263" s="61"/>
      <c r="I263" s="68">
        <v>0.8</v>
      </c>
      <c r="J263" s="77" t="s">
        <v>331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4"/>
      <c r="H264" s="61"/>
      <c r="I264" s="68">
        <v>0.8</v>
      </c>
      <c r="J264" s="77" t="s">
        <v>332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4"/>
      <c r="H265" s="61"/>
      <c r="I265" s="68">
        <v>0.8</v>
      </c>
      <c r="J265" s="77" t="s">
        <v>333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4"/>
      <c r="H266" s="61"/>
      <c r="I266" s="68">
        <v>0.8</v>
      </c>
      <c r="J266" s="77" t="s">
        <v>334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4"/>
      <c r="H267" s="61"/>
      <c r="I267" s="68">
        <v>0.8</v>
      </c>
      <c r="J267" s="77" t="s">
        <v>335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4"/>
      <c r="H268" s="61"/>
      <c r="I268" s="68">
        <v>0.8</v>
      </c>
      <c r="J268" s="77" t="s">
        <v>336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4"/>
      <c r="H269" s="61"/>
      <c r="I269" s="68">
        <v>0.8</v>
      </c>
      <c r="J269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4"/>
      <c r="H270" s="61"/>
      <c r="I270" s="68">
        <v>0.8</v>
      </c>
      <c r="J270" s="37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9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75">
        <f>IF(G271&lt;&gt;"",SUBTOTAL(3,$G$5:G271),"")</f>
        <v>83</v>
      </c>
      <c r="C271" s="75"/>
      <c r="D271" s="75"/>
      <c r="E271" s="76" t="s">
        <v>139</v>
      </c>
      <c r="F271" s="76" t="s">
        <v>135</v>
      </c>
      <c r="G271" s="74" t="s">
        <v>205</v>
      </c>
      <c r="H271" s="61">
        <v>43995</v>
      </c>
      <c r="I271" s="62"/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>
        <f>IF(G272&lt;&gt;"",SUBTOTAL(3,$G$5:G272),"")</f>
        <v>84</v>
      </c>
      <c r="C272" s="75"/>
      <c r="D272" s="75"/>
      <c r="E272" s="76" t="s">
        <v>139</v>
      </c>
      <c r="F272" s="76" t="s">
        <v>135</v>
      </c>
      <c r="G272" s="74" t="s">
        <v>206</v>
      </c>
      <c r="H272" s="61">
        <v>43997</v>
      </c>
      <c r="I272" s="62">
        <v>1</v>
      </c>
      <c r="J272" s="77" t="s">
        <v>403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338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4"/>
      <c r="H273" s="61"/>
      <c r="I273" s="70">
        <v>1</v>
      </c>
      <c r="J273" s="77" t="s">
        <v>402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 t="s">
        <v>404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4"/>
      <c r="H274" s="61"/>
      <c r="I274" s="70">
        <v>1</v>
      </c>
      <c r="J274" s="77" t="s">
        <v>337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 t="s">
        <v>405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IF(G275&lt;&gt;"",SUBTOTAL(3,$G$5:G275),"")</f>
        <v>85</v>
      </c>
      <c r="C275" s="75"/>
      <c r="D275" s="75"/>
      <c r="E275" s="76" t="s">
        <v>139</v>
      </c>
      <c r="F275" s="76" t="s">
        <v>135</v>
      </c>
      <c r="G275" s="74" t="s">
        <v>207</v>
      </c>
      <c r="H275" s="61">
        <v>44004</v>
      </c>
      <c r="I275" s="62"/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>
        <f>IF(G276&lt;&gt;"",SUBTOTAL(3,$G$5:G276),"")</f>
        <v>86</v>
      </c>
      <c r="C276" s="75"/>
      <c r="D276" s="75"/>
      <c r="E276" s="76" t="s">
        <v>139</v>
      </c>
      <c r="F276" s="76" t="s">
        <v>142</v>
      </c>
      <c r="G276" s="76" t="s">
        <v>208</v>
      </c>
      <c r="H276" s="61">
        <v>44030</v>
      </c>
      <c r="I276" s="62">
        <v>1</v>
      </c>
      <c r="J276" s="77" t="s">
        <v>339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 t="s">
        <v>406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77" t="s">
        <v>340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407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 t="s">
        <v>341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5.75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 t="s">
        <v>369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 t="s">
        <v>408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409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>
        <f>IF(G284&lt;&gt;"",SUBTOTAL(3,$G$5:G284),"")</f>
        <v>87</v>
      </c>
      <c r="C284" s="75"/>
      <c r="D284" s="75"/>
      <c r="E284" s="76" t="s">
        <v>139</v>
      </c>
      <c r="F284" s="76" t="s">
        <v>142</v>
      </c>
      <c r="G284" s="76" t="s">
        <v>215</v>
      </c>
      <c r="H284" s="61">
        <v>44052</v>
      </c>
      <c r="I284" s="62">
        <v>0.5</v>
      </c>
      <c r="J284" s="77" t="s">
        <v>342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 t="s">
        <v>411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102" t="str">
        <f>IF(G285&lt;&gt;"",SUBTOTAL(3,$G$5:G285),"")</f>
        <v/>
      </c>
      <c r="C285" s="75"/>
      <c r="D285" s="75"/>
      <c r="E285" s="76"/>
      <c r="F285" s="76"/>
      <c r="G285" s="76"/>
      <c r="H285" s="61"/>
      <c r="I285" s="68">
        <v>0.5</v>
      </c>
      <c r="J285" s="77" t="s">
        <v>370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 t="s">
        <v>410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102" t="str">
        <f>IF(G286&lt;&gt;"",SUBTOTAL(3,$G$5:G286),"")</f>
        <v/>
      </c>
      <c r="C286" s="75"/>
      <c r="D286" s="75"/>
      <c r="E286" s="76"/>
      <c r="F286" s="76"/>
      <c r="G286" s="76"/>
      <c r="H286" s="61"/>
      <c r="I286" s="68">
        <v>0.5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412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102" t="str">
        <f>IF(G287&lt;&gt;"",SUBTOTAL(3,$G$5:G287),"")</f>
        <v/>
      </c>
      <c r="C287" s="75"/>
      <c r="D287" s="75"/>
      <c r="E287" s="76"/>
      <c r="F287" s="76"/>
      <c r="G287" s="76"/>
      <c r="H287" s="61"/>
      <c r="I287" s="68">
        <v>0.5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413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102" t="str">
        <f>IF(G288&lt;&gt;"",SUBTOTAL(3,$G$5:G288),"")</f>
        <v/>
      </c>
      <c r="C288" s="75"/>
      <c r="D288" s="75"/>
      <c r="E288" s="76"/>
      <c r="F288" s="76"/>
      <c r="G288" s="76"/>
      <c r="H288" s="61"/>
      <c r="I288" s="68">
        <v>0.5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415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68">
        <v>0.5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414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68">
        <v>0.5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416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68">
        <v>0.5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68">
        <v>0.5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75">
        <f>IF(G293&lt;&gt;"",SUBTOTAL(3,$G$5:G293),"")</f>
        <v>88</v>
      </c>
      <c r="C293" s="75"/>
      <c r="D293" s="75"/>
      <c r="E293" s="76" t="s">
        <v>139</v>
      </c>
      <c r="F293" s="76" t="s">
        <v>142</v>
      </c>
      <c r="G293" s="76" t="s">
        <v>222</v>
      </c>
      <c r="H293" s="61">
        <v>44062</v>
      </c>
      <c r="I293" s="62">
        <v>1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75">
        <f>IF(G294&lt;&gt;"",SUBTOTAL(3,$G$5:G294),"")</f>
        <v>89</v>
      </c>
      <c r="C294" s="75"/>
      <c r="D294" s="75"/>
      <c r="E294" s="76" t="s">
        <v>139</v>
      </c>
      <c r="F294" s="76" t="s">
        <v>142</v>
      </c>
      <c r="G294" s="76" t="s">
        <v>223</v>
      </c>
      <c r="H294" s="61">
        <v>44071</v>
      </c>
      <c r="I294" s="62">
        <v>1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>
        <f>IF(G295&lt;&gt;"",SUBTOTAL(3,$G$5:G295),"")</f>
        <v>90</v>
      </c>
      <c r="C295" s="75"/>
      <c r="D295" s="75"/>
      <c r="E295" s="76" t="s">
        <v>139</v>
      </c>
      <c r="F295" s="76" t="s">
        <v>142</v>
      </c>
      <c r="G295" s="76" t="s">
        <v>227</v>
      </c>
      <c r="H295" s="61">
        <v>44073</v>
      </c>
      <c r="I295" s="62">
        <v>1</v>
      </c>
      <c r="J295" s="98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8" t="s">
        <v>353</v>
      </c>
      <c r="AT295" s="43" t="s">
        <v>354</v>
      </c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9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9" t="s">
        <v>343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99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99" t="s">
        <v>344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9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9" t="s">
        <v>345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9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9" t="s">
        <v>346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9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9" t="s">
        <v>358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99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99" t="s">
        <v>347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70">
        <v>1</v>
      </c>
      <c r="J302" s="99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99" t="s">
        <v>348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8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8" t="s">
        <v>353</v>
      </c>
      <c r="AT303" s="43" t="s">
        <v>355</v>
      </c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 t="s">
        <v>359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77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 t="s">
        <v>360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70">
        <v>1</v>
      </c>
      <c r="J306" s="99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99" t="s">
        <v>343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70">
        <v>1</v>
      </c>
      <c r="J307" s="99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99" t="s">
        <v>344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70">
        <v>1</v>
      </c>
      <c r="J308" s="99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99" t="s">
        <v>345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70">
        <v>1</v>
      </c>
      <c r="J309" s="99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9" t="s">
        <v>346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70">
        <v>1</v>
      </c>
      <c r="J310" s="99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9" t="s">
        <v>361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70">
        <v>1</v>
      </c>
      <c r="J311" s="99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9" t="s">
        <v>349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70">
        <v>1</v>
      </c>
      <c r="J312" s="99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9" t="s">
        <v>347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70">
        <v>1</v>
      </c>
      <c r="J313" s="99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9" t="s">
        <v>348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70">
        <v>1</v>
      </c>
      <c r="J314" s="98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8" t="s">
        <v>356</v>
      </c>
      <c r="AT314" s="43" t="s">
        <v>357</v>
      </c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70">
        <v>1</v>
      </c>
      <c r="J315" s="77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 t="s">
        <v>362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IF(G316&lt;&gt;"",SUBTOTAL(3,$G$5:G316),"")</f>
        <v/>
      </c>
      <c r="C316" s="75"/>
      <c r="D316" s="75"/>
      <c r="E316" s="76"/>
      <c r="F316" s="76"/>
      <c r="G316" s="76"/>
      <c r="H316" s="61"/>
      <c r="I316" s="70">
        <v>1</v>
      </c>
      <c r="J316" s="99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9" t="s">
        <v>343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IF(G317&lt;&gt;"",SUBTOTAL(3,$G$5:G317),"")</f>
        <v/>
      </c>
      <c r="C317" s="75"/>
      <c r="D317" s="75"/>
      <c r="E317" s="76"/>
      <c r="F317" s="76"/>
      <c r="G317" s="76"/>
      <c r="H317" s="61"/>
      <c r="I317" s="70">
        <v>1</v>
      </c>
      <c r="J317" s="99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9" t="s">
        <v>344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IF(G318&lt;&gt;"",SUBTOTAL(3,$G$5:G318),"")</f>
        <v/>
      </c>
      <c r="C318" s="75"/>
      <c r="D318" s="75"/>
      <c r="E318" s="76"/>
      <c r="F318" s="76"/>
      <c r="G318" s="76"/>
      <c r="H318" s="61"/>
      <c r="I318" s="70">
        <v>1</v>
      </c>
      <c r="J318" s="99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99" t="s">
        <v>345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IF(G319&lt;&gt;"",SUBTOTAL(3,$G$5:G319),"")</f>
        <v/>
      </c>
      <c r="C319" s="75"/>
      <c r="D319" s="75"/>
      <c r="E319" s="76"/>
      <c r="F319" s="76"/>
      <c r="G319" s="76"/>
      <c r="H319" s="61"/>
      <c r="I319" s="70">
        <v>1</v>
      </c>
      <c r="J319" s="99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99" t="s">
        <v>346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IF(G320&lt;&gt;"",SUBTOTAL(3,$G$5:G320),"")</f>
        <v/>
      </c>
      <c r="C320" s="75"/>
      <c r="D320" s="75"/>
      <c r="E320" s="76"/>
      <c r="F320" s="76"/>
      <c r="G320" s="76"/>
      <c r="H320" s="61"/>
      <c r="I320" s="70">
        <v>1</v>
      </c>
      <c r="J320" s="99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99" t="s">
        <v>350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IF(G321&lt;&gt;"",SUBTOTAL(3,$G$5:G321),"")</f>
        <v/>
      </c>
      <c r="C321" s="75"/>
      <c r="D321" s="75"/>
      <c r="E321" s="76"/>
      <c r="F321" s="76"/>
      <c r="G321" s="76"/>
      <c r="H321" s="61"/>
      <c r="I321" s="70">
        <v>1</v>
      </c>
      <c r="J321" s="99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9" t="s">
        <v>347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IF(G322&lt;&gt;"",SUBTOTAL(3,$G$5:G322),"")</f>
        <v/>
      </c>
      <c r="C322" s="75"/>
      <c r="D322" s="75"/>
      <c r="E322" s="76"/>
      <c r="F322" s="76"/>
      <c r="G322" s="76"/>
      <c r="H322" s="61"/>
      <c r="I322" s="70">
        <v>1</v>
      </c>
      <c r="J322" s="99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9" t="s">
        <v>348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IF(G323&lt;&gt;"",SUBTOTAL(3,$G$5:G323),"")</f>
        <v/>
      </c>
      <c r="C323" s="75"/>
      <c r="D323" s="75"/>
      <c r="E323" s="76"/>
      <c r="F323" s="76"/>
      <c r="G323" s="76"/>
      <c r="H323" s="61"/>
      <c r="I323" s="70">
        <v>1</v>
      </c>
      <c r="J323" s="77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4.25" customHeight="1" x14ac:dyDescent="0.15">
      <c r="B324" s="75">
        <f>IF(G324&lt;&gt;"",SUBTOTAL(3,$G$5:G324),"")</f>
        <v>91</v>
      </c>
      <c r="C324" s="75"/>
      <c r="D324" s="75"/>
      <c r="E324" s="76" t="s">
        <v>139</v>
      </c>
      <c r="F324" s="76" t="s">
        <v>142</v>
      </c>
      <c r="G324" s="76" t="s">
        <v>238</v>
      </c>
      <c r="H324" s="61">
        <v>44108</v>
      </c>
      <c r="I324" s="62">
        <v>0.5</v>
      </c>
      <c r="J324" s="77" t="s">
        <v>1</v>
      </c>
      <c r="K324" s="43" t="s">
        <v>352</v>
      </c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4.25" customHeight="1" x14ac:dyDescent="0.15">
      <c r="B325" s="75" t="str">
        <f>IF(G325&lt;&gt;"",SUBTOTAL(3,$G$5:G325),"")</f>
        <v/>
      </c>
      <c r="C325" s="75"/>
      <c r="D325" s="75"/>
      <c r="E325" s="76"/>
      <c r="F325" s="76"/>
      <c r="G325" s="76"/>
      <c r="H325" s="61"/>
      <c r="I325" s="68">
        <v>0.5</v>
      </c>
      <c r="J325" s="83"/>
      <c r="K325" s="84"/>
      <c r="L325" s="84"/>
      <c r="M325" s="84"/>
      <c r="N325" s="84"/>
      <c r="O325" s="84"/>
      <c r="P325" s="84"/>
      <c r="Q325" s="84"/>
      <c r="R325" s="85" t="s">
        <v>351</v>
      </c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6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4.25" customHeight="1" x14ac:dyDescent="0.15">
      <c r="B326" s="75" t="str">
        <f>IF(G326&lt;&gt;"",SUBTOTAL(3,$G$5:G326),"")</f>
        <v/>
      </c>
      <c r="C326" s="75"/>
      <c r="D326" s="75"/>
      <c r="E326" s="76"/>
      <c r="F326" s="76"/>
      <c r="G326" s="76"/>
      <c r="H326" s="61"/>
      <c r="I326" s="68">
        <v>0.5</v>
      </c>
      <c r="J326" s="87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  <c r="AL326" s="84"/>
      <c r="AM326" s="84"/>
      <c r="AN326" s="84"/>
      <c r="AO326" s="84"/>
      <c r="AP326" s="84"/>
      <c r="AQ326" s="84"/>
      <c r="AR326" s="86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4.25" customHeight="1" x14ac:dyDescent="0.15">
      <c r="B327" s="75" t="str">
        <f>IF(G327&lt;&gt;"",SUBTOTAL(3,$G$5:G327),"")</f>
        <v/>
      </c>
      <c r="C327" s="75"/>
      <c r="D327" s="75"/>
      <c r="E327" s="76"/>
      <c r="F327" s="76"/>
      <c r="G327" s="76"/>
      <c r="H327" s="61"/>
      <c r="I327" s="68">
        <v>0.5</v>
      </c>
      <c r="J327" s="83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6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4.25" customHeight="1" x14ac:dyDescent="0.15">
      <c r="B328" s="75" t="str">
        <f>IF(G328&lt;&gt;"",SUBTOTAL(3,$G$5:G328),"")</f>
        <v/>
      </c>
      <c r="C328" s="75"/>
      <c r="D328" s="75"/>
      <c r="E328" s="76"/>
      <c r="F328" s="76"/>
      <c r="G328" s="76"/>
      <c r="H328" s="61"/>
      <c r="I328" s="68">
        <v>0.5</v>
      </c>
      <c r="J328" s="83" t="s">
        <v>239</v>
      </c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6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4.25" customHeight="1" x14ac:dyDescent="0.15">
      <c r="B329" s="75" t="str">
        <f>IF(G329&lt;&gt;"",SUBTOTAL(3,$G$5:G329),"")</f>
        <v/>
      </c>
      <c r="C329" s="75"/>
      <c r="D329" s="75"/>
      <c r="E329" s="76"/>
      <c r="F329" s="76"/>
      <c r="G329" s="76"/>
      <c r="H329" s="61"/>
      <c r="I329" s="68">
        <v>0.5</v>
      </c>
      <c r="J329" s="83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6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4.25" customHeight="1" x14ac:dyDescent="0.15">
      <c r="B330" s="75" t="str">
        <f>IF(G330&lt;&gt;"",SUBTOTAL(3,$G$5:G330),"")</f>
        <v/>
      </c>
      <c r="C330" s="75"/>
      <c r="D330" s="75"/>
      <c r="E330" s="76"/>
      <c r="F330" s="76"/>
      <c r="G330" s="76"/>
      <c r="H330" s="61"/>
      <c r="I330" s="68">
        <v>0.5</v>
      </c>
      <c r="J330" s="83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6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4.25" customHeight="1" x14ac:dyDescent="0.15">
      <c r="B331" s="75" t="str">
        <f>IF(G331&lt;&gt;"",SUBTOTAL(3,$G$5:G331),"")</f>
        <v/>
      </c>
      <c r="C331" s="75"/>
      <c r="D331" s="75"/>
      <c r="E331" s="76"/>
      <c r="F331" s="76"/>
      <c r="G331" s="76"/>
      <c r="H331" s="61"/>
      <c r="I331" s="68">
        <v>0.5</v>
      </c>
      <c r="J331" s="83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6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4.25" customHeight="1" x14ac:dyDescent="0.15">
      <c r="B332" s="75" t="str">
        <f>IF(G332&lt;&gt;"",SUBTOTAL(3,$G$5:G332),"")</f>
        <v/>
      </c>
      <c r="C332" s="75"/>
      <c r="D332" s="75"/>
      <c r="E332" s="76"/>
      <c r="F332" s="76"/>
      <c r="G332" s="76"/>
      <c r="H332" s="61"/>
      <c r="I332" s="68">
        <v>0.5</v>
      </c>
      <c r="J332" s="83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6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75" t="str">
        <f>IF(G333&lt;&gt;"",SUBTOTAL(3,$G$5:G333),"")</f>
        <v/>
      </c>
      <c r="C333" s="75"/>
      <c r="D333" s="75"/>
      <c r="E333" s="76"/>
      <c r="F333" s="76"/>
      <c r="G333" s="76"/>
      <c r="H333" s="61"/>
      <c r="I333" s="62"/>
      <c r="J333" s="77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ht="13.5" customHeight="1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40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2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ht="13.5" customHeight="1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ht="15.75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40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2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9"/>
      <c r="CJ340" s="69"/>
      <c r="CK340" s="69"/>
      <c r="CL340" s="69"/>
      <c r="CM340" s="69"/>
      <c r="CN340" s="69"/>
      <c r="CO340" s="69"/>
      <c r="CP340" s="69"/>
      <c r="CQ340" s="69"/>
      <c r="CR340" s="69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9"/>
      <c r="DH340" s="69"/>
      <c r="DI340" s="69"/>
      <c r="DJ340" s="69"/>
      <c r="DK340" s="69"/>
      <c r="DL340" s="69"/>
      <c r="DM340" s="69"/>
      <c r="DN340" s="69"/>
      <c r="DO340" s="69"/>
      <c r="DP340" s="69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63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5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63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5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63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5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58" t="str">
        <f>IF(G345&lt;&gt;"",SUBTOTAL(3,$G$5:G345),"")</f>
        <v/>
      </c>
      <c r="C345" s="58"/>
      <c r="D345" s="58"/>
      <c r="E345" s="59"/>
      <c r="F345" s="59"/>
      <c r="G345" s="59"/>
      <c r="H345" s="61"/>
      <c r="I345" s="62"/>
      <c r="J345" s="63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5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x14ac:dyDescent="0.15">
      <c r="B346" s="58" t="str">
        <f>IF(G346&lt;&gt;"",SUBTOTAL(3,$G$5:G346),"")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IF(G347&lt;&gt;"",SUBTOTAL(3,$G$5:G347),"")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ht="15.75" x14ac:dyDescent="0.15">
      <c r="B348" s="58" t="str">
        <f>IF(G348&lt;&gt;"",SUBTOTAL(3,$G$5:G348),"")</f>
        <v/>
      </c>
      <c r="C348" s="58"/>
      <c r="D348" s="58"/>
      <c r="E348" s="59"/>
      <c r="F348" s="59"/>
      <c r="G348" s="59"/>
      <c r="H348" s="61"/>
      <c r="I348" s="62"/>
      <c r="J348" s="40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2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IF(G349&lt;&gt;"",SUBTOTAL(3,$G$5:G349),"")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IF(G350&lt;&gt;"",SUBTOTAL(3,$G$5:G350),"")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IF(G351&lt;&gt;"",SUBTOTAL(3,$G$5:G351),"")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IF(G352&lt;&gt;"",SUBTOTAL(3,$G$5:G352),"")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IF(G353&lt;&gt;"",SUBTOTAL(3,$G$5:G353),"")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IF(G354&lt;&gt;"",SUBTOTAL(3,$G$5:G354),"")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IF(G355&lt;&gt;"",SUBTOTAL(3,$G$5:G355),"")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IF(G356&lt;&gt;"",SUBTOTAL(3,$G$5:G356),"")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IF(G357&lt;&gt;"",SUBTOTAL(3,$G$5:G357),"")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IF(G358&lt;&gt;"",SUBTOTAL(3,$G$5:G358),"")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x14ac:dyDescent="0.15">
      <c r="B359" s="58" t="str">
        <f>IF(G359&lt;&gt;"",SUBTOTAL(3,$G$5:G359),"")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IF(G360&lt;&gt;"",SUBTOTAL(3,$G$5:G360),"")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IF(G361&lt;&gt;"",SUBTOTAL(3,$G$5:G361),"")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IF(G362&lt;&gt;"",SUBTOTAL(3,$G$5:G362),"")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88" t="str">
        <f>IF(G363&lt;&gt;"",SUBTOTAL(3,$G$5:G363),"")</f>
        <v/>
      </c>
      <c r="C363" s="88"/>
      <c r="D363" s="88"/>
      <c r="E363" s="89"/>
      <c r="F363" s="89"/>
      <c r="G363" s="89"/>
      <c r="H363" s="90"/>
      <c r="I363" s="91"/>
      <c r="J363" s="92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4"/>
      <c r="AS363" s="92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93"/>
      <c r="BG363" s="93"/>
      <c r="BH363" s="93"/>
      <c r="BI363" s="93"/>
      <c r="BJ363" s="93"/>
      <c r="BK363" s="93"/>
      <c r="BL363" s="93"/>
      <c r="BM363" s="93"/>
      <c r="BN363" s="93"/>
      <c r="BO363" s="93"/>
      <c r="BP363" s="93"/>
      <c r="BQ363" s="93"/>
      <c r="BR363" s="93"/>
      <c r="BS363" s="93"/>
      <c r="BT363" s="93"/>
      <c r="BU363" s="93"/>
      <c r="BV363" s="93"/>
      <c r="BW363" s="93"/>
      <c r="BX363" s="93"/>
      <c r="BY363" s="93"/>
      <c r="BZ363" s="93"/>
      <c r="CA363" s="94"/>
      <c r="CB363" s="95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34:I334 B348:I348 B340:I340 B42:D42 B49:H49 B58:H58 I144:I166 B144:H167 CB144:CB167 J144:AR167 B335:AR339 B349:AR363 B5:CB39 B329:AR333 B341:AR347 AS329:CB363 F42:CB42 B43:CB47 J48:CB49 B59:CB59 AS144:CA166 B168:CB179 K40:CB40 B41:CB41 K60:CB60 K269:CB269 B327:CB327 K326:CB326 K328:CB328 I167:CA167 K101:CB101 J57:CB58 B50:CB56 J61:CB63 B64:CB100 B102:CB143 B270:CB325 I180:I187 B180:H188 J180:CB188 B189:CB268">
    <cfRule type="expression" dxfId="25" priority="96">
      <formula>AND($I5&lt;&gt;1,$I5&lt;&gt;"")</formula>
    </cfRule>
  </conditionalFormatting>
  <conditionalFormatting sqref="I188:AR188">
    <cfRule type="expression" dxfId="24" priority="82">
      <formula>AND($I188&lt;&gt;1,$I188&lt;&gt;"")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69:I269">
    <cfRule type="expression" dxfId="8" priority="18">
      <formula>AND($I269&lt;&gt;1,$I269&lt;&gt;"")</formula>
    </cfRule>
  </conditionalFormatting>
  <conditionalFormatting sqref="J269">
    <cfRule type="expression" dxfId="7" priority="17">
      <formula>AND($I269&lt;&gt;1,$I269&lt;&gt;"")</formula>
    </cfRule>
  </conditionalFormatting>
  <conditionalFormatting sqref="B326:I326 B328:I328">
    <cfRule type="expression" dxfId="6" priority="10">
      <formula>AND($I326&lt;&gt;1,$I326&lt;&gt;"")</formula>
    </cfRule>
  </conditionalFormatting>
  <conditionalFormatting sqref="J328">
    <cfRule type="expression" dxfId="5" priority="9">
      <formula>AND($I328&lt;&gt;1,$I328&lt;&gt;"")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63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9" location="toABC143_C_Slimes" display="(→)" xr:uid="{D0A14FDC-339D-483C-A7FB-42784F1DB2F9}"/>
    <hyperlink ref="CB210" location="toABC147_C_Honest_or_Unkind2" display="(→)" xr:uid="{5E89EE6B-F278-4D19-9890-D06616736879}"/>
    <hyperlink ref="CB214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28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237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2020-10-19T11:43:08Z</dcterms:modified>
</cp:coreProperties>
</file>
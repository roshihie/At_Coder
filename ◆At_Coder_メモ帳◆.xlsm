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94DA366-79CE-4BED-8D86-1B3A17B81822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C問題!$B$4:$CC$798</definedName>
    <definedName name="_xlnm._FilterDatabase" localSheetId="1" hidden="1">競プロ典型90問!$B$4:$CC$207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" i="7" l="1"/>
  <c r="B11" i="7"/>
  <c r="B6" i="7"/>
  <c r="B207" i="7" l="1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7" i="3"/>
  <c r="B586" i="3"/>
  <c r="B585" i="3"/>
  <c r="B584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798" i="3"/>
  <c r="B797" i="3"/>
  <c r="B592" i="3"/>
  <c r="B591" i="3"/>
  <c r="B590" i="3"/>
  <c r="B589" i="3"/>
  <c r="B588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<sst xmlns="http://schemas.openxmlformats.org/spreadsheetml/2006/main" count="1158" uniqueCount="773">
  <si>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</si>
  <si>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</si>
  <si>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</si>
  <si>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</si>
  <si>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</si>
  <si>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</si>
  <si>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</si>
  <si>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</si>
  <si>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</si>
  <si>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</si>
  <si>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</si>
  <si>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</si>
  <si>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</si>
  <si>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</si>
  <si>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</si>
  <si>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</si>
  <si>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</si>
  <si>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</si>
  <si>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</si>
  <si>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</si>
  <si>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</si>
  <si>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</si>
  <si>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</si>
  <si>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</si>
  <si>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</si>
  <si>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</si>
  <si>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</si>
  <si>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</si>
  <si>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</si>
  <si>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</si>
  <si>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</si>
  <si>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</si>
  <si>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</si>
  <si>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</si>
  <si>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</si>
  <si>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</si>
  <si>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</si>
  <si>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</si>
  <si>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</si>
  <si>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</si>
  <si>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</si>
  <si>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</si>
  <si>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</si>
  <si>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</si>
  <si>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</si>
  <si>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</si>
  <si>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</si>
  <si>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</si>
  <si>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</si>
  <si>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</si>
  <si>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</si>
  <si>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</si>
  <si>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</si>
  <si>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</si>
  <si>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</si>
  <si>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</si>
  <si>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</si>
  <si>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</si>
  <si>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</si>
  <si>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</si>
  <si>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</si>
  <si>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</si>
  <si>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</si>
  <si>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</si>
  <si>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</si>
  <si>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</si>
  <si>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</si>
  <si>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</si>
  <si>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</si>
  <si>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</si>
  <si>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</si>
  <si>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</si>
  <si>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</si>
  <si>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</si>
  <si>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</si>
  <si>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</si>
  <si>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</si>
  <si>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</si>
  <si>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</si>
  <si>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</si>
  <si>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</si>
  <si>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</si>
  <si>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</si>
  <si>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</si>
  <si>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</si>
  <si>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</si>
  <si>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</si>
  <si>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</si>
  <si>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</si>
  <si>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</si>
  <si>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</si>
  <si>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</si>
  <si>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</si>
  <si>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</si>
  <si>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</si>
  <si>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</si>
  <si>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</si>
  <si>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</si>
  <si>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</si>
  <si>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</si>
  <si>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</si>
  <si>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</si>
  <si>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</si>
  <si>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</si>
  <si>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</si>
  <si>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</si>
  <si>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</si>
  <si>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</si>
  <si>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</si>
  <si>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</si>
  <si>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</si>
  <si>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</si>
  <si>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</si>
  <si>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</si>
  <si>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</si>
  <si>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</si>
  <si>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</si>
  <si>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</si>
  <si>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</si>
  <si>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</si>
  <si>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</si>
  <si>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</si>
  <si>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</si>
  <si>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</si>
  <si>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</si>
  <si>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</si>
  <si>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</si>
  <si>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</si>
  <si>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</si>
  <si>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</si>
  <si>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</si>
  <si>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</si>
  <si>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</si>
  <si>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</si>
  <si>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</si>
  <si>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</si>
  <si>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</si>
  <si>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</si>
  <si>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</si>
  <si>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</si>
  <si>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</si>
  <si>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</si>
  <si>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</si>
  <si>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</si>
  <si>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</si>
  <si>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</si>
  <si>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</si>
  <si>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</si>
  <si>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</si>
  <si>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</si>
  <si>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</si>
  <si>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</si>
  <si>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</si>
  <si>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</si>
  <si>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</si>
  <si>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</si>
  <si>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</si>
  <si>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</si>
  <si>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</si>
  <si>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</si>
  <si>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</si>
  <si>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</si>
  <si>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</si>
  <si>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</si>
  <si>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</si>
  <si>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</si>
  <si>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</si>
  <si>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</si>
  <si>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</si>
  <si>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</si>
  <si>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</si>
  <si>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</si>
  <si>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</si>
  <si>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</si>
  <si>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</si>
  <si>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</si>
  <si>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</si>
  <si>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</si>
  <si>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</si>
  <si>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</si>
  <si>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</si>
  <si>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</si>
  <si>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</si>
  <si>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</si>
  <si>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</si>
  <si>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</si>
  <si>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</si>
  <si>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</si>
  <si>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</si>
  <si>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</si>
  <si>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</si>
  <si>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</si>
  <si>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</si>
  <si>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</si>
  <si>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</si>
  <si>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</si>
  <si>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</si>
  <si>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</si>
  <si>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</si>
  <si>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</si>
  <si>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</si>
  <si>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</si>
  <si>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</si>
  <si>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</si>
  <si>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</si>
  <si>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</si>
  <si>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</si>
  <si>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</si>
  <si>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</si>
  <si>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</si>
  <si>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</si>
  <si>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</si>
  <si>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</si>
  <si>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</si>
  <si>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</si>
  <si>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</si>
  <si>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</si>
  <si>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</si>
  <si>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</si>
  <si>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</si>
  <si>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</si>
  <si>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</si>
  <si>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</si>
  <si>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</si>
  <si>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</si>
  <si>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</si>
  <si>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</si>
  <si>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</si>
  <si>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</si>
  <si>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</si>
  <si>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</si>
  <si>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</si>
  <si>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</si>
  <si>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</si>
  <si>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</si>
  <si>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</si>
  <si>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</si>
  <si>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</si>
  <si>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</si>
  <si>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</si>
  <si>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</si>
  <si>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</si>
  <si>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</si>
  <si>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</si>
  <si>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</si>
  <si>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</si>
  <si>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</si>
  <si>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</si>
  <si>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</si>
  <si>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</si>
  <si>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</si>
  <si>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</si>
  <si>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</si>
  <si>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</si>
  <si>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</si>
  <si>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</si>
  <si>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</si>
  <si>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</si>
  <si>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</si>
  <si>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</si>
  <si>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</si>
  <si>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</si>
  <si>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</si>
  <si>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</si>
  <si>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</si>
  <si>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</si>
  <si>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</si>
  <si>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</si>
  <si>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</si>
  <si>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</si>
  <si>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</si>
  <si>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</si>
  <si>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</si>
  <si>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</si>
  <si>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</si>
  <si>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</si>
  <si>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</si>
  <si>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</si>
  <si>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</si>
  <si>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</si>
  <si>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</si>
  <si>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</si>
  <si>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</si>
  <si>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</si>
  <si>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</si>
  <si>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</si>
  <si>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</si>
  <si>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</si>
  <si>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</si>
  <si>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</si>
  <si>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</si>
  <si>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</si>
  <si>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</si>
  <si>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</si>
  <si>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</si>
  <si>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</si>
  <si>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</si>
  <si>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</si>
  <si>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</si>
  <si>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</si>
  <si>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</si>
  <si>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</si>
  <si>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</si>
  <si>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</si>
  <si>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</si>
  <si>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</si>
  <si>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</si>
  <si>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</si>
  <si>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</si>
  <si>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</si>
  <si>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</si>
  <si>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</si>
  <si>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</si>
  <si>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</si>
  <si>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</si>
  <si>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</si>
  <si>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</si>
  <si>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</si>
  <si>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</si>
  <si>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</si>
  <si>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</si>
  <si>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</si>
  <si>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</si>
  <si>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</si>
  <si>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</si>
  <si>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</si>
  <si>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</si>
  <si>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</si>
  <si>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</si>
  <si>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</si>
  <si>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</si>
  <si>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</si>
  <si>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</si>
  <si>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</si>
  <si>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</si>
  <si>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</si>
  <si>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</si>
  <si>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</si>
  <si>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</si>
  <si>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</si>
  <si>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</si>
  <si>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</si>
  <si>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</si>
  <si>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</si>
  <si>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</si>
  <si>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</si>
  <si>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</si>
  <si>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</si>
  <si>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</si>
  <si>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</si>
  <si>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</si>
  <si>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</si>
  <si>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</si>
  <si>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</si>
  <si>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</si>
  <si>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</si>
  <si>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</si>
  <si>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</si>
  <si>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</si>
  <si>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</si>
  <si>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</si>
  <si>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</si>
  <si>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</si>
  <si>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</si>
  <si>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</si>
  <si>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</si>
  <si>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</si>
  <si>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</si>
  <si>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</si>
  <si>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</si>
  <si>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</si>
  <si>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</si>
  <si>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</si>
  <si>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</si>
  <si>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</si>
  <si>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</si>
  <si>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</si>
  <si>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</si>
  <si>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</si>
  <si>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</si>
  <si>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</si>
  <si>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</si>
  <si>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</si>
  <si>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</si>
  <si>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</si>
  <si>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</si>
  <si>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</si>
  <si>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</si>
  <si>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</si>
  <si>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</si>
  <si>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</si>
  <si>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</si>
  <si>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</si>
  <si>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</si>
  <si>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</si>
  <si>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</si>
  <si>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</si>
  <si>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</si>
  <si>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</si>
  <si>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</si>
  <si>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</si>
  <si>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</si>
  <si>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</si>
  <si>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</si>
  <si>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</si>
  <si>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</si>
  <si>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</si>
  <si>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</si>
  <si>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</si>
  <si>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</si>
  <si>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</si>
  <si>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</si>
  <si>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</si>
  <si>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</si>
  <si>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</si>
  <si>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</si>
  <si>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</si>
  <si>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</si>
  <si>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</si>
  <si>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</si>
  <si>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</si>
  <si>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</si>
  <si>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</si>
  <si>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</si>
  <si>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</si>
  <si>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</si>
  <si>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</si>
  <si>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</si>
  <si>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</si>
  <si>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</si>
  <si>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</si>
  <si>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</si>
  <si>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</si>
  <si>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</si>
  <si>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</si>
  <si>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</si>
  <si>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</si>
  <si>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</si>
  <si>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</si>
  <si>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</si>
  <si>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</si>
  <si>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</si>
  <si>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</si>
  <si>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</si>
  <si>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</si>
  <si>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</si>
  <si>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</si>
  <si>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</si>
  <si>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</si>
  <si>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</si>
  <si>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</si>
  <si>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</si>
  <si>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</si>
  <si>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</si>
  <si>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</si>
  <si>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</si>
  <si>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</si>
  <si>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</si>
  <si>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</si>
  <si>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</si>
  <si>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</si>
  <si>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</si>
  <si>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</si>
  <si>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</si>
  <si>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</si>
  <si>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</si>
  <si>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</si>
  <si>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</si>
  <si>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</si>
  <si>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</si>
  <si>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</si>
  <si>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</si>
  <si>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</si>
  <si>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</si>
  <si>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</si>
  <si>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</si>
  <si>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</si>
  <si>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</si>
  <si>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</si>
  <si>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</si>
  <si>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</si>
  <si>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</si>
  <si>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</si>
  <si>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</si>
  <si>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</si>
  <si>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</si>
  <si>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</si>
  <si>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</si>
  <si>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</si>
  <si>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</si>
  <si>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</si>
  <si>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</si>
  <si>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</si>
  <si>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</si>
  <si>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</si>
  <si>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</si>
  <si>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</si>
  <si>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</si>
  <si>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</si>
  <si>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</si>
  <si>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</si>
  <si>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</si>
  <si>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</si>
  <si>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</si>
  <si>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</si>
  <si>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</si>
  <si>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</si>
  <si>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</si>
  <si>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</si>
  <si>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</si>
  <si>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</si>
  <si>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</si>
  <si>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</si>
  <si>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</si>
  <si>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</si>
  <si>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</si>
  <si>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</si>
  <si>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</si>
  <si>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</si>
  <si>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</si>
  <si>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</si>
  <si>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</si>
  <si>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</si>
  <si>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</si>
  <si>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</si>
  <si>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</si>
  <si>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</si>
  <si>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</si>
  <si>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</si>
  <si>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</si>
  <si>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</si>
  <si>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</si>
  <si>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</si>
  <si>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</si>
  <si>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</si>
  <si>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</si>
  <si>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</si>
  <si>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</si>
  <si>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</si>
  <si>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</si>
  <si>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</si>
  <si>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</si>
  <si>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</si>
  <si>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</si>
  <si>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</si>
  <si>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</si>
  <si>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</si>
  <si>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</si>
  <si>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</si>
  <si>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</si>
  <si>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</si>
  <si>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</si>
  <si>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</si>
  <si>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</si>
  <si>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</si>
  <si>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</si>
  <si>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</si>
  <si>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</si>
  <si>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</si>
  <si>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</si>
  <si>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</si>
  <si>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</si>
  <si>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</si>
  <si>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</si>
  <si>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</si>
  <si>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</si>
  <si>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</si>
  <si>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</si>
  <si>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</si>
  <si>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</si>
  <si>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</si>
  <si>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</si>
  <si>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</si>
  <si>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</si>
  <si>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</si>
  <si>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</si>
  <si>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</si>
  <si>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</si>
  <si>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</si>
  <si>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</si>
  <si>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</si>
  <si>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</si>
  <si>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</si>
  <si>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</si>
  <si>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</si>
  <si>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</si>
  <si>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</si>
  <si>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</si>
  <si>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</si>
  <si>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</si>
  <si>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</si>
  <si>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</si>
  <si>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</si>
  <si>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</si>
  <si>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</si>
  <si>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</si>
  <si>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</si>
  <si>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</si>
  <si>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</si>
  <si>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</si>
  <si>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</si>
  <si>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</si>
  <si>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</si>
  <si>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</si>
  <si>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</si>
  <si>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</si>
  <si>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</si>
  <si>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</si>
  <si>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</si>
  <si>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</si>
  <si>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</si>
  <si>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</si>
  <si>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</si>
  <si>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</si>
  <si>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</si>
  <si>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</si>
  <si>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</si>
  <si>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</si>
  <si>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</si>
  <si>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</si>
  <si>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</si>
  <si>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</si>
  <si>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</si>
  <si>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</si>
  <si>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</si>
  <si>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</si>
  <si>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</si>
  <si>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</si>
  <si>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</si>
  <si>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</si>
  <si>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</si>
  <si>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</si>
  <si>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</si>
  <si>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</si>
  <si>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</si>
  <si>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</si>
  <si>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</si>
  <si>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</si>
  <si>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</si>
  <si>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</si>
  <si>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</si>
  <si>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</si>
  <si>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</si>
  <si>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</si>
  <si>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</si>
  <si>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</si>
  <si>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</si>
  <si>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</si>
  <si>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</si>
  <si>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</si>
  <si>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</si>
  <si>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</si>
  <si>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</si>
  <si>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</si>
  <si>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</si>
  <si>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</si>
  <si>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</si>
  <si>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</si>
  <si>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</si>
  <si>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</si>
  <si>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</si>
  <si>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</si>
  <si>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</si>
  <si>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</si>
  <si>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</si>
  <si>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</si>
  <si>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</si>
  <si>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</si>
  <si>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</si>
  <si>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</si>
  <si>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</si>
  <si>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</si>
  <si>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</si>
  <si>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</si>
  <si>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</si>
  <si>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</si>
  <si>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</si>
  <si>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</si>
  <si>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</si>
  <si>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</si>
  <si>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</si>
  <si>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</si>
  <si>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</si>
  <si>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</si>
  <si>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</si>
  <si>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</si>
  <si>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</si>
  <si>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</si>
  <si>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</si>
  <si>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</si>
  <si>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</si>
  <si>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</si>
  <si>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</si>
  <si>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</si>
  <si>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</si>
  <si>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</si>
  <si>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</si>
  <si>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</si>
  <si>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</si>
  <si>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</si>
  <si>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</si>
  <si>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</si>
  <si>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</si>
  <si>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</si>
  <si>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</si>
  <si>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</si>
  <si>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</si>
  <si>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</si>
  <si>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</si>
  <si>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</si>
  <si>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</si>
  <si>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</si>
  <si>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</si>
  <si>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</si>
  <si>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</si>
  <si>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</si>
  <si>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</si>
  <si>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</si>
  <si>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</si>
  <si>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</si>
  <si>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</si>
  <si>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</si>
  <si>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</si>
  <si>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</si>
  <si>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</si>
  <si>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</si>
  <si>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</si>
  <si>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</si>
  <si>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</si>
  <si>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</si>
  <si>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</si>
  <si>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</si>
  <si>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</si>
  <si>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</si>
  <si>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</si>
  <si>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</si>
  <si>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</si>
  <si>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</si>
  <si>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</si>
  <si>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</si>
  <si>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</si>
  <si>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</si>
  <si>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</si>
  <si>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</si>
  <si>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</si>
  <si>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</si>
  <si>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</si>
  <si>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</si>
  <si>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</si>
  <si>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</si>
  <si>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</si>
  <si>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</si>
  <si>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</si>
  <si>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</si>
  <si>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</si>
  <si>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</si>
  <si>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</si>
  <si>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</si>
  <si>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</si>
  <si>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</si>
  <si>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</si>
  <si>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</si>
  <si>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</si>
  <si>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</si>
  <si>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</si>
  <si>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</si>
  <si>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</si>
  <si>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</si>
  <si>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</si>
  <si>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</si>
  <si>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</si>
  <si>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</si>
  <si>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 処理</t>
    <rPh sb="0" eb="1">
      <t>ケタ</t>
    </rPh>
    <rPh sb="10" eb="12">
      <t>ショリ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</si>
</sst>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6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8"/>
  <sheetViews>
    <sheetView zoomScale="115" zoomScaleNormal="115" workbookViewId="0">
      <pane ySplit="4" topLeftCell="A59" activePane="bottomLeft" state="frozen"/>
      <selection pane="bottomLeft" activeCell="I64" sqref="I64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29" t="s">
        <v>8</v>
      </c>
      <c r="C2" s="131" t="s">
        <v>728</v>
      </c>
      <c r="D2" s="127" t="s">
        <v>140</v>
      </c>
      <c r="E2" s="128"/>
      <c r="F2" s="128"/>
      <c r="G2" s="144" t="s">
        <v>749</v>
      </c>
      <c r="H2" s="145"/>
      <c r="I2" s="144" t="s">
        <v>750</v>
      </c>
      <c r="J2" s="145"/>
      <c r="K2" s="127" t="s">
        <v>230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368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0"/>
      <c r="C3" s="132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725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726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727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735</v>
      </c>
      <c r="G64" s="116">
        <v>44523</v>
      </c>
      <c r="H64" s="112">
        <v>0.5</v>
      </c>
      <c r="I64" s="119"/>
      <c r="J64" s="111"/>
      <c r="K64" s="56" t="s">
        <v>743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737</v>
      </c>
      <c r="G70" s="116">
        <v>44409</v>
      </c>
      <c r="H70" s="112">
        <v>1</v>
      </c>
      <c r="I70" s="119"/>
      <c r="J70" s="111"/>
      <c r="K70" s="56" t="s">
        <v>732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733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734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736</v>
      </c>
      <c r="G74" s="116">
        <v>44409</v>
      </c>
      <c r="H74" s="112">
        <v>1</v>
      </c>
      <c r="I74" s="119"/>
      <c r="J74" s="111"/>
      <c r="K74" s="85" t="s">
        <v>729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731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730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3" t="s">
        <v>648</v>
      </c>
      <c r="AD430" s="124"/>
      <c r="AE430" s="124"/>
      <c r="AF430" s="124"/>
      <c r="AG430" s="124"/>
      <c r="AH430" s="124"/>
      <c r="AI430" s="124"/>
      <c r="AJ430" s="124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4"/>
      <c r="AD431" s="124"/>
      <c r="AE431" s="124"/>
      <c r="AF431" s="124"/>
      <c r="AG431" s="124"/>
      <c r="AH431" s="124"/>
      <c r="AI431" s="124"/>
      <c r="AJ431" s="124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/>
      <c r="J563" s="109"/>
      <c r="K563" s="56" t="s">
        <v>710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 t="s">
        <v>711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 t="s">
        <v>712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713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 t="s">
        <v>714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716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717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>
        <f>IF(F573&lt;&gt;"",SUBTOTAL(3,$F$5:F573),"")</f>
        <v>114</v>
      </c>
      <c r="C573" s="53"/>
      <c r="D573" s="54" t="s">
        <v>138</v>
      </c>
      <c r="E573" s="54" t="s">
        <v>141</v>
      </c>
      <c r="F573" s="54" t="s">
        <v>718</v>
      </c>
      <c r="G573" s="116">
        <v>44321</v>
      </c>
      <c r="H573" s="109">
        <v>1</v>
      </c>
      <c r="I573" s="116"/>
      <c r="J573" s="109"/>
      <c r="K573" s="56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115</v>
      </c>
      <c r="C577" s="53"/>
      <c r="D577" s="54" t="s">
        <v>138</v>
      </c>
      <c r="E577" s="54" t="s">
        <v>141</v>
      </c>
      <c r="F577" s="54" t="s">
        <v>719</v>
      </c>
      <c r="G577" s="116">
        <v>44321</v>
      </c>
      <c r="H577" s="109">
        <v>1</v>
      </c>
      <c r="I577" s="116"/>
      <c r="J577" s="109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E580" s="59" t="s">
        <v>1</v>
      </c>
      <c r="CF580" s="59" t="s">
        <v>741</v>
      </c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116</v>
      </c>
      <c r="C581" s="53"/>
      <c r="D581" s="54" t="s">
        <v>138</v>
      </c>
      <c r="E581" s="54" t="s">
        <v>141</v>
      </c>
      <c r="F581" s="54" t="s">
        <v>720</v>
      </c>
      <c r="G581" s="116">
        <v>44327</v>
      </c>
      <c r="H581" s="109">
        <v>1</v>
      </c>
      <c r="I581" s="116"/>
      <c r="J581" s="109"/>
      <c r="K581" s="56" t="s">
        <v>738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E581" s="59" t="s">
        <v>1</v>
      </c>
      <c r="CF581" s="59" t="s">
        <v>740</v>
      </c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739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742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117</v>
      </c>
      <c r="C585" s="53"/>
      <c r="D585" s="54" t="s">
        <v>138</v>
      </c>
      <c r="E585" s="54" t="s">
        <v>141</v>
      </c>
      <c r="F585" s="54" t="s">
        <v>723</v>
      </c>
      <c r="G585" s="116">
        <v>44327</v>
      </c>
      <c r="H585" s="109">
        <v>0.8</v>
      </c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118</v>
      </c>
      <c r="C589" s="53"/>
      <c r="D589" s="54" t="s">
        <v>138</v>
      </c>
      <c r="E589" s="54" t="s">
        <v>141</v>
      </c>
      <c r="F589" s="54" t="s">
        <v>721</v>
      </c>
      <c r="G589" s="116">
        <v>44334</v>
      </c>
      <c r="H589" s="109">
        <v>1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119</v>
      </c>
      <c r="C593" s="53"/>
      <c r="D593" s="54" t="s">
        <v>138</v>
      </c>
      <c r="E593" s="54" t="s">
        <v>141</v>
      </c>
      <c r="F593" s="54" t="s">
        <v>722</v>
      </c>
      <c r="G593" s="116">
        <v>44335</v>
      </c>
      <c r="H593" s="109">
        <v>0.5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76" t="str">
        <f>IF(F798&lt;&gt;"",SUBTOTAL(3,$F$5:F798),"")</f>
        <v/>
      </c>
      <c r="C798" s="76"/>
      <c r="D798" s="77"/>
      <c r="E798" s="77"/>
      <c r="F798" s="77"/>
      <c r="G798" s="118"/>
      <c r="H798" s="113"/>
      <c r="I798" s="118"/>
      <c r="J798" s="113"/>
      <c r="K798" s="78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  <c r="AG798" s="79"/>
      <c r="AH798" s="79"/>
      <c r="AI798" s="79"/>
      <c r="AJ798" s="79"/>
      <c r="AK798" s="79"/>
      <c r="AL798" s="79"/>
      <c r="AM798" s="79"/>
      <c r="AN798" s="79"/>
      <c r="AO798" s="79"/>
      <c r="AP798" s="79"/>
      <c r="AQ798" s="79"/>
      <c r="AR798" s="79"/>
      <c r="AS798" s="80"/>
      <c r="AT798" s="78"/>
      <c r="AU798" s="79"/>
      <c r="AV798" s="79"/>
      <c r="AW798" s="79"/>
      <c r="AX798" s="79"/>
      <c r="AY798" s="79"/>
      <c r="AZ798" s="79"/>
      <c r="BA798" s="79"/>
      <c r="BB798" s="79"/>
      <c r="BC798" s="79"/>
      <c r="BD798" s="79"/>
      <c r="BE798" s="79"/>
      <c r="BF798" s="79"/>
      <c r="BG798" s="79"/>
      <c r="BH798" s="79"/>
      <c r="BI798" s="79"/>
      <c r="BJ798" s="79"/>
      <c r="BK798" s="79"/>
      <c r="BL798" s="79"/>
      <c r="BM798" s="79"/>
      <c r="BN798" s="79"/>
      <c r="BO798" s="79"/>
      <c r="BP798" s="79"/>
      <c r="BQ798" s="79"/>
      <c r="BR798" s="79"/>
      <c r="BS798" s="79"/>
      <c r="BT798" s="79"/>
      <c r="BU798" s="79"/>
      <c r="BV798" s="79"/>
      <c r="BW798" s="79"/>
      <c r="BX798" s="79"/>
      <c r="BY798" s="79"/>
      <c r="BZ798" s="79"/>
      <c r="CA798" s="79"/>
      <c r="CB798" s="80"/>
      <c r="CC798" s="81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</sheetData>
  <autoFilter ref="B4:CC798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798">
    <cfRule type="expression" dxfId="5" priority="2">
      <formula>AND($H5&lt;&gt;1, $H5&lt;&gt;"",$J5&lt;&gt;1)</formula>
    </cfRule>
  </conditionalFormatting>
  <dataValidations count="1">
    <dataValidation type="list" allowBlank="1" showInputMessage="1" showErrorMessage="1" sqref="H97:H798 J97:J798 J5:J96 H5:H96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07"/>
  <sheetViews>
    <sheetView tabSelected="1" zoomScale="115" zoomScaleNormal="115" workbookViewId="0">
      <pane ySplit="4" topLeftCell="A5" activePane="bottomLeft" state="frozen"/>
      <selection pane="bottomLeft" activeCell="L23" sqref="L23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29" t="s">
        <v>8</v>
      </c>
      <c r="C2" s="131" t="s">
        <v>728</v>
      </c>
      <c r="D2" s="127" t="s">
        <v>140</v>
      </c>
      <c r="E2" s="128"/>
      <c r="F2" s="128"/>
      <c r="G2" s="144" t="s">
        <v>749</v>
      </c>
      <c r="H2" s="145"/>
      <c r="I2" s="144" t="s">
        <v>750</v>
      </c>
      <c r="J2" s="145"/>
      <c r="K2" s="127" t="s">
        <v>230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368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0"/>
      <c r="C3" s="132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724</v>
      </c>
      <c r="I3" s="104" t="s">
        <v>10</v>
      </c>
      <c r="J3" s="122" t="s">
        <v>724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745</v>
      </c>
      <c r="E5" s="54" t="s">
        <v>747</v>
      </c>
      <c r="F5" s="54" t="s">
        <v>748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752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753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754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756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751</v>
      </c>
      <c r="L7" s="57" t="s">
        <v>755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744</v>
      </c>
      <c r="E9" s="54" t="s">
        <v>746</v>
      </c>
      <c r="F9" s="54" t="s">
        <v>757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759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760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744</v>
      </c>
      <c r="E12" s="54" t="s">
        <v>746</v>
      </c>
      <c r="F12" s="54" t="s">
        <v>758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761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764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763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762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765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766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767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768</v>
      </c>
      <c r="M19" s="57"/>
      <c r="N19" s="57" t="s">
        <v>769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770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744</v>
      </c>
      <c r="E22" s="54" t="s">
        <v>746</v>
      </c>
      <c r="F22" s="54" t="s">
        <v>771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772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09"/>
      <c r="I23" s="116"/>
      <c r="J23" s="109"/>
      <c r="K23" s="56" t="s">
        <v>1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09"/>
      <c r="I24" s="116"/>
      <c r="J24" s="109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09"/>
      <c r="I25" s="116"/>
      <c r="J25" s="109"/>
      <c r="K25" s="56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09"/>
      <c r="I26" s="116"/>
      <c r="J26" s="109"/>
      <c r="K26" s="56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09"/>
      <c r="I27" s="116"/>
      <c r="J27" s="109"/>
      <c r="K27" s="56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09"/>
      <c r="I28" s="116"/>
      <c r="J28" s="109"/>
      <c r="K28" s="56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09"/>
      <c r="I29" s="116"/>
      <c r="J29" s="109"/>
      <c r="K29" s="56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09"/>
      <c r="I30" s="116"/>
      <c r="J30" s="109"/>
      <c r="K30" s="56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09"/>
      <c r="I31" s="116"/>
      <c r="J31" s="109"/>
      <c r="K31" s="56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09"/>
      <c r="I32" s="116"/>
      <c r="J32" s="109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09"/>
      <c r="I33" s="116"/>
      <c r="J33" s="109"/>
      <c r="K33" s="56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09"/>
      <c r="I34" s="116"/>
      <c r="J34" s="109"/>
      <c r="K34" s="56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09"/>
      <c r="I35" s="116"/>
      <c r="J35" s="109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09"/>
      <c r="I36" s="116"/>
      <c r="J36" s="109"/>
      <c r="K36" s="56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09"/>
      <c r="I37" s="116"/>
      <c r="J37" s="109"/>
      <c r="K37" s="56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09"/>
      <c r="I38" s="116"/>
      <c r="J38" s="109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09"/>
      <c r="I39" s="116"/>
      <c r="J39" s="109"/>
      <c r="K39" s="56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09"/>
      <c r="I40" s="116"/>
      <c r="J40" s="109"/>
      <c r="K40" s="56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09"/>
      <c r="I41" s="116"/>
      <c r="J41" s="109"/>
      <c r="K41" s="56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09"/>
      <c r="I42" s="116"/>
      <c r="J42" s="109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09"/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76" t="str">
        <f>IF(F207&lt;&gt;"",SUBTOTAL(3,$F$5:F207),"")</f>
        <v/>
      </c>
      <c r="C207" s="76"/>
      <c r="D207" s="77"/>
      <c r="E207" s="77"/>
      <c r="F207" s="77"/>
      <c r="G207" s="118"/>
      <c r="H207" s="113"/>
      <c r="I207" s="118"/>
      <c r="J207" s="113"/>
      <c r="K207" s="78"/>
      <c r="L207" s="79"/>
      <c r="M207" s="79"/>
      <c r="N207" s="79"/>
      <c r="O207" s="79"/>
      <c r="P207" s="79"/>
      <c r="Q207" s="79"/>
      <c r="R207" s="79"/>
      <c r="S207" s="79"/>
      <c r="T207" s="79"/>
      <c r="U207" s="79"/>
      <c r="V207" s="79"/>
      <c r="W207" s="79"/>
      <c r="X207" s="79"/>
      <c r="Y207" s="79"/>
      <c r="Z207" s="79"/>
      <c r="AA207" s="79"/>
      <c r="AB207" s="79"/>
      <c r="AC207" s="79"/>
      <c r="AD207" s="79"/>
      <c r="AE207" s="79"/>
      <c r="AF207" s="79"/>
      <c r="AG207" s="79"/>
      <c r="AH207" s="79"/>
      <c r="AI207" s="79"/>
      <c r="AJ207" s="79"/>
      <c r="AK207" s="79"/>
      <c r="AL207" s="79"/>
      <c r="AM207" s="79"/>
      <c r="AN207" s="79"/>
      <c r="AO207" s="79"/>
      <c r="AP207" s="79"/>
      <c r="AQ207" s="79"/>
      <c r="AR207" s="79"/>
      <c r="AS207" s="80"/>
      <c r="AT207" s="78"/>
      <c r="AU207" s="79"/>
      <c r="AV207" s="79"/>
      <c r="AW207" s="79"/>
      <c r="AX207" s="79"/>
      <c r="AY207" s="79"/>
      <c r="AZ207" s="79"/>
      <c r="BA207" s="79"/>
      <c r="BB207" s="79"/>
      <c r="BC207" s="79"/>
      <c r="BD207" s="79"/>
      <c r="BE207" s="79"/>
      <c r="BF207" s="79"/>
      <c r="BG207" s="79"/>
      <c r="BH207" s="79"/>
      <c r="BI207" s="79"/>
      <c r="BJ207" s="79"/>
      <c r="BK207" s="79"/>
      <c r="BL207" s="79"/>
      <c r="BM207" s="79"/>
      <c r="BN207" s="79"/>
      <c r="BO207" s="79"/>
      <c r="BP207" s="79"/>
      <c r="BQ207" s="79"/>
      <c r="BR207" s="79"/>
      <c r="BS207" s="79"/>
      <c r="BT207" s="79"/>
      <c r="BU207" s="79"/>
      <c r="BV207" s="79"/>
      <c r="BW207" s="79"/>
      <c r="BX207" s="79"/>
      <c r="BY207" s="79"/>
      <c r="BZ207" s="79"/>
      <c r="CA207" s="79"/>
      <c r="CB207" s="80"/>
      <c r="CC207" s="81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</sheetData>
  <autoFilter ref="B4:CC207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07">
    <cfRule type="expression" dxfId="4" priority="3">
      <formula>AND($H5&lt;&gt;1, $H5&lt;&gt;"",$J5&lt;&gt;1)</formula>
    </cfRule>
  </conditionalFormatting>
  <conditionalFormatting sqref="B11:CC11">
    <cfRule type="expression" dxfId="3" priority="2">
      <formula>AND($H11&lt;&gt;1, $H11&lt;&gt;"",$J11&lt;&gt;1)</formula>
    </cfRule>
  </conditionalFormatting>
  <conditionalFormatting sqref="B8:CC8">
    <cfRule type="expression" dxfId="2" priority="1">
      <formula>AND($H8&lt;&gt;1, $H8&lt;&gt;"",$J8&lt;&gt;1)</formula>
    </cfRule>
  </conditionalFormatting>
  <conditionalFormatting sqref="L18">
    <cfRule type="expression" dxfId="1" priority="5">
      <formula>AND($H16&lt;&gt;1, $H16&lt;&gt;"",$J16&lt;&gt;1)</formula>
    </cfRule>
  </conditionalFormatting>
  <conditionalFormatting sqref="L16">
    <cfRule type="expression" dxfId="0" priority="7">
      <formula>AND($H17&lt;&gt;1, $H17&lt;&gt;"",$J17&lt;&gt;1)</formula>
    </cfRule>
  </conditionalFormatting>
  <dataValidations count="1">
    <dataValidation type="list" allowBlank="1" showInputMessage="1" showErrorMessage="1" sqref="J5:J207 H5:H207" xr:uid="{1C0B0A28-8E95-4A25-9ECB-D529F2BE82B1}">
      <formula1>"100%,80%,50%,30%,0%"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2021-12-19T12:11:40Z</dcterms:modified>
</cp:coreProperties>
</file>
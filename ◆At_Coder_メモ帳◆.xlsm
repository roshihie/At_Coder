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167" documentId="13_ncr:1_{C6853D52-42A5-4BF2-BD6B-A58D634F1162}" xr6:coauthVersionLast="47" xr6:coauthVersionMax="47" xr10:uidLastSave="{37B9FBAB-26FB-4E45-AF8E-23959E6939F3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C問題!$B$4:$CC$819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80" i="3" l="1"/>
  <c r="B579" i="3"/>
  <c r="B578" i="3"/>
  <c r="B577" i="3"/>
  <c r="B576" i="3"/>
  <c r="B575" i="3"/>
  <c r="B610" i="3"/>
  <c r="B563" i="3"/>
  <c r="B603" i="3"/>
  <c r="B600" i="3"/>
  <c r="B595" i="3"/>
  <c r="B607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17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85" i="3"/>
  <c r="B84" i="3"/>
  <c r="B83" i="3"/>
  <c r="B82" i="3"/>
  <c r="B819" i="3"/>
  <c r="B818" i="3"/>
  <c r="B81" i="3"/>
  <c r="B80" i="3"/>
  <c r="B79" i="3"/>
  <c r="B78" i="3"/>
  <c r="B89" i="3"/>
  <c r="B616" i="3"/>
  <c r="B615" i="3"/>
  <c r="B614" i="3"/>
  <c r="B613" i="3"/>
  <c r="B612" i="3"/>
  <c r="B611" i="3"/>
  <c r="B609" i="3"/>
  <c r="B608" i="3"/>
  <c r="B606" i="3"/>
  <c r="B605" i="3"/>
  <c r="B604" i="3"/>
  <c r="B594" i="3"/>
  <c r="B593" i="3"/>
  <c r="B592" i="3"/>
  <c r="B591" i="3"/>
  <c r="B589" i="3"/>
  <c r="B588" i="3"/>
  <c r="B587" i="3"/>
  <c r="B584" i="3"/>
  <c r="B581" i="3"/>
  <c r="B574" i="3"/>
  <c r="B573" i="3"/>
  <c r="B572" i="3"/>
  <c r="B571" i="3"/>
  <c r="B570" i="3"/>
  <c r="B569" i="3"/>
  <c r="B568" i="3"/>
  <c r="B567" i="3"/>
  <c r="B566" i="3"/>
  <c r="B565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<sst xmlns="http://schemas.openxmlformats.org/spreadsheetml/2006/main" count="1239" uniqueCount="842">
  <si>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</si>
  <si>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</si>
  <si>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</si>
  <si>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</si>
  <si>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</si>
  <si>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</si>
  <si>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</si>
  <si>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</si>
  <si>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</si>
  <si>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</si>
  <si>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</si>
  <si>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</si>
  <si>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</si>
  <si>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</si>
  <si>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</si>
  <si>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</si>
  <si>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</si>
  <si>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</si>
  <si>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</si>
  <si>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</si>
  <si>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</si>
  <si>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</si>
  <si>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</si>
  <si>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</si>
  <si>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</si>
  <si>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</si>
  <si>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</si>
  <si>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</si>
  <si>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</si>
  <si>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</si>
  <si>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</si>
  <si>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</si>
  <si>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</si>
  <si>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</si>
  <si>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</si>
  <si>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</si>
  <si>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</si>
  <si>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</si>
  <si>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</si>
  <si>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</si>
  <si>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</si>
  <si>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</si>
  <si>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</si>
  <si>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</si>
  <si>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</si>
  <si>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</si>
  <si>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</si>
  <si>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</si>
  <si>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</si>
  <si>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</si>
  <si>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</si>
  <si>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</si>
  <si>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</si>
  <si>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</si>
  <si>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</si>
  <si>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</si>
  <si>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</si>
  <si>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</si>
  <si>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</si>
  <si>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</si>
  <si>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</si>
  <si>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</si>
  <si>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</si>
  <si>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</si>
  <si>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</si>
  <si>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</si>
  <si>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</si>
  <si>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</si>
  <si>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</si>
  <si>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</si>
  <si>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</si>
  <si>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</si>
  <si>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</si>
  <si>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</si>
  <si>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</si>
  <si>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</si>
  <si>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</si>
  <si>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</si>
  <si>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</si>
  <si>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</si>
  <si>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</si>
  <si>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</si>
  <si>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</si>
  <si>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</si>
  <si>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</si>
  <si>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</si>
  <si>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</si>
  <si>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</si>
  <si>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</si>
  <si>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</si>
  <si>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</si>
  <si>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</si>
  <si>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</si>
  <si>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</si>
  <si>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</si>
  <si>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</si>
  <si>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</si>
  <si>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</si>
  <si>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</si>
  <si>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</si>
  <si>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</si>
  <si>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</si>
  <si>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</si>
  <si>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</si>
  <si>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</si>
  <si>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</si>
  <si>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</si>
  <si>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</si>
  <si>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</si>
  <si>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</si>
  <si>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</si>
  <si>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</si>
  <si>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</si>
  <si>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</si>
  <si>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</si>
  <si>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</si>
  <si>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</si>
  <si>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</si>
  <si>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</si>
  <si>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</si>
  <si>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</si>
  <si>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</si>
  <si>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</si>
  <si>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</si>
  <si>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</si>
  <si>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</si>
  <si>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</si>
  <si>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</si>
  <si>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</si>
  <si>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</si>
  <si>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</si>
  <si>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</si>
  <si>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</si>
  <si>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</si>
  <si>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</si>
  <si>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</si>
  <si>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</si>
  <si>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</si>
  <si>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</si>
  <si>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</si>
  <si>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</si>
  <si>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</si>
  <si>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</si>
  <si>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</si>
  <si>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</si>
  <si>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</si>
  <si>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</si>
  <si>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</si>
  <si>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</si>
  <si>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</si>
  <si>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</si>
  <si>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</si>
  <si>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</si>
  <si>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</si>
  <si>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</si>
  <si>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</si>
  <si>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</si>
  <si>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</si>
  <si>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</si>
  <si>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</si>
  <si>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</si>
  <si>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</si>
  <si>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</si>
  <si>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</si>
  <si>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</si>
  <si>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</si>
  <si>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</si>
  <si>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</si>
  <si>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</si>
  <si>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</si>
  <si>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</si>
  <si>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</si>
  <si>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</si>
  <si>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</si>
  <si>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</si>
  <si>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</si>
  <si>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</si>
  <si>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</si>
  <si>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</si>
  <si>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</si>
  <si>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</si>
  <si>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</si>
  <si>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</si>
  <si>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</si>
  <si>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</si>
  <si>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</si>
  <si>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</si>
  <si>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</si>
  <si>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</si>
  <si>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</si>
  <si>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</si>
  <si>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</si>
  <si>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</si>
  <si>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</si>
  <si>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</si>
  <si>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</si>
  <si>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</si>
  <si>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</si>
  <si>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</si>
  <si>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</si>
  <si>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</si>
  <si>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</si>
  <si>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</si>
  <si>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</si>
  <si>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</si>
  <si>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</si>
  <si>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</si>
  <si>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</si>
  <si>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</si>
  <si>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</si>
  <si>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</si>
  <si>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</si>
  <si>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</si>
  <si>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</si>
  <si>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</si>
  <si>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</si>
  <si>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</si>
  <si>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</si>
  <si>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</si>
  <si>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</si>
  <si>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</si>
  <si>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</si>
  <si>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</si>
  <si>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</si>
  <si>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</si>
  <si>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</si>
  <si>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</si>
  <si>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</si>
  <si>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</si>
  <si>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</si>
  <si>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</si>
  <si>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</si>
  <si>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</si>
  <si>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</si>
  <si>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</si>
  <si>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</si>
  <si>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</si>
  <si>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</si>
  <si>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</si>
  <si>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</si>
  <si>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</si>
  <si>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</si>
  <si>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</si>
  <si>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</si>
  <si>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</si>
  <si>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</si>
  <si>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</si>
  <si>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</si>
  <si>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</si>
  <si>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</si>
  <si>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</si>
  <si>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</si>
  <si>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</si>
  <si>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</si>
  <si>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</si>
  <si>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</si>
  <si>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</si>
  <si>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</si>
  <si>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</si>
  <si>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</si>
  <si>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</si>
  <si>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</si>
  <si>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</si>
  <si>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</si>
  <si>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</si>
  <si>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</si>
  <si>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</si>
  <si>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</si>
  <si>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</si>
  <si>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</si>
  <si>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</si>
  <si>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</si>
  <si>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</si>
  <si>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</si>
  <si>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</si>
  <si>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</si>
  <si>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</si>
  <si>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</si>
  <si>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</si>
  <si>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</si>
  <si>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</si>
  <si>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</si>
  <si>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</si>
  <si>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</si>
  <si>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</si>
  <si>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</si>
  <si>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</si>
  <si>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</si>
  <si>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</si>
  <si>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</si>
  <si>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</si>
  <si>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</si>
  <si>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</si>
  <si>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</si>
  <si>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</si>
  <si>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</si>
  <si>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</si>
  <si>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</si>
  <si>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</si>
  <si>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</si>
  <si>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</si>
  <si>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</si>
  <si>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</si>
  <si>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</si>
  <si>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</si>
  <si>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</si>
  <si>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</si>
  <si>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</si>
  <si>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</si>
  <si>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</si>
  <si>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</si>
  <si>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</si>
  <si>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</si>
  <si>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</si>
  <si>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</si>
  <si>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</si>
  <si>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</si>
  <si>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</si>
  <si>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</si>
  <si>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</si>
  <si>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</si>
  <si>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</si>
  <si>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</si>
  <si>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</si>
  <si>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</si>
  <si>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</si>
  <si>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</si>
  <si>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</si>
  <si>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</si>
  <si>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</si>
  <si>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</si>
  <si>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</si>
  <si>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</si>
  <si>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</si>
  <si>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</si>
  <si>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</si>
  <si>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</si>
  <si>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</si>
  <si>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</si>
  <si>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</si>
  <si>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</si>
  <si>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</si>
  <si>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</si>
  <si>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</si>
  <si>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</si>
  <si>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</si>
  <si>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</si>
  <si>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</si>
  <si>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</si>
  <si>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</si>
  <si>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</si>
  <si>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</si>
  <si>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</si>
  <si>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</si>
  <si>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</si>
  <si>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</si>
  <si>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</si>
  <si>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</si>
  <si>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</si>
  <si>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</si>
  <si>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</si>
  <si>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</si>
  <si>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</si>
  <si>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</si>
  <si>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</si>
  <si>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</si>
  <si>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</si>
  <si>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</si>
  <si>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</si>
  <si>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</si>
  <si>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</si>
  <si>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</si>
  <si>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</si>
  <si>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</si>
  <si>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</si>
  <si>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</si>
  <si>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</si>
  <si>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</si>
  <si>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</si>
  <si>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</si>
  <si>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</si>
  <si>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</si>
  <si>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</si>
  <si>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</si>
  <si>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</si>
  <si>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</si>
  <si>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</si>
  <si>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</si>
  <si>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</si>
  <si>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</si>
  <si>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</si>
  <si>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</si>
  <si>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</si>
  <si>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</si>
  <si>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</si>
  <si>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</si>
  <si>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</si>
  <si>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</si>
  <si>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</si>
  <si>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</si>
  <si>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</si>
  <si>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</si>
  <si>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</si>
  <si>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</si>
  <si>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</si>
  <si>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</si>
  <si>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</si>
  <si>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</si>
  <si>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</si>
  <si>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</si>
  <si>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</si>
  <si>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</si>
  <si>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</si>
  <si>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</si>
  <si>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</si>
  <si>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</si>
  <si>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</si>
  <si>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</si>
  <si>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</si>
  <si>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</si>
  <si>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</si>
  <si>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</si>
  <si>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</si>
  <si>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</si>
  <si>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</si>
  <si>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</si>
  <si>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</si>
  <si>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</si>
  <si>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</si>
  <si>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</si>
  <si>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</si>
  <si>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</si>
  <si>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</si>
  <si>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</si>
  <si>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</si>
  <si>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</si>
  <si>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</si>
  <si>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</si>
  <si>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</si>
  <si>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</si>
  <si>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</si>
  <si>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</si>
  <si>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</si>
  <si>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</si>
  <si>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</si>
  <si>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</si>
  <si>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</si>
  <si>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</si>
  <si>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</si>
  <si>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</si>
  <si>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</si>
  <si>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</si>
  <si>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</si>
  <si>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</si>
  <si>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</si>
  <si>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</si>
  <si>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</si>
  <si>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</si>
  <si>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</si>
  <si>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</si>
  <si>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</si>
  <si>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</si>
  <si>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</si>
  <si>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</si>
  <si>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</si>
  <si>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</si>
  <si>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</si>
  <si>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</si>
  <si>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</si>
  <si>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</si>
  <si>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</si>
  <si>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</si>
  <si>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</si>
  <si>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</si>
  <si>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</si>
  <si>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</si>
  <si>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</si>
  <si>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</si>
  <si>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</si>
  <si>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</si>
  <si>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</si>
  <si>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</si>
  <si>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</si>
  <si>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</si>
  <si>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</si>
  <si>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</si>
  <si>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</si>
  <si>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</si>
  <si>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</si>
  <si>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</si>
  <si>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</si>
  <si>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</si>
  <si>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</si>
  <si>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</si>
  <si>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</si>
  <si>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</si>
  <si>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</si>
  <si>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</si>
  <si>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</si>
  <si>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</si>
  <si>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</si>
  <si>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</si>
  <si>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</si>
  <si>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</si>
  <si>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</si>
  <si>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</si>
  <si>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</si>
  <si>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</si>
  <si>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</si>
  <si>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</si>
  <si>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</si>
  <si>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</si>
  <si>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</si>
  <si>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</si>
  <si>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</si>
  <si>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</si>
  <si>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</si>
  <si>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</si>
  <si>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</si>
  <si>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</si>
  <si>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</si>
  <si>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</si>
  <si>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</si>
  <si>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</si>
  <si>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</si>
  <si>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</si>
  <si>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</si>
  <si>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</si>
  <si>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</si>
  <si>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</si>
  <si>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</si>
  <si>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</si>
  <si>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</si>
  <si>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</si>
  <si>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</si>
  <si>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</si>
  <si>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</si>
  <si>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</si>
  <si>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</si>
  <si>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</si>
  <si>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</si>
  <si>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</si>
  <si>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</si>
  <si>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</si>
  <si>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</si>
  <si>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</si>
  <si>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</si>
  <si>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</si>
  <si>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</si>
  <si>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</si>
  <si>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</si>
  <si>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</si>
  <si>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</si>
  <si>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</si>
  <si>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</si>
  <si>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</si>
  <si>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</si>
  <si>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</si>
  <si>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</si>
  <si>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</si>
  <si>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</si>
  <si>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</si>
  <si>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</si>
  <si>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</si>
  <si>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</si>
  <si>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</si>
  <si>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</si>
  <si>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</si>
  <si>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</si>
  <si>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</si>
  <si>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</si>
  <si>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</si>
  <si>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</si>
  <si>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</si>
  <si>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</si>
  <si>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</si>
  <si>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</si>
  <si>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</si>
  <si>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</si>
  <si>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</si>
  <si>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</si>
  <si>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</si>
  <si>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</si>
  <si>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</si>
  <si>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</si>
  <si>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</si>
  <si>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</si>
  <si>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</si>
  <si>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</si>
  <si>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</si>
  <si>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</si>
  <si>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</si>
  <si>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</si>
  <si>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</si>
  <si>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</si>
  <si>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</si>
  <si>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</si>
  <si>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</si>
  <si>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</si>
  <si>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</si>
  <si>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</si>
  <si>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</si>
  <si>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</si>
  <si>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</si>
  <si>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</si>
  <si>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</si>
  <si>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</si>
  <si>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</si>
  <si>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</si>
  <si>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</si>
  <si>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</si>
  <si>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</si>
  <si>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</si>
  <si>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</si>
  <si>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</si>
  <si>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</si>
  <si>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</si>
  <si>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</si>
  <si>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</si>
  <si>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</si>
  <si>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</si>
  <si>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</si>
  <si>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</si>
  <si>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</si>
  <si>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</si>
  <si>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</si>
  <si>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</si>
  <si>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</si>
  <si>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</si>
  <si>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</si>
  <si>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</si>
  <si>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</si>
  <si>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</si>
  <si>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</si>
  <si>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</si>
  <si>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</si>
  <si>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</si>
  <si>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</si>
  <si>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</si>
  <si>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</si>
  <si>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</si>
  <si>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</si>
  <si>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</si>
  <si>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</si>
  <si>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</si>
  <si>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</si>
  <si>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</si>
  <si>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</si>
  <si>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</si>
  <si>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</si>
  <si>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</si>
  <si>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</si>
  <si>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</si>
  <si>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</si>
  <si>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</si>
  <si>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</si>
  <si>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</si>
  <si>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</si>
  <si>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</si>
  <si>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</si>
  <si>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</si>
  <si>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</si>
  <si>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</si>
  <si>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</si>
  <si>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</si>
  <si>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</si>
  <si>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</si>
  <si>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</si>
  <si>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</si>
  <si>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</si>
  <si>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</si>
  <si>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</si>
  <si>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</si>
  <si>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</si>
  <si>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</si>
  <si>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</si>
  <si>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</si>
  <si>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</si>
  <si>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</si>
  <si>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</si>
  <si>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</si>
  <si>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</si>
  <si>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</si>
  <si>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</si>
  <si>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</si>
  <si>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</si>
  <si>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</si>
  <si>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</si>
  <si>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</si>
  <si>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</si>
  <si>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</si>
  <si>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</si>
  <si>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</si>
  <si>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</si>
  <si>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</si>
  <si>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</si>
  <si>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</si>
  <si>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</si>
  <si>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</si>
  <si>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</si>
  <si>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</si>
  <si>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</si>
  <si>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</si>
  <si>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</si>
  <si>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</si>
  <si>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</si>
  <si>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</si>
  <si>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</si>
  <si>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</si>
  <si>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</si>
  <si>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</si>
  <si>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</si>
  <si>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</si>
  <si>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</si>
  <si>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</si>
  <si>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</si>
  <si>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</si>
  <si>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</si>
  <si>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</si>
  <si>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</si>
  <si>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</si>
  <si>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</si>
  <si>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</si>
  <si>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</si>
  <si>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</si>
  <si>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</si>
  <si>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</si>
  <si>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</si>
  <si>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</si>
  <si>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</si>
  <si>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</si>
  <si>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</si>
  <si>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</si>
  <si>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</si>
  <si>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</si>
  <si>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</si>
  <si>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</si>
  <si>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</si>
  <si>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</si>
  <si>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</si>
  <si>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</si>
  <si>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</si>
  <si>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</si>
  <si>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</si>
  <si>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</si>
  <si>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</si>
  <si>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</si>
  <si>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</si>
  <si>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</si>
  <si>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</si>
  <si>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</si>
  <si>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</si>
  <si>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</si>
  <si>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</si>
  <si>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</si>
  <si>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</si>
  <si>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</si>
  <si>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</si>
  <si>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</si>
  <si>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</si>
  <si>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</si>
  <si>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</si>
  <si>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</si>
  <si>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</si>
  <si>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</si>
  <si>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</si>
  <si>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</si>
  <si>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</si>
  <si>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</si>
  <si>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</si>
  <si>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</si>
  <si>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</si>
  <si>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</si>
  <si>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</si>
  <si>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</si>
  <si>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</si>
  <si>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</si>
  <si>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</si>
  <si>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</si>
  <si>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</si>
  <si>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</si>
  <si>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</si>
  <si>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</si>
  <si>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</si>
  <si>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</si>
  <si>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</si>
  <si>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</si>
  <si>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</si>
  <si>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</si>
  <si>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</si>
  <si>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</si>
  <si>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</si>
  <si>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</si>
  <si>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</si>
  <si>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</si>
  <si>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</si>
  <si>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</si>
  <si>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</si>
  <si>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</si>
  <si>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</si>
  <si>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</si>
  <si>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</si>
  <si>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</si>
  <si>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</si>
  <si>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</si>
  <si>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</si>
  <si>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</si>
  <si>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</si>
  <si>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</si>
  <si>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</si>
  <si>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</si>
  <si>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</si>
  <si>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</si>
  <si>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</si>
  <si>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</si>
  <si>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</si>
  <si>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</si>
  <si>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</si>
  <si>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</si>
  <si>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</si>
  <si>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</si>
  <si>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</si>
  <si>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</si>
  <si>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</si>
  <si>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</si>
  <si>
    <t>・数値を文字列と考えて、to_string 関数や stoll 関数 を使用するよりも、数値の桁数を算出して計算するほうが、実行速度が速い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サンシュツ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</si>
  <si>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r>
      <t>・与えられた整数 N、1以上の数値 n として、n の桁を ⅾ(n) とすると、n×10</t>
    </r>
    <r>
      <rPr>
        <vertAlign val="superscript"/>
        <sz val="10"/>
        <color theme="1"/>
        <rFont val="Meiryo UI"/>
        <family val="3"/>
        <charset val="128"/>
      </rPr>
      <t>d(n)</t>
    </r>
    <r>
      <rPr>
        <sz val="10"/>
        <color theme="1"/>
        <rFont val="Meiryo UI"/>
        <family val="3"/>
        <charset val="128"/>
      </rPr>
      <t>＋n ≦ N となる数値 n の個数が求める答えとなる</t>
    </r>
    <rPh sb="1" eb="2">
      <t>アタ</t>
    </rPh>
    <rPh sb="6" eb="8">
      <t>セイスウ</t>
    </rPh>
    <rPh sb="12" eb="14">
      <t>イジョウ</t>
    </rPh>
    <rPh sb="15" eb="17">
      <t>スウチ</t>
    </rPh>
    <rPh sb="27" eb="28">
      <t>ケタ</t>
    </rPh>
    <rPh sb="58" eb="60">
      <t>スウチ</t>
    </rPh>
    <rPh sb="64" eb="66">
      <t>コスウ</t>
    </rPh>
    <rPh sb="67" eb="68">
      <t>モト</t>
    </rPh>
    <rPh sb="70" eb="71">
      <t>コタ</t>
    </rPh>
    <phoneticPr fontId="2"/>
  </si>
  <si>
    <r>
      <t>・あとは (ｍ＋k)×10</t>
    </r>
    <r>
      <rPr>
        <vertAlign val="superscript"/>
        <sz val="10"/>
        <color theme="1"/>
        <rFont val="Meiryo UI"/>
        <family val="3"/>
        <charset val="128"/>
      </rPr>
      <t xml:space="preserve">d(m+k) </t>
    </r>
    <r>
      <rPr>
        <sz val="10"/>
        <color theme="1"/>
        <rFont val="Meiryo UI"/>
        <family val="3"/>
        <charset val="128"/>
      </rPr>
      <t>＋(ｍ＋k) ≦Ｎ となる k を数えればよい</t>
    </r>
    <rPh sb="37" eb="38">
      <t>カゾ</t>
    </rPh>
    <phoneticPr fontId="2"/>
  </si>
  <si>
    <r>
      <t>・１≦N&lt;10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となるから、n 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8" eb="51">
      <t>サイダイチ</t>
    </rPh>
    <phoneticPr fontId="2"/>
  </si>
  <si>
    <r>
      <t>・n と同じ桁数で最上位の位が１、それ以外の位が０の数値を ⅿ とすると、ⅿ×10</t>
    </r>
    <r>
      <rPr>
        <vertAlign val="superscript"/>
        <sz val="10"/>
        <color theme="1"/>
        <rFont val="Meiryo UI"/>
        <family val="3"/>
        <charset val="128"/>
      </rPr>
      <t xml:space="preserve">ⅾ(ⅿ) </t>
    </r>
    <r>
      <rPr>
        <sz val="10"/>
        <color theme="1"/>
        <rFont val="Meiryo UI"/>
        <family val="3"/>
        <charset val="128"/>
      </rPr>
      <t>+ⅿ までの数値の個数は ⅿ 個である</t>
    </r>
    <rPh sb="4" eb="5">
      <t>オナ</t>
    </rPh>
    <rPh sb="6" eb="8">
      <t>ケタスウ</t>
    </rPh>
    <rPh sb="9" eb="12">
      <t>サイジョウイ</t>
    </rPh>
    <rPh sb="13" eb="14">
      <t>クライ</t>
    </rPh>
    <rPh sb="19" eb="21">
      <t>イガイ</t>
    </rPh>
    <rPh sb="22" eb="23">
      <t>クライ</t>
    </rPh>
    <rPh sb="26" eb="28">
      <t>スウチ</t>
    </rPh>
    <rPh sb="52" eb="54">
      <t>スウチ</t>
    </rPh>
    <rPh sb="55" eb="57">
      <t>コスウ</t>
    </rPh>
    <rPh sb="61" eb="62">
      <t>コ</t>
    </rPh>
    <phoneticPr fontId="2"/>
  </si>
  <si>
    <t xml:space="preserve">   数列区切り先頭index配列 [dept] &lt; 配列.size() - diff の間、dfs を行うようにした (数列区切り先頭index配列の size()ー1 は </t>
    <rPh sb="3" eb="5">
      <t>スウレツ</t>
    </rPh>
    <rPh sb="5" eb="7">
      <t>クギ</t>
    </rPh>
    <rPh sb="8" eb="10">
      <t>セントウ</t>
    </rPh>
    <rPh sb="15" eb="17">
      <t>ハイレツ</t>
    </rPh>
    <rPh sb="27" eb="29">
      <t>ハイレツ</t>
    </rPh>
    <rPh sb="45" eb="46">
      <t>アイダ</t>
    </rPh>
    <phoneticPr fontId="2"/>
  </si>
  <si>
    <t xml:space="preserve">   数列.size() を格納する)</t>
    <rPh sb="3" eb="5">
      <t>スウレツ</t>
    </rPh>
    <rPh sb="14" eb="16">
      <t>カクノウ</t>
    </rPh>
    <phoneticPr fontId="2"/>
  </si>
  <si>
    <t>●dfs の while 条件を補正し、より効率よく行った</t>
    <rPh sb="13" eb="15">
      <t>ジョウケン</t>
    </rPh>
    <rPh sb="16" eb="18">
      <t>ホセイ</t>
    </rPh>
    <rPh sb="22" eb="24">
      <t>コウリツ</t>
    </rPh>
    <rPh sb="26" eb="27">
      <t>オコナ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</si>
  <si>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数列.size() より小さいという条件になるよう</t>
    </r>
    <r>
      <rPr>
        <sz val="10"/>
        <color theme="1"/>
        <rFont val="Meiryo UI"/>
        <family val="3"/>
        <charset val="128"/>
      </rPr>
      <t>に、</t>
    </r>
    <r>
      <rPr>
        <b/>
        <sz val="10"/>
        <color theme="1"/>
        <rFont val="Meiryo UI"/>
        <family val="3"/>
        <charset val="128"/>
      </rPr>
      <t>diff を設定</t>
    </r>
    <r>
      <rPr>
        <sz val="10"/>
        <color theme="1"/>
        <rFont val="Meiryo UI"/>
        <family val="3"/>
        <charset val="128"/>
      </rPr>
      <t>する</t>
    </r>
    <rPh sb="3" eb="5">
      <t>スウレツ</t>
    </rPh>
    <rPh sb="15" eb="16">
      <t>チイ</t>
    </rPh>
    <rPh sb="21" eb="23">
      <t>ジョウケン</t>
    </rPh>
    <rPh sb="36" eb="38">
      <t>セッテイ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</si>
  <si>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dept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theme="1"/>
        <rFont val="Meiryo UI"/>
        <family val="3"/>
        <charset val="128"/>
      </rPr>
      <t>数列区切り先頭index配列</t>
    </r>
    <r>
      <rPr>
        <sz val="10"/>
        <color theme="1"/>
        <rFont val="Meiryo UI"/>
        <family val="3"/>
        <charset val="128"/>
      </rPr>
      <t>の</t>
    </r>
    <r>
      <rPr>
        <b/>
        <sz val="10"/>
        <color theme="1"/>
        <rFont val="Meiryo UI"/>
        <family val="3"/>
        <charset val="128"/>
      </rPr>
      <t>インデックス</t>
    </r>
    <r>
      <rPr>
        <sz val="10"/>
        <color theme="1"/>
        <rFont val="Meiryo UI"/>
        <family val="3"/>
        <charset val="128"/>
      </rPr>
      <t>として、</t>
    </r>
    <r>
      <rPr>
        <b/>
        <sz val="10"/>
        <color theme="1"/>
        <rFont val="Meiryo UI"/>
        <family val="3"/>
        <charset val="128"/>
      </rPr>
      <t>dept = 数列区切り先頭index配列.size() ー 2 のとき</t>
    </r>
    <phoneticPr fontId="2"/>
  </si>
  <si>
    <t>ABC196_C_Doubled</t>
  </si>
  <si>
    <t>(劣後解)</t>
    <rPh sb="1" eb="3">
      <t>レツゴ</t>
    </rPh>
    <rPh sb="3" eb="4">
      <t>カイ</t>
    </rPh>
    <phoneticPr fontId="2"/>
  </si>
  <si>
    <t>●与えられた整数 N の桁数 (whole桁数)を算出し、その桁数の 1/2 (half桁数) を算出する</t>
    <rPh sb="1" eb="2">
      <t>アタ</t>
    </rPh>
    <rPh sb="6" eb="8">
      <t>セイスウ</t>
    </rPh>
    <rPh sb="12" eb="14">
      <t>ケタスウ</t>
    </rPh>
    <rPh sb="21" eb="23">
      <t>ケタスウ</t>
    </rPh>
    <rPh sb="25" eb="27">
      <t>サンシュツ</t>
    </rPh>
    <rPh sb="31" eb="33">
      <t>ケタスウ</t>
    </rPh>
    <rPh sb="44" eb="46">
      <t>ケタスウ</t>
    </rPh>
    <rPh sb="49" eb="51">
      <t>サンシュツ</t>
    </rPh>
    <phoneticPr fontId="2"/>
  </si>
  <si>
    <t>●whole桁数が偶数のとき、N を half桁数で分割し、前半の数 (left数) と 後半の数 (right数) を比較し、</t>
    <rPh sb="6" eb="8">
      <t>ケタスウ</t>
    </rPh>
    <rPh sb="9" eb="11">
      <t>グウスウ</t>
    </rPh>
    <rPh sb="23" eb="25">
      <t>ケタスウ</t>
    </rPh>
    <rPh sb="26" eb="28">
      <t>ブンカツ</t>
    </rPh>
    <rPh sb="30" eb="32">
      <t>ゼンハン</t>
    </rPh>
    <rPh sb="33" eb="34">
      <t>スウ</t>
    </rPh>
    <rPh sb="40" eb="41">
      <t>スウ</t>
    </rPh>
    <rPh sb="45" eb="47">
      <t>コウハン</t>
    </rPh>
    <rPh sb="48" eb="49">
      <t>スウ</t>
    </rPh>
    <rPh sb="56" eb="57">
      <t>スウ</t>
    </rPh>
    <rPh sb="60" eb="62">
      <t>ヒカク</t>
    </rPh>
    <phoneticPr fontId="2"/>
  </si>
  <si>
    <t xml:space="preserve">   left数≦right数 のとき left数が求める答え、それ以外のとき (left数ー1) が求める答えとなる</t>
    <rPh sb="7" eb="8">
      <t>スウ</t>
    </rPh>
    <rPh sb="14" eb="15">
      <t>スウ</t>
    </rPh>
    <rPh sb="24" eb="25">
      <t>スウ</t>
    </rPh>
    <rPh sb="26" eb="27">
      <t>モト</t>
    </rPh>
    <rPh sb="29" eb="30">
      <t>コタ</t>
    </rPh>
    <rPh sb="34" eb="36">
      <t>イガイ</t>
    </rPh>
    <rPh sb="45" eb="46">
      <t>スウ</t>
    </rPh>
    <rPh sb="51" eb="52">
      <t>モト</t>
    </rPh>
    <rPh sb="54" eb="55">
      <t>コタ</t>
    </rPh>
    <phoneticPr fontId="2"/>
  </si>
  <si>
    <t>●whole桁数が奇数のとき、half桁数分の all 9 が求める答えとなる</t>
    <rPh sb="6" eb="8">
      <t>ケタスウ</t>
    </rPh>
    <rPh sb="9" eb="11">
      <t>キスウ</t>
    </rPh>
    <rPh sb="19" eb="21">
      <t>ケタスウ</t>
    </rPh>
    <rPh sb="21" eb="22">
      <t>ブン</t>
    </rPh>
    <rPh sb="31" eb="32">
      <t>モト</t>
    </rPh>
    <rPh sb="34" eb="35">
      <t>コタ</t>
    </rPh>
    <phoneticPr fontId="2"/>
  </si>
  <si>
    <t xml:space="preserve">   (half桁数＝0 のとき、half桁数分の all 9 は 当然 0 となる)</t>
    <rPh sb="8" eb="10">
      <t>ケタスウ</t>
    </rPh>
    <rPh sb="21" eb="23">
      <t>ケタスウ</t>
    </rPh>
    <rPh sb="23" eb="24">
      <t>ブン</t>
    </rPh>
    <rPh sb="34" eb="36">
      <t>トウゼン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</si>
</sst>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0" fontId="10" fillId="7" borderId="0" xfId="0" applyFont="1" applyFill="1">
      <alignment vertical="center"/>
    </xf>
    <xf numFmtId="0" fontId="10" fillId="7" borderId="8" xfId="0" applyFont="1" applyFill="1" applyBorder="1">
      <alignment vertical="center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FFF99"/>
      <color rgb="FF0000FF"/>
      <color rgb="FFFFFFCC"/>
      <color rgb="FF0099CC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619</xdr:row>
      <xdr:rowOff>8284</xdr:rowOff>
    </xdr:from>
    <xdr:to>
      <xdr:col>25</xdr:col>
      <xdr:colOff>106639</xdr:colOff>
      <xdr:row>621</xdr:row>
      <xdr:rowOff>27230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618</xdr:row>
      <xdr:rowOff>41415</xdr:rowOff>
    </xdr:from>
    <xdr:to>
      <xdr:col>12</xdr:col>
      <xdr:colOff>62846</xdr:colOff>
      <xdr:row>618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618</xdr:row>
      <xdr:rowOff>41415</xdr:rowOff>
    </xdr:from>
    <xdr:to>
      <xdr:col>19</xdr:col>
      <xdr:colOff>87693</xdr:colOff>
      <xdr:row>618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19"/>
  <sheetViews>
    <sheetView tabSelected="1" zoomScale="115" zoomScaleNormal="115" workbookViewId="0">
      <pane ySplit="4" topLeftCell="A5" activePane="bottomLeft" state="frozen"/>
      <selection activeCell="N42" sqref="N42"/>
      <selection pane="bottomLeft" activeCell="A5" sqref="A5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5.87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2" t="s">
        <v>8</v>
      </c>
      <c r="C2" s="134" t="s">
        <v>704</v>
      </c>
      <c r="D2" s="130" t="s">
        <v>140</v>
      </c>
      <c r="E2" s="131"/>
      <c r="F2" s="131"/>
      <c r="G2" s="144" t="s">
        <v>724</v>
      </c>
      <c r="H2" s="145"/>
      <c r="I2" s="144" t="s">
        <v>725</v>
      </c>
      <c r="J2" s="145"/>
      <c r="K2" s="130" t="s">
        <v>229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367</v>
      </c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2"/>
      <c r="CC2" s="128" t="s">
        <v>11</v>
      </c>
    </row>
    <row r="3" spans="2:81" s="91" customFormat="1" ht="15.75">
      <c r="B3" s="133"/>
      <c r="C3" s="135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700</v>
      </c>
      <c r="I3" s="95" t="s">
        <v>10</v>
      </c>
      <c r="J3" s="94" t="s">
        <v>700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40"/>
      <c r="AT3" s="138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43"/>
      <c r="CC3" s="129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701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702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703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813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711</v>
      </c>
      <c r="G64" s="118">
        <v>44523</v>
      </c>
      <c r="H64" s="117">
        <v>0.5</v>
      </c>
      <c r="I64" s="120"/>
      <c r="J64" s="102"/>
      <c r="K64" s="55" t="s">
        <v>718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713</v>
      </c>
      <c r="G70" s="106">
        <v>44409</v>
      </c>
      <c r="H70" s="100">
        <v>1</v>
      </c>
      <c r="I70" s="108"/>
      <c r="J70" s="102"/>
      <c r="K70" s="55" t="s">
        <v>708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709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710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712</v>
      </c>
      <c r="G74" s="106">
        <v>44409</v>
      </c>
      <c r="H74" s="100">
        <v>1</v>
      </c>
      <c r="I74" s="108"/>
      <c r="J74" s="102"/>
      <c r="K74" s="81" t="s">
        <v>705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707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706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697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698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IF(F85&lt;&gt;"",SUBTOTAL(3,$F$5:F617),"")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699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IF(F89&lt;&gt;"",SUBTOTAL(3,$F$5:F617),"")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6" t="s">
        <v>647</v>
      </c>
      <c r="AD443" s="127"/>
      <c r="AE443" s="127"/>
      <c r="AF443" s="127"/>
      <c r="AG443" s="127"/>
      <c r="AH443" s="127"/>
      <c r="AI443" s="127"/>
      <c r="AJ443" s="127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7"/>
      <c r="AD444" s="127"/>
      <c r="AE444" s="127"/>
      <c r="AF444" s="127"/>
      <c r="AG444" s="127"/>
      <c r="AH444" s="127"/>
      <c r="AI444" s="127"/>
      <c r="AJ444" s="127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811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814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815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812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808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809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810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807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/>
      <c r="J559" s="117"/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805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806</v>
      </c>
      <c r="AS564" s="56"/>
      <c r="AT564" s="55"/>
      <c r="CB564" s="56"/>
      <c r="CC564" s="54"/>
    </row>
    <row r="565" spans="2:81">
      <c r="B565" s="52">
        <f>IF(F565&lt;&gt;"",SUBTOTAL(3,$F$5:F565),"")</f>
        <v>113</v>
      </c>
      <c r="C565" s="52"/>
      <c r="D565" s="53" t="s">
        <v>138</v>
      </c>
      <c r="E565" s="53" t="s">
        <v>141</v>
      </c>
      <c r="F565" s="53" t="s">
        <v>688</v>
      </c>
      <c r="G565" s="106">
        <v>44311</v>
      </c>
      <c r="H565" s="100">
        <v>1</v>
      </c>
      <c r="I565" s="106"/>
      <c r="J565" s="100"/>
      <c r="K565" s="55" t="s">
        <v>690</v>
      </c>
      <c r="AS565" s="56"/>
      <c r="AT565" s="55"/>
      <c r="CB565" s="56"/>
      <c r="CC565" s="54"/>
    </row>
    <row r="566" spans="2:81" ht="15.75">
      <c r="B566" s="52" t="str">
        <f>IF(F566&lt;&gt;"",SUBTOTAL(3,$F$5:F566),"")</f>
        <v/>
      </c>
      <c r="C566" s="52"/>
      <c r="D566" s="53"/>
      <c r="E566" s="53"/>
      <c r="F566" s="53"/>
      <c r="G566" s="106"/>
      <c r="H566" s="100"/>
      <c r="I566" s="106"/>
      <c r="J566" s="100"/>
      <c r="K566" s="55" t="s">
        <v>689</v>
      </c>
      <c r="AS566" s="56"/>
      <c r="AT566" s="55"/>
      <c r="CB566" s="56"/>
      <c r="CC566" s="54"/>
    </row>
    <row r="567" spans="2:81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802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803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804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/>
      <c r="AS570" s="56"/>
      <c r="AT570" s="55"/>
      <c r="CB570" s="56"/>
      <c r="CC570" s="54"/>
    </row>
    <row r="571" spans="2:81">
      <c r="B571" s="52">
        <f>IF(F571&lt;&gt;"",SUBTOTAL(3,$F$5:F571),"")</f>
        <v>114</v>
      </c>
      <c r="C571" s="52"/>
      <c r="D571" s="53" t="s">
        <v>138</v>
      </c>
      <c r="E571" s="53" t="s">
        <v>141</v>
      </c>
      <c r="F571" s="53" t="s">
        <v>691</v>
      </c>
      <c r="G571" s="106">
        <v>44315</v>
      </c>
      <c r="H571" s="100">
        <v>1</v>
      </c>
      <c r="I571" s="106"/>
      <c r="J571" s="100"/>
      <c r="K571" s="55" t="s">
        <v>799</v>
      </c>
      <c r="AS571" s="56"/>
      <c r="AT571" s="55"/>
      <c r="CB571" s="56"/>
      <c r="CC571" s="54"/>
    </row>
    <row r="572" spans="2:81">
      <c r="B572" s="52" t="str">
        <f>IF(F572&lt;&gt;"",SUBTOTAL(3,$F$5:F572),"")</f>
        <v/>
      </c>
      <c r="C572" s="52"/>
      <c r="D572" s="53"/>
      <c r="E572" s="53"/>
      <c r="F572" s="53"/>
      <c r="G572" s="106"/>
      <c r="H572" s="100"/>
      <c r="I572" s="106"/>
      <c r="J572" s="100"/>
      <c r="K572" s="55" t="s">
        <v>800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801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/>
      <c r="AS574" s="56"/>
      <c r="AT574" s="55"/>
      <c r="CB574" s="56"/>
      <c r="CC574" s="54"/>
    </row>
    <row r="575" spans="2:81">
      <c r="B575" s="52">
        <f>IF(F575&lt;&gt;"",SUBTOTAL(3,$F$5:F575),"")</f>
        <v>115</v>
      </c>
      <c r="C575" s="52"/>
      <c r="D575" s="53" t="s">
        <v>138</v>
      </c>
      <c r="E575" s="53" t="s">
        <v>141</v>
      </c>
      <c r="F575" s="53" t="s">
        <v>835</v>
      </c>
      <c r="G575" s="106">
        <v>44315</v>
      </c>
      <c r="H575" s="100">
        <v>1</v>
      </c>
      <c r="I575" s="106">
        <v>44815</v>
      </c>
      <c r="J575" s="100" t="s">
        <v>721</v>
      </c>
      <c r="K575" s="55" t="s">
        <v>837</v>
      </c>
      <c r="AS575" s="56"/>
      <c r="AT575" s="55"/>
      <c r="CB575" s="56"/>
      <c r="CC575" s="54"/>
    </row>
    <row r="576" spans="2:81">
      <c r="B576" s="52" t="str">
        <f>IF(F576&lt;&gt;"",SUBTOTAL(3,$F$5:F576),"")</f>
        <v/>
      </c>
      <c r="C576" s="52"/>
      <c r="D576" s="53"/>
      <c r="E576" s="53"/>
      <c r="F576" s="53"/>
      <c r="G576" s="106"/>
      <c r="H576" s="100"/>
      <c r="I576" s="106"/>
      <c r="J576" s="100"/>
      <c r="K576" s="55" t="s">
        <v>838</v>
      </c>
      <c r="AS576" s="56"/>
      <c r="AT576" s="55"/>
      <c r="CB576" s="56"/>
      <c r="CC576" s="54"/>
    </row>
    <row r="577" spans="2:81">
      <c r="B577" s="52" t="str">
        <f>IF(F577&lt;&gt;"",SUBTOTAL(3,$F$5:F577),"")</f>
        <v/>
      </c>
      <c r="C577" s="52"/>
      <c r="D577" s="53"/>
      <c r="E577" s="53"/>
      <c r="F577" s="53"/>
      <c r="G577" s="106"/>
      <c r="H577" s="100"/>
      <c r="I577" s="106"/>
      <c r="J577" s="100"/>
      <c r="K577" s="55" t="s">
        <v>839</v>
      </c>
      <c r="AS577" s="56"/>
      <c r="AT577" s="55"/>
      <c r="CB577" s="56"/>
      <c r="CC577" s="54"/>
    </row>
    <row r="578" spans="2:81">
      <c r="B578" s="52" t="str">
        <f>IF(F578&lt;&gt;"",SUBTOTAL(3,$F$5:F578),"")</f>
        <v/>
      </c>
      <c r="C578" s="52"/>
      <c r="D578" s="53"/>
      <c r="E578" s="53"/>
      <c r="F578" s="53"/>
      <c r="G578" s="106"/>
      <c r="H578" s="100"/>
      <c r="I578" s="106"/>
      <c r="J578" s="100"/>
      <c r="K578" s="55" t="s">
        <v>840</v>
      </c>
      <c r="AS578" s="56"/>
      <c r="AT578" s="55"/>
      <c r="CB578" s="56"/>
      <c r="CC578" s="54"/>
    </row>
    <row r="579" spans="2:81">
      <c r="B579" s="52" t="str">
        <f>IF(F579&lt;&gt;"",SUBTOTAL(3,$F$5:F579),"")</f>
        <v/>
      </c>
      <c r="C579" s="52"/>
      <c r="D579" s="53"/>
      <c r="E579" s="53"/>
      <c r="F579" s="53"/>
      <c r="G579" s="106"/>
      <c r="H579" s="100"/>
      <c r="I579" s="106"/>
      <c r="J579" s="100"/>
      <c r="K579" s="55" t="s">
        <v>841</v>
      </c>
      <c r="AS579" s="56"/>
      <c r="AT579" s="55"/>
      <c r="CB579" s="56"/>
      <c r="CC579" s="54"/>
    </row>
    <row r="580" spans="2:81">
      <c r="B580" s="52" t="str">
        <f>IF(F580&lt;&gt;"",SUBTOTAL(3,$F$5:F580),"")</f>
        <v/>
      </c>
      <c r="C580" s="52"/>
      <c r="D580" s="53"/>
      <c r="E580" s="53"/>
      <c r="F580" s="53"/>
      <c r="G580" s="106"/>
      <c r="H580" s="100"/>
      <c r="I580" s="106"/>
      <c r="J580" s="100"/>
      <c r="K580" s="55" t="s">
        <v>836</v>
      </c>
      <c r="AS580" s="56"/>
      <c r="AT580" s="55"/>
      <c r="CB580" s="56"/>
      <c r="CC580" s="54"/>
    </row>
    <row r="581" spans="2:81" ht="15.75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5" t="s">
        <v>826</v>
      </c>
      <c r="AS581" s="56"/>
      <c r="AT581" s="55"/>
      <c r="CB581" s="56"/>
      <c r="CC581" s="54"/>
    </row>
    <row r="582" spans="2:81" ht="15.75">
      <c r="B582" s="52"/>
      <c r="C582" s="52"/>
      <c r="D582" s="53"/>
      <c r="E582" s="53"/>
      <c r="F582" s="53"/>
      <c r="G582" s="106"/>
      <c r="H582" s="100"/>
      <c r="I582" s="106"/>
      <c r="J582" s="100"/>
      <c r="K582" s="55" t="s">
        <v>829</v>
      </c>
      <c r="AS582" s="56"/>
      <c r="AT582" s="55"/>
      <c r="CB582" s="56"/>
      <c r="CC582" s="54"/>
    </row>
    <row r="583" spans="2:81" ht="15.75">
      <c r="B583" s="52"/>
      <c r="C583" s="52"/>
      <c r="D583" s="53"/>
      <c r="E583" s="53"/>
      <c r="F583" s="53"/>
      <c r="G583" s="106"/>
      <c r="H583" s="100"/>
      <c r="I583" s="106"/>
      <c r="J583" s="100"/>
      <c r="K583" s="55" t="s">
        <v>827</v>
      </c>
      <c r="AS583" s="56"/>
      <c r="AT583" s="55"/>
      <c r="CB583" s="56"/>
      <c r="CC583" s="54"/>
    </row>
    <row r="584" spans="2:81" ht="15.75">
      <c r="B584" s="52" t="str">
        <f>IF(F584&lt;&gt;"",SUBTOTAL(3,$F$5:F584),"")</f>
        <v/>
      </c>
      <c r="C584" s="52"/>
      <c r="D584" s="53"/>
      <c r="E584" s="53"/>
      <c r="F584" s="53"/>
      <c r="G584" s="106"/>
      <c r="H584" s="100"/>
      <c r="I584" s="106"/>
      <c r="J584" s="100"/>
      <c r="K584" s="55" t="s">
        <v>828</v>
      </c>
      <c r="AS584" s="56"/>
      <c r="AT584" s="55"/>
      <c r="CB584" s="56"/>
      <c r="CC584" s="54"/>
    </row>
    <row r="585" spans="2:81">
      <c r="B585" s="52"/>
      <c r="C585" s="52"/>
      <c r="D585" s="53"/>
      <c r="E585" s="53"/>
      <c r="F585" s="53"/>
      <c r="G585" s="106"/>
      <c r="H585" s="100"/>
      <c r="I585" s="106"/>
      <c r="J585" s="100"/>
      <c r="K585" s="55"/>
      <c r="AS585" s="56"/>
      <c r="AT585" s="55"/>
      <c r="CB585" s="56"/>
      <c r="CC585" s="54"/>
    </row>
    <row r="586" spans="2:81">
      <c r="B586" s="52"/>
      <c r="C586" s="52"/>
      <c r="D586" s="53"/>
      <c r="E586" s="53"/>
      <c r="F586" s="53"/>
      <c r="G586" s="106"/>
      <c r="H586" s="100"/>
      <c r="I586" s="106"/>
      <c r="J586" s="100"/>
      <c r="K586" s="55" t="s">
        <v>825</v>
      </c>
      <c r="AS586" s="56"/>
      <c r="AT586" s="55"/>
      <c r="CB586" s="56"/>
      <c r="CC586" s="54"/>
    </row>
    <row r="587" spans="2:81">
      <c r="B587" s="52" t="str">
        <f>IF(F587&lt;&gt;"",SUBTOTAL(3,$F$5:F587),"")</f>
        <v/>
      </c>
      <c r="C587" s="52"/>
      <c r="D587" s="53"/>
      <c r="E587" s="53"/>
      <c r="F587" s="53"/>
      <c r="G587" s="106"/>
      <c r="H587" s="100"/>
      <c r="I587" s="106"/>
      <c r="J587" s="100"/>
      <c r="K587" s="55"/>
      <c r="AS587" s="56"/>
      <c r="AT587" s="55"/>
      <c r="CB587" s="56"/>
      <c r="CC587" s="54"/>
    </row>
    <row r="588" spans="2:81">
      <c r="B588" s="52">
        <f>IF(F588&lt;&gt;"",SUBTOTAL(3,$F$5:F588),"")</f>
        <v>116</v>
      </c>
      <c r="C588" s="52"/>
      <c r="D588" s="53" t="s">
        <v>138</v>
      </c>
      <c r="E588" s="53" t="s">
        <v>141</v>
      </c>
      <c r="F588" s="53" t="s">
        <v>692</v>
      </c>
      <c r="G588" s="106">
        <v>44320</v>
      </c>
      <c r="H588" s="100">
        <v>1</v>
      </c>
      <c r="I588" s="106">
        <v>44815</v>
      </c>
      <c r="J588" s="100" t="s">
        <v>721</v>
      </c>
      <c r="K588" s="55" t="s">
        <v>792</v>
      </c>
      <c r="AS588" s="56"/>
      <c r="AT588" s="55"/>
      <c r="CB588" s="56"/>
      <c r="CC588" s="54"/>
    </row>
    <row r="589" spans="2:81">
      <c r="B589" s="52" t="str">
        <f>IF(F589&lt;&gt;"",SUBTOTAL(3,$F$5:F589),"")</f>
        <v/>
      </c>
      <c r="C589" s="52"/>
      <c r="D589" s="53"/>
      <c r="E589" s="53"/>
      <c r="F589" s="53"/>
      <c r="G589" s="106"/>
      <c r="H589" s="100"/>
      <c r="I589" s="106"/>
      <c r="J589" s="100"/>
      <c r="K589" s="51" t="s">
        <v>793</v>
      </c>
      <c r="AS589" s="56"/>
      <c r="AT589" s="55"/>
      <c r="CB589" s="56"/>
      <c r="CC589" s="54"/>
    </row>
    <row r="590" spans="2:81">
      <c r="B590" s="52"/>
      <c r="C590" s="52"/>
      <c r="D590" s="53"/>
      <c r="E590" s="53"/>
      <c r="F590" s="53"/>
      <c r="G590" s="106"/>
      <c r="H590" s="100"/>
      <c r="I590" s="106"/>
      <c r="J590" s="100"/>
      <c r="K590" s="51" t="s">
        <v>794</v>
      </c>
      <c r="AS590" s="56"/>
      <c r="AT590" s="55"/>
      <c r="CB590" s="56"/>
      <c r="CC590" s="54"/>
    </row>
    <row r="591" spans="2:81">
      <c r="B591" s="52" t="str">
        <f>IF(F591&lt;&gt;"",SUBTOTAL(3,$F$5:F591),"")</f>
        <v/>
      </c>
      <c r="C591" s="52"/>
      <c r="D591" s="53"/>
      <c r="E591" s="53"/>
      <c r="F591" s="53"/>
      <c r="G591" s="106"/>
      <c r="H591" s="100"/>
      <c r="I591" s="106"/>
      <c r="J591" s="100"/>
      <c r="K591" s="55" t="s">
        <v>693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/>
      <c r="AS592" s="56"/>
      <c r="AT592" s="55"/>
      <c r="CB592" s="56"/>
      <c r="CC592" s="54"/>
    </row>
    <row r="593" spans="2:81">
      <c r="B593" s="52" t="str">
        <f>IF(F593&lt;&gt;"",SUBTOTAL(3,$F$5:F593),"")</f>
        <v/>
      </c>
      <c r="C593" s="52"/>
      <c r="D593" s="53"/>
      <c r="E593" s="53"/>
      <c r="F593" s="53"/>
      <c r="G593" s="106"/>
      <c r="H593" s="100"/>
      <c r="I593" s="106"/>
      <c r="J593" s="100"/>
      <c r="K593" s="55" t="s">
        <v>797</v>
      </c>
      <c r="AS593" s="56"/>
      <c r="AT593" s="55"/>
      <c r="CB593" s="56"/>
      <c r="CC593" s="54"/>
    </row>
    <row r="594" spans="2:81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795</v>
      </c>
      <c r="AS594" s="56"/>
      <c r="AT594" s="55"/>
      <c r="CB594" s="56"/>
      <c r="CC594" s="54"/>
    </row>
    <row r="595" spans="2:81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124" t="s">
        <v>832</v>
      </c>
      <c r="L595" s="124"/>
      <c r="M595" s="124"/>
      <c r="N595" s="124"/>
      <c r="O595" s="124"/>
      <c r="P595" s="124"/>
      <c r="Q595" s="124"/>
      <c r="R595" s="124"/>
      <c r="S595" s="124"/>
      <c r="T595" s="124"/>
      <c r="U595" s="124"/>
      <c r="V595" s="124"/>
      <c r="W595" s="124"/>
      <c r="X595" s="124"/>
      <c r="Y595" s="124"/>
      <c r="Z595" s="124"/>
      <c r="AA595" s="124"/>
      <c r="AB595" s="124"/>
      <c r="AC595" s="124"/>
      <c r="AD595" s="124"/>
      <c r="AE595" s="124"/>
      <c r="AF595" s="124"/>
      <c r="AG595" s="124"/>
      <c r="AH595" s="124"/>
      <c r="AI595" s="124"/>
      <c r="AJ595" s="124"/>
      <c r="AK595" s="124"/>
      <c r="AL595" s="124"/>
      <c r="AM595" s="124"/>
      <c r="AN595" s="124"/>
      <c r="AO595" s="124"/>
      <c r="AP595" s="124"/>
      <c r="AQ595" s="124"/>
      <c r="AR595" s="124"/>
      <c r="AS595" s="125"/>
      <c r="AT595" s="55"/>
      <c r="CB595" s="56"/>
      <c r="CC595" s="54"/>
    </row>
    <row r="596" spans="2:81">
      <c r="B596" s="52"/>
      <c r="C596" s="52"/>
      <c r="D596" s="53"/>
      <c r="E596" s="53"/>
      <c r="F596" s="53"/>
      <c r="G596" s="106"/>
      <c r="H596" s="100"/>
      <c r="I596" s="106"/>
      <c r="J596" s="100"/>
      <c r="K596" s="124" t="s">
        <v>834</v>
      </c>
      <c r="L596" s="124"/>
      <c r="M596" s="124"/>
      <c r="N596" s="124"/>
      <c r="O596" s="124"/>
      <c r="P596" s="124"/>
      <c r="Q596" s="124"/>
      <c r="R596" s="124"/>
      <c r="S596" s="124"/>
      <c r="T596" s="124"/>
      <c r="U596" s="124"/>
      <c r="V596" s="124"/>
      <c r="W596" s="124"/>
      <c r="X596" s="124"/>
      <c r="Y596" s="124"/>
      <c r="Z596" s="124"/>
      <c r="AA596" s="124"/>
      <c r="AB596" s="124"/>
      <c r="AC596" s="124"/>
      <c r="AD596" s="124"/>
      <c r="AE596" s="124"/>
      <c r="AF596" s="124"/>
      <c r="AG596" s="124"/>
      <c r="AH596" s="124"/>
      <c r="AI596" s="124"/>
      <c r="AJ596" s="124"/>
      <c r="AK596" s="124"/>
      <c r="AL596" s="124"/>
      <c r="AM596" s="124"/>
      <c r="AN596" s="124"/>
      <c r="AO596" s="124"/>
      <c r="AP596" s="124"/>
      <c r="AQ596" s="124"/>
      <c r="AR596" s="124"/>
      <c r="AS596" s="125"/>
      <c r="AT596" s="55"/>
      <c r="CB596" s="56"/>
      <c r="CC596" s="54"/>
    </row>
    <row r="597" spans="2:81">
      <c r="B597" s="52"/>
      <c r="C597" s="52"/>
      <c r="D597" s="53"/>
      <c r="E597" s="53"/>
      <c r="F597" s="53"/>
      <c r="G597" s="106"/>
      <c r="H597" s="100"/>
      <c r="I597" s="106"/>
      <c r="J597" s="100"/>
      <c r="K597" s="124" t="s">
        <v>833</v>
      </c>
      <c r="L597" s="124"/>
      <c r="M597" s="124"/>
      <c r="N597" s="124"/>
      <c r="O597" s="124"/>
      <c r="P597" s="124"/>
      <c r="Q597" s="124"/>
      <c r="R597" s="124"/>
      <c r="S597" s="124"/>
      <c r="T597" s="124"/>
      <c r="U597" s="124"/>
      <c r="V597" s="124"/>
      <c r="W597" s="124"/>
      <c r="X597" s="124"/>
      <c r="Y597" s="124"/>
      <c r="Z597" s="124"/>
      <c r="AA597" s="124"/>
      <c r="AB597" s="124"/>
      <c r="AC597" s="124"/>
      <c r="AD597" s="124"/>
      <c r="AE597" s="124"/>
      <c r="AF597" s="124"/>
      <c r="AG597" s="124"/>
      <c r="AH597" s="124"/>
      <c r="AI597" s="124"/>
      <c r="AJ597" s="124"/>
      <c r="AK597" s="124"/>
      <c r="AL597" s="124"/>
      <c r="AM597" s="124"/>
      <c r="AN597" s="124"/>
      <c r="AO597" s="124"/>
      <c r="AP597" s="124"/>
      <c r="AQ597" s="124"/>
      <c r="AR597" s="124"/>
      <c r="AS597" s="125"/>
      <c r="AT597" s="55"/>
      <c r="CB597" s="56"/>
      <c r="CC597" s="54"/>
    </row>
    <row r="598" spans="2:81">
      <c r="B598" s="52"/>
      <c r="C598" s="52"/>
      <c r="D598" s="53"/>
      <c r="E598" s="53"/>
      <c r="F598" s="53"/>
      <c r="G598" s="106"/>
      <c r="H598" s="100"/>
      <c r="I598" s="106"/>
      <c r="J598" s="100"/>
      <c r="K598" s="124" t="s">
        <v>830</v>
      </c>
      <c r="L598" s="124"/>
      <c r="M598" s="124"/>
      <c r="N598" s="124"/>
      <c r="O598" s="124"/>
      <c r="P598" s="124"/>
      <c r="Q598" s="124"/>
      <c r="R598" s="124"/>
      <c r="S598" s="124"/>
      <c r="T598" s="124"/>
      <c r="U598" s="124"/>
      <c r="V598" s="124"/>
      <c r="W598" s="124"/>
      <c r="X598" s="124"/>
      <c r="Y598" s="124"/>
      <c r="Z598" s="124"/>
      <c r="AA598" s="124"/>
      <c r="AB598" s="124"/>
      <c r="AC598" s="124"/>
      <c r="AD598" s="124"/>
      <c r="AE598" s="124"/>
      <c r="AF598" s="124"/>
      <c r="AG598" s="124"/>
      <c r="AH598" s="124"/>
      <c r="AI598" s="124"/>
      <c r="AJ598" s="124"/>
      <c r="AK598" s="124"/>
      <c r="AL598" s="124"/>
      <c r="AM598" s="124"/>
      <c r="AN598" s="124"/>
      <c r="AO598" s="124"/>
      <c r="AP598" s="124"/>
      <c r="AQ598" s="124"/>
      <c r="AR598" s="124"/>
      <c r="AS598" s="125"/>
      <c r="AT598" s="55"/>
      <c r="CB598" s="56"/>
      <c r="CC598" s="54"/>
    </row>
    <row r="599" spans="2:81">
      <c r="B599" s="52"/>
      <c r="C599" s="52"/>
      <c r="D599" s="53"/>
      <c r="E599" s="53"/>
      <c r="F599" s="53"/>
      <c r="G599" s="106"/>
      <c r="H599" s="100"/>
      <c r="I599" s="106"/>
      <c r="J599" s="100"/>
      <c r="K599" s="124" t="s">
        <v>831</v>
      </c>
      <c r="L599" s="124"/>
      <c r="M599" s="124"/>
      <c r="N599" s="124"/>
      <c r="O599" s="124"/>
      <c r="P599" s="124"/>
      <c r="Q599" s="124"/>
      <c r="R599" s="124"/>
      <c r="S599" s="124"/>
      <c r="T599" s="124"/>
      <c r="U599" s="124"/>
      <c r="V599" s="124"/>
      <c r="W599" s="124"/>
      <c r="X599" s="124"/>
      <c r="Y599" s="124"/>
      <c r="Z599" s="124"/>
      <c r="AA599" s="124"/>
      <c r="AB599" s="124"/>
      <c r="AC599" s="124"/>
      <c r="AD599" s="124"/>
      <c r="AE599" s="124"/>
      <c r="AF599" s="124"/>
      <c r="AG599" s="124"/>
      <c r="AH599" s="124"/>
      <c r="AI599" s="124"/>
      <c r="AJ599" s="124"/>
      <c r="AK599" s="124"/>
      <c r="AL599" s="124"/>
      <c r="AM599" s="124"/>
      <c r="AN599" s="124"/>
      <c r="AO599" s="124"/>
      <c r="AP599" s="124"/>
      <c r="AQ599" s="124"/>
      <c r="AR599" s="124"/>
      <c r="AS599" s="125"/>
      <c r="AT599" s="55"/>
      <c r="CB599" s="56"/>
      <c r="CC599" s="54"/>
    </row>
    <row r="600" spans="2:81">
      <c r="B600" s="52" t="str">
        <f>IF(F600&lt;&gt;"",SUBTOTAL(3,$F$5:F600),"")</f>
        <v/>
      </c>
      <c r="C600" s="52"/>
      <c r="D600" s="53"/>
      <c r="E600" s="53"/>
      <c r="F600" s="53"/>
      <c r="G600" s="106"/>
      <c r="H600" s="100"/>
      <c r="I600" s="106"/>
      <c r="J600" s="100"/>
      <c r="K600" s="55" t="s">
        <v>798</v>
      </c>
      <c r="AS600" s="56"/>
      <c r="AT600" s="55"/>
      <c r="CB600" s="56"/>
      <c r="CC600" s="54"/>
    </row>
    <row r="601" spans="2:81">
      <c r="B601" s="52"/>
      <c r="C601" s="52"/>
      <c r="D601" s="53"/>
      <c r="E601" s="53"/>
      <c r="F601" s="53"/>
      <c r="G601" s="106"/>
      <c r="H601" s="100"/>
      <c r="I601" s="106"/>
      <c r="J601" s="100"/>
      <c r="K601" s="55" t="s">
        <v>796</v>
      </c>
      <c r="AS601" s="56"/>
      <c r="AT601" s="55"/>
      <c r="CB601" s="56"/>
      <c r="CC601" s="54"/>
    </row>
    <row r="602" spans="2:81">
      <c r="B602" s="52"/>
      <c r="C602" s="52"/>
      <c r="D602" s="53"/>
      <c r="E602" s="53"/>
      <c r="F602" s="53"/>
      <c r="G602" s="106"/>
      <c r="H602" s="100"/>
      <c r="I602" s="106"/>
      <c r="J602" s="100"/>
      <c r="K602" s="55" t="s">
        <v>693</v>
      </c>
      <c r="AS602" s="56"/>
      <c r="AT602" s="55"/>
      <c r="CB602" s="56"/>
      <c r="CC602" s="54"/>
    </row>
    <row r="603" spans="2:81">
      <c r="B603" s="52" t="str">
        <f>IF(F603&lt;&gt;"",SUBTOTAL(3,$F$5:F603),"")</f>
        <v/>
      </c>
      <c r="C603" s="52"/>
      <c r="D603" s="53"/>
      <c r="E603" s="53"/>
      <c r="F603" s="53"/>
      <c r="G603" s="106"/>
      <c r="H603" s="100"/>
      <c r="I603" s="106"/>
      <c r="J603" s="100"/>
      <c r="K603" s="55"/>
      <c r="AS603" s="56"/>
      <c r="AT603" s="55"/>
      <c r="CB603" s="56"/>
      <c r="CC603" s="54"/>
    </row>
    <row r="604" spans="2:81">
      <c r="B604" s="52">
        <f>IF(F604&lt;&gt;"",SUBTOTAL(3,$F$5:F604),"")</f>
        <v>117</v>
      </c>
      <c r="C604" s="52"/>
      <c r="D604" s="53" t="s">
        <v>138</v>
      </c>
      <c r="E604" s="53" t="s">
        <v>141</v>
      </c>
      <c r="F604" s="53" t="s">
        <v>694</v>
      </c>
      <c r="G604" s="106">
        <v>44321</v>
      </c>
      <c r="H604" s="100">
        <v>1</v>
      </c>
      <c r="I604" s="106">
        <v>44808</v>
      </c>
      <c r="J604" s="100" t="s">
        <v>721</v>
      </c>
      <c r="K604" s="55" t="s">
        <v>790</v>
      </c>
      <c r="AS604" s="56"/>
      <c r="AT604" s="55"/>
      <c r="CB604" s="56"/>
      <c r="CC604" s="54"/>
    </row>
    <row r="605" spans="2:81">
      <c r="B605" s="52" t="str">
        <f>IF(F605&lt;&gt;"",SUBTOTAL(3,$F$5:F605),"")</f>
        <v/>
      </c>
      <c r="C605" s="52"/>
      <c r="D605" s="53"/>
      <c r="E605" s="53"/>
      <c r="F605" s="53"/>
      <c r="G605" s="106"/>
      <c r="H605" s="100"/>
      <c r="I605" s="106"/>
      <c r="J605" s="100"/>
      <c r="K605" s="55" t="s">
        <v>791</v>
      </c>
      <c r="AS605" s="56"/>
      <c r="AT605" s="55"/>
      <c r="CB605" s="56"/>
      <c r="CC605" s="54"/>
    </row>
    <row r="606" spans="2:81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 t="s">
        <v>788</v>
      </c>
      <c r="AS606" s="56"/>
      <c r="AT606" s="55"/>
      <c r="CB606" s="56"/>
      <c r="CC606" s="54"/>
    </row>
    <row r="607" spans="2:81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 t="s">
        <v>789</v>
      </c>
      <c r="AS607" s="56"/>
      <c r="AT607" s="55"/>
      <c r="CB607" s="56"/>
      <c r="CC607" s="54"/>
    </row>
    <row r="608" spans="2:81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/>
      <c r="AS608" s="56"/>
      <c r="AT608" s="55"/>
      <c r="CB608" s="56"/>
      <c r="CC608" s="54"/>
    </row>
    <row r="609" spans="2:84">
      <c r="B609" s="52">
        <f>IF(F609&lt;&gt;"",SUBTOTAL(3,$F$5:F609),"")</f>
        <v>118</v>
      </c>
      <c r="C609" s="52"/>
      <c r="D609" s="53" t="s">
        <v>138</v>
      </c>
      <c r="E609" s="53" t="s">
        <v>141</v>
      </c>
      <c r="F609" s="53" t="s">
        <v>695</v>
      </c>
      <c r="G609" s="106">
        <v>44321</v>
      </c>
      <c r="H609" s="100">
        <v>1</v>
      </c>
      <c r="I609" s="106">
        <v>44807</v>
      </c>
      <c r="J609" s="100" t="s">
        <v>721</v>
      </c>
      <c r="K609" s="55" t="s">
        <v>824</v>
      </c>
      <c r="AS609" s="56"/>
      <c r="AT609" s="55"/>
      <c r="CB609" s="56"/>
      <c r="CC609" s="54"/>
    </row>
    <row r="610" spans="2:84">
      <c r="B610" s="52" t="str">
        <f>IF(F610&lt;&gt;"",SUBTOTAL(3,$F$5:F610),"")</f>
        <v/>
      </c>
      <c r="C610" s="52"/>
      <c r="D610" s="53"/>
      <c r="E610" s="53"/>
      <c r="F610" s="53"/>
      <c r="G610" s="106"/>
      <c r="H610" s="100"/>
      <c r="I610" s="106"/>
      <c r="J610" s="100"/>
      <c r="K610" s="55" t="s">
        <v>822</v>
      </c>
      <c r="AS610" s="56"/>
      <c r="AT610" s="55"/>
      <c r="CB610" s="56"/>
      <c r="CC610" s="54"/>
    </row>
    <row r="611" spans="2:84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 t="s">
        <v>823</v>
      </c>
      <c r="AS611" s="56"/>
      <c r="AT611" s="55"/>
      <c r="CB611" s="56"/>
      <c r="CC611" s="54"/>
    </row>
    <row r="612" spans="2:84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 t="s">
        <v>787</v>
      </c>
      <c r="AS612" s="56"/>
      <c r="AT612" s="55"/>
      <c r="CB612" s="56"/>
      <c r="CC612" s="54"/>
    </row>
    <row r="613" spans="2:84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/>
      <c r="AS613" s="56"/>
      <c r="AT613" s="55"/>
      <c r="CB613" s="56"/>
      <c r="CC613" s="54"/>
      <c r="CE613" s="51" t="s">
        <v>1</v>
      </c>
      <c r="CF613" s="51" t="s">
        <v>717</v>
      </c>
    </row>
    <row r="614" spans="2:84">
      <c r="B614" s="52">
        <f>IF(F614&lt;&gt;"",SUBTOTAL(3,$F$5:F614),"")</f>
        <v>119</v>
      </c>
      <c r="C614" s="52"/>
      <c r="D614" s="53" t="s">
        <v>138</v>
      </c>
      <c r="E614" s="53" t="s">
        <v>141</v>
      </c>
      <c r="F614" s="53" t="s">
        <v>696</v>
      </c>
      <c r="G614" s="106">
        <v>44327</v>
      </c>
      <c r="H614" s="100">
        <v>1</v>
      </c>
      <c r="I614" s="106">
        <v>44807</v>
      </c>
      <c r="J614" s="100" t="s">
        <v>721</v>
      </c>
      <c r="K614" s="55" t="s">
        <v>714</v>
      </c>
      <c r="AS614" s="56"/>
      <c r="AT614" s="55"/>
      <c r="CB614" s="56"/>
      <c r="CC614" s="54"/>
      <c r="CE614" s="51" t="s">
        <v>1</v>
      </c>
      <c r="CF614" s="51" t="s">
        <v>716</v>
      </c>
    </row>
    <row r="615" spans="2:84">
      <c r="B615" s="52" t="str">
        <f>IF(F615&lt;&gt;"",SUBTOTAL(3,$F$5:F615),"")</f>
        <v/>
      </c>
      <c r="C615" s="52"/>
      <c r="D615" s="53"/>
      <c r="E615" s="53"/>
      <c r="F615" s="53"/>
      <c r="G615" s="106"/>
      <c r="H615" s="100"/>
      <c r="I615" s="106"/>
      <c r="J615" s="100"/>
      <c r="K615" s="55" t="s">
        <v>715</v>
      </c>
      <c r="AS615" s="56"/>
      <c r="AT615" s="55"/>
      <c r="CB615" s="56"/>
      <c r="CC615" s="54"/>
    </row>
    <row r="616" spans="2:84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 t="s">
        <v>817</v>
      </c>
      <c r="AS616" s="56"/>
      <c r="AT616" s="55"/>
      <c r="CB616" s="56"/>
      <c r="CC616" s="54"/>
    </row>
    <row r="617" spans="2:84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 t="s">
        <v>816</v>
      </c>
      <c r="AS617" s="56"/>
      <c r="AT617" s="55"/>
      <c r="CB617" s="56"/>
      <c r="CC617" s="54"/>
    </row>
    <row r="618" spans="2:84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/>
      <c r="AS618" s="56"/>
      <c r="AT618" s="55"/>
      <c r="CB618" s="56"/>
      <c r="CC618" s="54"/>
    </row>
    <row r="619" spans="2:84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 t="s">
        <v>1</v>
      </c>
      <c r="L619"/>
      <c r="M619"/>
      <c r="N619" s="51" t="s">
        <v>819</v>
      </c>
      <c r="U619" s="51" t="s">
        <v>820</v>
      </c>
      <c r="AS619" s="56"/>
      <c r="AT619" s="55"/>
      <c r="CB619" s="56"/>
      <c r="CC619" s="54"/>
      <c r="CE619" s="51" t="s">
        <v>821</v>
      </c>
    </row>
    <row r="620" spans="2:84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/>
      <c r="M620"/>
      <c r="N620"/>
      <c r="AS620" s="56"/>
      <c r="AT620" s="55"/>
      <c r="CB620" s="56"/>
      <c r="CC620" s="54"/>
      <c r="CE620" s="51" t="s">
        <v>818</v>
      </c>
    </row>
    <row r="621" spans="2:84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M621"/>
      <c r="AS621" s="56"/>
      <c r="AT621" s="55"/>
      <c r="CB621" s="56"/>
      <c r="CC621" s="54"/>
    </row>
    <row r="622" spans="2:84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AS622" s="56"/>
      <c r="AT622" s="55"/>
      <c r="CB622" s="56"/>
      <c r="CC622" s="54"/>
    </row>
    <row r="623" spans="2:84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4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52" t="str">
        <f>IF(F806&lt;&gt;"",SUBTOTAL(3,$F$5:F806),"")</f>
        <v/>
      </c>
      <c r="C806" s="52"/>
      <c r="D806" s="53"/>
      <c r="E806" s="53"/>
      <c r="F806" s="53"/>
      <c r="G806" s="106"/>
      <c r="H806" s="100"/>
      <c r="I806" s="106"/>
      <c r="J806" s="100"/>
      <c r="K806" s="55"/>
      <c r="AS806" s="56"/>
      <c r="AT806" s="55"/>
      <c r="CB806" s="56"/>
      <c r="CC806" s="54"/>
    </row>
    <row r="807" spans="2:81">
      <c r="B807" s="52" t="str">
        <f>IF(F807&lt;&gt;"",SUBTOTAL(3,$F$5:F807),"")</f>
        <v/>
      </c>
      <c r="C807" s="52"/>
      <c r="D807" s="53"/>
      <c r="E807" s="53"/>
      <c r="F807" s="53"/>
      <c r="G807" s="106"/>
      <c r="H807" s="100"/>
      <c r="I807" s="106"/>
      <c r="J807" s="100"/>
      <c r="K807" s="55"/>
      <c r="AS807" s="56"/>
      <c r="AT807" s="55"/>
      <c r="CB807" s="56"/>
      <c r="CC807" s="54"/>
    </row>
    <row r="808" spans="2:81">
      <c r="B808" s="52" t="str">
        <f>IF(F808&lt;&gt;"",SUBTOTAL(3,$F$5:F808),"")</f>
        <v/>
      </c>
      <c r="C808" s="52"/>
      <c r="D808" s="53"/>
      <c r="E808" s="53"/>
      <c r="F808" s="53"/>
      <c r="G808" s="106"/>
      <c r="H808" s="100"/>
      <c r="I808" s="106"/>
      <c r="J808" s="100"/>
      <c r="K808" s="55"/>
      <c r="AS808" s="56"/>
      <c r="AT808" s="55"/>
      <c r="CB808" s="56"/>
      <c r="CC808" s="54"/>
    </row>
    <row r="809" spans="2:81">
      <c r="B809" s="52" t="str">
        <f>IF(F809&lt;&gt;"",SUBTOTAL(3,$F$5:F809),"")</f>
        <v/>
      </c>
      <c r="C809" s="52"/>
      <c r="D809" s="53"/>
      <c r="E809" s="53"/>
      <c r="F809" s="53"/>
      <c r="G809" s="106"/>
      <c r="H809" s="100"/>
      <c r="I809" s="106"/>
      <c r="J809" s="100"/>
      <c r="K809" s="55"/>
      <c r="AS809" s="56"/>
      <c r="AT809" s="55"/>
      <c r="CB809" s="56"/>
      <c r="CC809" s="54"/>
    </row>
    <row r="810" spans="2:81">
      <c r="B810" s="52" t="str">
        <f>IF(F810&lt;&gt;"",SUBTOTAL(3,$F$5:F810),"")</f>
        <v/>
      </c>
      <c r="C810" s="52"/>
      <c r="D810" s="53"/>
      <c r="E810" s="53"/>
      <c r="F810" s="53"/>
      <c r="G810" s="106"/>
      <c r="H810" s="100"/>
      <c r="I810" s="106"/>
      <c r="J810" s="100"/>
      <c r="K810" s="55"/>
      <c r="AS810" s="56"/>
      <c r="AT810" s="55"/>
      <c r="CB810" s="56"/>
      <c r="CC810" s="54"/>
    </row>
    <row r="811" spans="2:81">
      <c r="B811" s="52" t="str">
        <f>IF(F811&lt;&gt;"",SUBTOTAL(3,$F$5:F811),"")</f>
        <v/>
      </c>
      <c r="C811" s="52"/>
      <c r="D811" s="53"/>
      <c r="E811" s="53"/>
      <c r="F811" s="53"/>
      <c r="G811" s="106"/>
      <c r="H811" s="100"/>
      <c r="I811" s="106"/>
      <c r="J811" s="100"/>
      <c r="K811" s="55"/>
      <c r="AS811" s="56"/>
      <c r="AT811" s="55"/>
      <c r="CB811" s="56"/>
      <c r="CC811" s="54"/>
    </row>
    <row r="812" spans="2:81">
      <c r="B812" s="52" t="str">
        <f>IF(F812&lt;&gt;"",SUBTOTAL(3,$F$5:F812),"")</f>
        <v/>
      </c>
      <c r="C812" s="52"/>
      <c r="D812" s="53"/>
      <c r="E812" s="53"/>
      <c r="F812" s="53"/>
      <c r="G812" s="106"/>
      <c r="H812" s="100"/>
      <c r="I812" s="106"/>
      <c r="J812" s="100"/>
      <c r="K812" s="55"/>
      <c r="AS812" s="56"/>
      <c r="AT812" s="55"/>
      <c r="CB812" s="56"/>
      <c r="CC812" s="54"/>
    </row>
    <row r="813" spans="2:81">
      <c r="B813" s="52" t="str">
        <f>IF(F813&lt;&gt;"",SUBTOTAL(3,$F$5:F813),"")</f>
        <v/>
      </c>
      <c r="C813" s="52"/>
      <c r="D813" s="53"/>
      <c r="E813" s="53"/>
      <c r="F813" s="53"/>
      <c r="G813" s="106"/>
      <c r="H813" s="100"/>
      <c r="I813" s="106"/>
      <c r="J813" s="100"/>
      <c r="K813" s="55"/>
      <c r="AS813" s="56"/>
      <c r="AT813" s="55"/>
      <c r="CB813" s="56"/>
      <c r="CC813" s="54"/>
    </row>
    <row r="814" spans="2:81">
      <c r="B814" s="52" t="str">
        <f>IF(F814&lt;&gt;"",SUBTOTAL(3,$F$5:F814),"")</f>
        <v/>
      </c>
      <c r="C814" s="52"/>
      <c r="D814" s="53"/>
      <c r="E814" s="53"/>
      <c r="F814" s="53"/>
      <c r="G814" s="106"/>
      <c r="H814" s="100"/>
      <c r="I814" s="106"/>
      <c r="J814" s="100"/>
      <c r="K814" s="55"/>
      <c r="AS814" s="56"/>
      <c r="AT814" s="55"/>
      <c r="CB814" s="56"/>
      <c r="CC814" s="54"/>
    </row>
    <row r="815" spans="2:81">
      <c r="B815" s="52" t="str">
        <f>IF(F815&lt;&gt;"",SUBTOTAL(3,$F$5:F815),"")</f>
        <v/>
      </c>
      <c r="C815" s="52"/>
      <c r="D815" s="53"/>
      <c r="E815" s="53"/>
      <c r="F815" s="53"/>
      <c r="G815" s="106"/>
      <c r="H815" s="100"/>
      <c r="I815" s="106"/>
      <c r="J815" s="100"/>
      <c r="K815" s="55"/>
      <c r="AS815" s="56"/>
      <c r="AT815" s="55"/>
      <c r="CB815" s="56"/>
      <c r="CC815" s="54"/>
    </row>
    <row r="816" spans="2:81">
      <c r="B816" s="52" t="str">
        <f>IF(F816&lt;&gt;"",SUBTOTAL(3,$F$5:F816),"")</f>
        <v/>
      </c>
      <c r="C816" s="52"/>
      <c r="D816" s="53"/>
      <c r="E816" s="53"/>
      <c r="F816" s="53"/>
      <c r="G816" s="106"/>
      <c r="H816" s="100"/>
      <c r="I816" s="106"/>
      <c r="J816" s="100"/>
      <c r="K816" s="55"/>
      <c r="AS816" s="56"/>
      <c r="AT816" s="55"/>
      <c r="CB816" s="56"/>
      <c r="CC816" s="54"/>
    </row>
    <row r="817" spans="2:81">
      <c r="B817" s="52" t="str">
        <f>IF(F817&lt;&gt;"",SUBTOTAL(3,$F$5:F817),"")</f>
        <v/>
      </c>
      <c r="C817" s="52"/>
      <c r="D817" s="53"/>
      <c r="E817" s="53"/>
      <c r="F817" s="53"/>
      <c r="G817" s="106"/>
      <c r="H817" s="100"/>
      <c r="I817" s="106"/>
      <c r="J817" s="100"/>
      <c r="K817" s="55"/>
      <c r="AS817" s="56"/>
      <c r="AT817" s="55"/>
      <c r="CB817" s="56"/>
      <c r="CC817" s="54"/>
    </row>
    <row r="818" spans="2:81">
      <c r="B818" s="52" t="str">
        <f>IF(F818&lt;&gt;"",SUBTOTAL(3,$F$5:F818),"")</f>
        <v/>
      </c>
      <c r="C818" s="52"/>
      <c r="D818" s="53"/>
      <c r="E818" s="53"/>
      <c r="F818" s="53"/>
      <c r="G818" s="106"/>
      <c r="H818" s="100"/>
      <c r="I818" s="106"/>
      <c r="J818" s="100"/>
      <c r="K818" s="55"/>
      <c r="AS818" s="56"/>
      <c r="AT818" s="55"/>
      <c r="CB818" s="56"/>
      <c r="CC818" s="54"/>
    </row>
    <row r="819" spans="2:81">
      <c r="B819" s="72" t="str">
        <f>IF(F819&lt;&gt;"",SUBTOTAL(3,$F$5:F819),"")</f>
        <v/>
      </c>
      <c r="C819" s="72"/>
      <c r="D819" s="73"/>
      <c r="E819" s="73"/>
      <c r="F819" s="73"/>
      <c r="G819" s="107"/>
      <c r="H819" s="104"/>
      <c r="I819" s="107"/>
      <c r="J819" s="104"/>
      <c r="K819" s="74"/>
      <c r="L819" s="75"/>
      <c r="M819" s="75"/>
      <c r="N819" s="75"/>
      <c r="O819" s="75"/>
      <c r="P819" s="75"/>
      <c r="Q819" s="75"/>
      <c r="R819" s="75"/>
      <c r="S819" s="75"/>
      <c r="T819" s="75"/>
      <c r="U819" s="75"/>
      <c r="V819" s="75"/>
      <c r="W819" s="75"/>
      <c r="X819" s="75"/>
      <c r="Y819" s="75"/>
      <c r="Z819" s="75"/>
      <c r="AA819" s="75"/>
      <c r="AB819" s="75"/>
      <c r="AC819" s="75"/>
      <c r="AD819" s="75"/>
      <c r="AE819" s="75"/>
      <c r="AF819" s="75"/>
      <c r="AG819" s="75"/>
      <c r="AH819" s="75"/>
      <c r="AI819" s="75"/>
      <c r="AJ819" s="75"/>
      <c r="AK819" s="75"/>
      <c r="AL819" s="75"/>
      <c r="AM819" s="75"/>
      <c r="AN819" s="75"/>
      <c r="AO819" s="75"/>
      <c r="AP819" s="75"/>
      <c r="AQ819" s="75"/>
      <c r="AR819" s="75"/>
      <c r="AS819" s="76"/>
      <c r="AT819" s="74"/>
      <c r="AU819" s="75"/>
      <c r="AV819" s="75"/>
      <c r="AW819" s="75"/>
      <c r="AX819" s="75"/>
      <c r="AY819" s="75"/>
      <c r="AZ819" s="75"/>
      <c r="BA819" s="75"/>
      <c r="BB819" s="75"/>
      <c r="BC819" s="75"/>
      <c r="BD819" s="75"/>
      <c r="BE819" s="75"/>
      <c r="BF819" s="75"/>
      <c r="BG819" s="75"/>
      <c r="BH819" s="75"/>
      <c r="BI819" s="75"/>
      <c r="BJ819" s="75"/>
      <c r="BK819" s="75"/>
      <c r="BL819" s="75"/>
      <c r="BM819" s="75"/>
      <c r="BN819" s="75"/>
      <c r="BO819" s="75"/>
      <c r="BP819" s="75"/>
      <c r="BQ819" s="75"/>
      <c r="BR819" s="75"/>
      <c r="BS819" s="75"/>
      <c r="BT819" s="75"/>
      <c r="BU819" s="75"/>
      <c r="BV819" s="75"/>
      <c r="BW819" s="75"/>
      <c r="BX819" s="75"/>
      <c r="BY819" s="75"/>
      <c r="BZ819" s="75"/>
      <c r="CA819" s="75"/>
      <c r="CB819" s="76"/>
      <c r="CC819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19" xr:uid="{CDD3132F-D59C-4B0A-9A7C-94B9D9A88440}">
      <formula1>"100%,80%,50%,30%,0%"</formula1>
    </dataValidation>
    <dataValidation type="list" allowBlank="1" showInputMessage="1" showErrorMessage="1" sqref="J5:J819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2" t="s">
        <v>8</v>
      </c>
      <c r="C2" s="134" t="s">
        <v>704</v>
      </c>
      <c r="D2" s="130" t="s">
        <v>140</v>
      </c>
      <c r="E2" s="131"/>
      <c r="F2" s="131"/>
      <c r="G2" s="144" t="s">
        <v>724</v>
      </c>
      <c r="H2" s="145"/>
      <c r="I2" s="144" t="s">
        <v>725</v>
      </c>
      <c r="J2" s="145"/>
      <c r="K2" s="130" t="s">
        <v>229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367</v>
      </c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2"/>
      <c r="CC2" s="128" t="s">
        <v>11</v>
      </c>
    </row>
    <row r="3" spans="2:81" s="91" customFormat="1" ht="15.75">
      <c r="B3" s="133"/>
      <c r="C3" s="135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700</v>
      </c>
      <c r="I3" s="95" t="s">
        <v>10</v>
      </c>
      <c r="J3" s="94" t="s">
        <v>700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40"/>
      <c r="AT3" s="138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43"/>
      <c r="CC3" s="129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720</v>
      </c>
      <c r="E5" s="53" t="s">
        <v>722</v>
      </c>
      <c r="F5" s="53" t="s">
        <v>723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727</v>
      </c>
      <c r="AS5" s="56"/>
      <c r="AT5" s="55" t="s">
        <v>1</v>
      </c>
      <c r="AU5" s="51" t="s">
        <v>728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729</v>
      </c>
      <c r="AS6" s="56"/>
      <c r="AT6" s="55" t="s">
        <v>1</v>
      </c>
      <c r="AU6" s="51" t="s">
        <v>731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726</v>
      </c>
      <c r="L7" s="51" t="s">
        <v>730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719</v>
      </c>
      <c r="E9" s="53" t="s">
        <v>721</v>
      </c>
      <c r="F9" s="53" t="s">
        <v>732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734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735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719</v>
      </c>
      <c r="E12" s="53" t="s">
        <v>721</v>
      </c>
      <c r="F12" s="53" t="s">
        <v>733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736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739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738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737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740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741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742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743</v>
      </c>
      <c r="N19" s="51" t="s">
        <v>744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745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719</v>
      </c>
      <c r="E22" s="53" t="s">
        <v>721</v>
      </c>
      <c r="F22" s="53" t="s">
        <v>746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747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748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749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750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752</v>
      </c>
      <c r="P26" s="51" t="s">
        <v>755</v>
      </c>
      <c r="R26" s="51" t="s">
        <v>756</v>
      </c>
      <c r="U26" s="51" t="s">
        <v>763</v>
      </c>
      <c r="X26" s="51" t="s">
        <v>768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753</v>
      </c>
      <c r="P27" s="51" t="s">
        <v>757</v>
      </c>
      <c r="R27" s="51" t="s">
        <v>758</v>
      </c>
      <c r="U27" s="51" t="s">
        <v>764</v>
      </c>
      <c r="X27" s="51" t="s">
        <v>769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754</v>
      </c>
      <c r="P28" s="51" t="s">
        <v>759</v>
      </c>
      <c r="R28" s="51" t="s">
        <v>760</v>
      </c>
      <c r="U28" s="51" t="s">
        <v>765</v>
      </c>
      <c r="X28" s="51" t="s">
        <v>770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774</v>
      </c>
      <c r="P29" s="51" t="s">
        <v>775</v>
      </c>
      <c r="R29" s="51" t="s">
        <v>776</v>
      </c>
      <c r="U29" s="51" t="s">
        <v>777</v>
      </c>
      <c r="X29" s="51" t="s">
        <v>778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751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761</v>
      </c>
      <c r="P31" s="51" t="s">
        <v>762</v>
      </c>
      <c r="U31" s="51" t="s">
        <v>766</v>
      </c>
      <c r="X31" s="51" t="s">
        <v>767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771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772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773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751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779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782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783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784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785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786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780</v>
      </c>
      <c r="N42" s="110" t="s">
        <v>781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2022-09-19T11:45:04Z</dcterms:modified>
</cp:coreProperties>
</file>
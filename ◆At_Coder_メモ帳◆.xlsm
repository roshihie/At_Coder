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270663A5-7F13-48ED-9B9A-6195D4DEE1E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At_Coder_C問題!$K$29</definedName>
    <definedName name="fromABC143_C_Slimes">At_Coder_C問題!$K$63</definedName>
    <definedName name="fromABC147_C_Honest_or_Unkind2">At_Coder_C問題!$K$68</definedName>
    <definedName name="fromABC149_C_NextPrime">At_Coder_C問題!$K$70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  <c r="B21" i="3" l="1"/>
  <c r="B20" i="3" l="1"/>
  <c r="B24" i="3" l="1"/>
  <c r="B25" i="3"/>
  <c r="B26" i="3"/>
  <c r="B27" i="3"/>
  <c r="B28" i="3"/>
  <c r="B29" i="3"/>
  <c r="B30" i="3"/>
  <c r="B31" i="3"/>
  <c r="B32" i="3"/>
  <c r="B33" i="3"/>
  <c r="B34" i="3"/>
  <c r="B35" i="3"/>
  <c r="B36" i="3"/>
  <c r="B22" i="3"/>
  <c r="B38" i="3" l="1"/>
  <c r="B39" i="3" l="1"/>
  <c r="B40" i="3" l="1"/>
  <c r="B41" i="3" l="1"/>
  <c r="B2042" i="3" l="1"/>
  <c r="B2041" i="3"/>
  <c r="B2040" i="3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<sst xmlns="http://schemas.openxmlformats.org/spreadsheetml/2006/main" count="609" uniqueCount="304">
  <si>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</si>
  <si>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</si>
  <si>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</si>
  <si>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</si>
  <si>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</si>
  <si>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</si>
  <si>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</si>
  <si>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</si>
  <si>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</si>
  <si>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</si>
  <si>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</si>
  <si>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</si>
  <si>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</si>
  <si>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</si>
  <si>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</si>
  <si>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</si>
  <si>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</si>
  <si>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</si>
  <si>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</si>
  <si>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</si>
  <si>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</si>
  <si>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</si>
  <si>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</si>
  <si>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</si>
  <si>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</si>
  <si>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</si>
  <si>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</si>
  <si>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</si>
  <si>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</si>
  <si>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</si>
  <si>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</si>
  <si>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</si>
  <si>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</si>
  <si>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</si>
  <si>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</si>
  <si>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</si>
  <si>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</si>
  <si>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</si>
  <si>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</si>
  <si>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</si>
  <si>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</si>
  <si>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</si>
  <si>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</si>
  <si>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</si>
  <si>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</si>
  <si>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</si>
  <si>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</si>
  <si>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</si>
  <si>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</si>
  <si>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</si>
  <si>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</si>
  <si>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</si>
  <si>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</si>
  <si>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</si>
  <si>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</si>
  <si>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</si>
  <si>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</si>
  <si>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</si>
  <si>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</si>
  <si>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</si>
  <si>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</si>
  <si>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</si>
  <si>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</si>
  <si>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</si>
  <si>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</si>
  <si>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</si>
  <si>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</si>
  <si>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</si>
  <si>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</si>
  <si>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</si>
  <si>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</si>
  <si>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</si>
  <si>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</si>
  <si>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</si>
  <si>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</si>
  <si>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</si>
  <si>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</si>
  <si>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</si>
  <si>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</si>
  <si>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</si>
  <si>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</si>
  <si>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</si>
  <si>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</si>
  <si>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</si>
  <si>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</si>
  <si>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</si>
  <si>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</si>
  <si>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</si>
  <si>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</si>
  <si>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</si>
  <si>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</si>
  <si>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</si>
  <si>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</si>
  <si>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</si>
  <si>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</si>
  <si>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</si>
  <si>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</si>
  <si>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</si>
  <si>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</si>
  <si>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</si>
  <si>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</si>
  <si>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</si>
  <si>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</si>
  <si>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</si>
  <si>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</si>
  <si>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</si>
  <si>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</si>
  <si>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</si>
  <si>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</si>
  <si>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</si>
  <si>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</si>
  <si>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</si>
  <si>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</si>
  <si>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</si>
  <si>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</si>
  <si>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</si>
  <si>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</si>
  <si>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</si>
  <si>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</si>
  <si>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</si>
  <si>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</si>
  <si>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</si>
  <si>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</si>
  <si>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</si>
  <si>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</si>
  <si>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</si>
  <si>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</si>
  <si>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</si>
  <si>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</si>
  <si>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</si>
  <si>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</si>
  <si>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</si>
  <si>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</si>
  <si>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</si>
  <si>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</si>
  <si>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</si>
  <si>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</si>
  <si>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</si>
  <si>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</si>
  <si>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</si>
  <si>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</si>
  <si>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</si>
  <si>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</si>
  <si>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</si>
  <si>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</si>
  <si>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</si>
  <si>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</si>
  <si>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</si>
  <si>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</si>
  <si>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</si>
  <si>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</si>
  <si>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</si>
  <si>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</si>
  <si>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</si>
  <si>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</si>
  <si>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</si>
  <si>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</si>
  <si>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</si>
  <si>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</si>
  <si>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</si>
  <si>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</si>
  <si>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</si>
  <si>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</si>
  <si>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</si>
  <si>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</si>
  <si>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</si>
  <si>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</si>
  <si>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</si>
  <si>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</si>
  <si>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</si>
  <si>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</si>
  <si>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</si>
  <si>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</si>
  <si>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</si>
  <si>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</si>
  <si>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</si>
  <si>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</si>
  <si>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</si>
  <si>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</si>
  <si>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</si>
  <si>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</si>
  <si>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</si>
  <si>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</si>
  <si>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</si>
  <si>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</si>
  <si>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</si>
  <si>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</si>
  <si>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</si>
  <si>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</si>
  <si>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</si>
  <si>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</si>
  <si>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</si>
  <si>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</si>
  <si>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</si>
  <si>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</si>
  <si>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</si>
  <si>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</si>
  <si>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</si>
  <si>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</si>
  <si>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</si>
  <si>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</si>
  <si>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</si>
  <si>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</si>
  <si>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</si>
  <si>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</si>
  <si>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</si>
  <si>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</si>
  <si>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</si>
  <si>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</si>
  <si>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</si>
  <si>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</si>
  <si>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</si>
  <si>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</si>
  <si>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</si>
  <si>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</si>
  <si>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</si>
  <si>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</si>
  <si>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</si>
  <si>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</si>
  <si>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</si>
  <si>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</si>
  <si>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</si>
  <si>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</si>
  <si>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</si>
  <si>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</si>
  <si>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</si>
  <si>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</si>
  <si>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</si>
  <si>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</si>
  <si>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</si>
  <si>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</si>
  <si>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</si>
  <si>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</si>
  <si>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</si>
  <si>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</si>
  <si>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</si>
  <si>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</si>
  <si>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</si>
  <si>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</si>
  <si>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</si>
  <si>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</si>
  <si>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</si>
  <si>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</si>
  <si>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</si>
  <si>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</si>
  <si>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</si>
  <si>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</si>
  <si>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</si>
  <si>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</si>
  <si>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</si>
  <si>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</si>
  <si>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</si>
  <si>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</si>
  <si>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</si>
  <si>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</si>
  <si>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</si>
  <si>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</si>
  <si>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</si>
  <si>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</si>
  <si>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</si>
  <si>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</si>
  <si>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</si>
  <si>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</si>
  <si>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</si>
  <si>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</si>
  <si>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</si>
  <si>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</si>
  <si>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</si>
  <si>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</si>
  <si>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</si>
  <si>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</si>
  <si>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</si>
  <si>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</si>
  <si>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</si>
  <si>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</si>
  <si>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</si>
  <si>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</si>
  <si>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</si>
  <si>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</si>
  <si>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</si>
  <si>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</si>
  <si>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・偶数列、奇数列の最頻値と、その出現回数を求めることが出来たが、偶数列と奇数列の最頻値が等しい場合に、解法を整理できなかった</t>
    <rPh sb="51" eb="53">
      <t>カイホウ</t>
    </rPh>
    <rPh sb="54" eb="56">
      <t>セイリ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</si>
  <si>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</si>
  <si>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</si>
  <si>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</si>
  <si>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・自解法を参照</t>
    <rPh sb="1" eb="2">
      <t>ジ</t>
    </rPh>
    <rPh sb="2" eb="4">
      <t>カイホウ</t>
    </rPh>
    <rPh sb="5" eb="7">
      <t>サンショウ</t>
    </rPh>
    <phoneticPr fontId="2"/>
  </si>
  <si>
    <t>自解法を参照</t>
    <rPh sb="4" eb="6">
      <t>サンショウ</t>
    </rPh>
    <phoneticPr fontId="2"/>
  </si>
  <si>
    <t>自解法でもよいが、模範解答を理解する</t>
    <rPh sb="9" eb="11">
      <t>モハン</t>
    </rPh>
    <rPh sb="11" eb="13">
      <t>カイトウ</t>
    </rPh>
    <rPh sb="14" eb="16">
      <t>リカイ</t>
    </rPh>
    <phoneticPr fontId="2"/>
  </si>
  <si>
    <t>自解法を参照</t>
    <rPh sb="0" eb="1">
      <t>ジ</t>
    </rPh>
    <rPh sb="1" eb="3">
      <t>カイホウ</t>
    </rPh>
    <rPh sb="4" eb="6">
      <t>サンショウ</t>
    </rPh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</si>
  <si>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</si>
  <si>
    <t>ABC110_C_StringTransformation</t>
  </si>
  <si>
    <t>https://img.atcoder.jp/abc110/editorial.pdf</t>
  </si>
  <si>
    <t>ABC109_C_Skip</t>
    <phoneticPr fontId="2"/>
  </si>
  <si>
    <t>・Start座標と各点座標との差分(距離)について、最大公約数(GCD)を求める問題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</si>
  <si>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r>
      <t xml:space="preserve">・以下の規則がわからなかったため、解けなかった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i 桁目までの和の符号が欲しい符号と同じ場合、i 番目の数を変更する必要はない。
すでに i 番目までの和の符号が合致しているのに i 番目の数を変更して最適解が得られるなら、i 番目の数に対する変更を i + 1 番目の数に持ってくることで同じ最適解が得られるからである</t>
    </r>
    <rPh sb="1" eb="3">
      <t>イカ</t>
    </rPh>
    <rPh sb="4" eb="6">
      <t>キソク</t>
    </rPh>
    <rPh sb="17" eb="18">
      <t>ト</t>
    </rPh>
    <phoneticPr fontId="2"/>
  </si>
  <si>
    <r>
      <t xml:space="preserve">・文字の変換表がどのように作成されれば、変換可能であるのか解からなかったため、回答できなかった
変換表は以下の通りになれば、変換可能となる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：異なる文字は異なる文字に変換される
     (→対偶：Ti＝Tj ならば Si＝Sj )</t>
    </r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rPh sb="48" eb="50">
      <t>ヘンカン</t>
    </rPh>
    <rPh sb="50" eb="51">
      <t>ヒョウ</t>
    </rPh>
    <rPh sb="52" eb="54">
      <t>イカ</t>
    </rPh>
    <rPh sb="55" eb="56">
      <t>トオ</t>
    </rPh>
    <rPh sb="62" eb="64">
      <t>ヘンカン</t>
    </rPh>
    <rPh sb="64" eb="66">
      <t>カノウ</t>
    </rPh>
    <rPh sb="91" eb="92">
      <t>オナ</t>
    </rPh>
    <rPh sb="93" eb="95">
      <t>モジ</t>
    </rPh>
    <rPh sb="96" eb="97">
      <t>オナ</t>
    </rPh>
    <rPh sb="98" eb="100">
      <t>モジ</t>
    </rPh>
    <rPh sb="101" eb="103">
      <t>ヘンカン</t>
    </rPh>
    <rPh sb="128" eb="129">
      <t>コト</t>
    </rPh>
    <rPh sb="131" eb="133">
      <t>モジ</t>
    </rPh>
    <rPh sb="134" eb="135">
      <t>コト</t>
    </rPh>
    <rPh sb="137" eb="139">
      <t>モジ</t>
    </rPh>
    <rPh sb="140" eb="142">
      <t>ヘンカン</t>
    </rPh>
    <phoneticPr fontId="2"/>
  </si>
  <si>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偶数番目と奇数番目どちらを正にするかで 2 通り考え、小さい方を答える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番号の小さい順に数を確定させていく
</t>
    </r>
    <r>
      <rPr>
        <sz val="10"/>
        <color theme="1"/>
        <rFont val="Meiryo UI"/>
        <family val="3"/>
        <charset val="128"/>
      </rPr>
      <t>● i</t>
    </r>
    <r>
      <rPr>
        <sz val="10"/>
        <color theme="1"/>
        <rFont val="Yu Gothic UI"/>
        <family val="3"/>
        <charset val="128"/>
      </rPr>
      <t xml:space="preserve"> 桁目までの和の符号が欲しい符号と同じ場合、i 番目の数を変更する必要はない</t>
    </r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rPh sb="38" eb="40">
      <t>バンゴウ</t>
    </rPh>
    <rPh sb="41" eb="42">
      <t>チイ</t>
    </rPh>
    <rPh sb="44" eb="45">
      <t>ジュン</t>
    </rPh>
    <rPh sb="46" eb="47">
      <t>カズ</t>
    </rPh>
    <rPh sb="48" eb="50">
      <t>カクテイ</t>
    </rPh>
    <rPh sb="60" eb="61">
      <t>ケタ</t>
    </rPh>
    <rPh sb="61" eb="62">
      <t>メ</t>
    </rPh>
    <rPh sb="65" eb="66">
      <t>ワ</t>
    </rPh>
    <rPh sb="67" eb="69">
      <t>フゴウ</t>
    </rPh>
    <rPh sb="70" eb="71">
      <t>ホ</t>
    </rPh>
    <rPh sb="73" eb="75">
      <t>フゴウ</t>
    </rPh>
    <rPh sb="76" eb="77">
      <t>オナ</t>
    </rPh>
    <rPh sb="78" eb="80">
      <t>バアイ</t>
    </rPh>
    <rPh sb="83" eb="85">
      <t>バンメ</t>
    </rPh>
    <rPh sb="86" eb="87">
      <t>スウ</t>
    </rPh>
    <rPh sb="88" eb="90">
      <t>ヘンコウ</t>
    </rPh>
    <rPh sb="92" eb="94">
      <t>ヒツヨウ</t>
    </rPh>
    <phoneticPr fontId="2"/>
  </si>
  <si>
    <r>
      <t xml:space="preserve">・2つの異なる英小文字 S, T を選び、S に含まれる全ての S を T に、
T を S に置き換えて変換可能 ⇔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Si＝Sj ならば Ti＝Tj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Si≠Sj ならば Ti≠Tj   ：異なる文字は異なる文字に変換される
     (→対偶：Ti＝Tj ならば Si＝Sj )</t>
    </r>
    <rPh sb="53" eb="55">
      <t>ヘンカン</t>
    </rPh>
    <rPh sb="55" eb="57">
      <t>カノウ</t>
    </rPh>
    <phoneticPr fontId="2"/>
  </si>
  <si>
    <t>・10000円の枚数と5000円の枚数の２重ループ
  10000円の枚数と5000円の枚数が確定すると、1000円の枚数を必然的に確定する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rPh sb="33" eb="34">
      <t>エン</t>
    </rPh>
    <rPh sb="35" eb="37">
      <t>マイスウ</t>
    </rPh>
    <rPh sb="42" eb="43">
      <t>エン</t>
    </rPh>
    <rPh sb="44" eb="46">
      <t>マイスウ</t>
    </rPh>
    <rPh sb="47" eb="49">
      <t>カクテイ</t>
    </rPh>
    <rPh sb="57" eb="58">
      <t>エン</t>
    </rPh>
    <rPh sb="59" eb="61">
      <t>マイスウ</t>
    </rPh>
    <rPh sb="62" eb="65">
      <t>ヒツゼンテキ</t>
    </rPh>
    <rPh sb="66" eb="68">
      <t>カクテイ</t>
    </rPh>
    <phoneticPr fontId="2"/>
  </si>
  <si>
    <t>ABC108_C_TrianglularRelationship</t>
    <phoneticPr fontId="2"/>
  </si>
  <si>
    <r>
      <t xml:space="preserve">・Kの倍数を求めるが、正整数の組(a, b, c) について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Kが奇数の場合、a, b,c  それぞれが K の倍数である必要がある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>Kが偶数の場合、a, b, c それぞれが K の倍数であることと または
                              a, b, c それぞれの 初項が K/2 公差 K の等差数列
でも条件が成り立つ</t>
    </r>
    <rPh sb="3" eb="5">
      <t>バイスウ</t>
    </rPh>
    <rPh sb="6" eb="7">
      <t>モト</t>
    </rPh>
    <rPh sb="34" eb="36">
      <t>キスウ</t>
    </rPh>
    <rPh sb="37" eb="39">
      <t>バアイ</t>
    </rPh>
    <rPh sb="57" eb="59">
      <t>バイスウ</t>
    </rPh>
    <rPh sb="62" eb="64">
      <t>ヒツヨウ</t>
    </rPh>
    <rPh sb="71" eb="73">
      <t>グウスウ</t>
    </rPh>
    <rPh sb="74" eb="76">
      <t>バアイ</t>
    </rPh>
    <rPh sb="94" eb="96">
      <t>バイスウ</t>
    </rPh>
    <rPh sb="151" eb="153">
      <t>ショコウ</t>
    </rPh>
    <rPh sb="159" eb="161">
      <t>コウサ</t>
    </rPh>
    <rPh sb="165" eb="167">
      <t>トウサ</t>
    </rPh>
    <rPh sb="167" eb="169">
      <t>スウレツ</t>
    </rPh>
    <rPh sb="172" eb="174">
      <t>ジョウケン</t>
    </rPh>
    <rPh sb="175" eb="176">
      <t>ナ</t>
    </rPh>
    <rPh sb="177" eb="178">
      <t>タ</t>
    </rPh>
    <phoneticPr fontId="2"/>
  </si>
  <si>
    <t>自解法を参照</t>
    <rPh sb="0" eb="3">
      <t>ジカイホウ</t>
    </rPh>
    <rPh sb="4" eb="6">
      <t>サンショウ</t>
    </rPh>
    <phoneticPr fontId="2"/>
  </si>
  <si>
    <t>ABC107_C_Candles</t>
    <phoneticPr fontId="2"/>
  </si>
  <si>
    <t>・N本の内、K本のキャンドルの添え字を
nLeft = 0, nRigt = nLeft + K - 1; を定義して
while ( nLeft &lt; N  &amp;&amp;
            nRigt &lt; N        ) の間、処理を行い、K本のキャンドルに到達する最も小さい時間を算出する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rPh sb="55" eb="57">
      <t>テイギ</t>
    </rPh>
    <rPh sb="114" eb="115">
      <t>アイダ</t>
    </rPh>
    <rPh sb="116" eb="118">
      <t>ショリ</t>
    </rPh>
    <rPh sb="119" eb="120">
      <t>オコナ</t>
    </rPh>
    <rPh sb="123" eb="124">
      <t>ホン</t>
    </rPh>
    <rPh sb="131" eb="133">
      <t>トウタツ</t>
    </rPh>
    <rPh sb="135" eb="136">
      <t>モット</t>
    </rPh>
    <rPh sb="137" eb="138">
      <t>チイ</t>
    </rPh>
    <rPh sb="140" eb="142">
      <t>ジカン</t>
    </rPh>
    <rPh sb="143" eb="145">
      <t>サンシュツ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</si>
</sst>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29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atcoder.jp/abc110/editorial.pdf" TargetMode="Externa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42"/>
  <sheetViews>
    <sheetView tabSelected="1" zoomScale="115" zoomScaleNormal="115" workbookViewId="0">
      <pane xSplit="6" ySplit="4" topLeftCell="G20" activePane="bottomRight" state="frozen"/>
      <selection activeCell="L24" sqref="L24"/>
      <selection pane="topRight" activeCell="L24" sqref="L24"/>
      <selection pane="bottomLeft" activeCell="L24" sqref="L24"/>
      <selection pane="bottomRight" activeCell="G22" sqref="G22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customWidth="1" outlineLevel="1"/>
    <col min="5" max="5" width="7.5" style="52" customWidth="1" outlineLevel="1"/>
    <col min="6" max="6" width="40.375" style="52" bestFit="1" customWidth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7" t="s">
        <v>8</v>
      </c>
      <c r="C2" s="79" t="s">
        <v>12</v>
      </c>
      <c r="D2" s="75" t="s">
        <v>146</v>
      </c>
      <c r="E2" s="76"/>
      <c r="F2" s="76"/>
      <c r="G2" s="81" t="s">
        <v>13</v>
      </c>
      <c r="H2" s="82" t="s">
        <v>15</v>
      </c>
      <c r="I2" s="84" t="s">
        <v>14</v>
      </c>
      <c r="J2" s="85"/>
      <c r="K2" s="73" t="s">
        <v>18</v>
      </c>
      <c r="L2" s="71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8"/>
      <c r="C3" s="80"/>
      <c r="D3" s="40" t="s">
        <v>142</v>
      </c>
      <c r="E3" s="40" t="s">
        <v>143</v>
      </c>
      <c r="F3" s="40" t="s">
        <v>9</v>
      </c>
      <c r="G3" s="78"/>
      <c r="H3" s="83"/>
      <c r="I3" s="41" t="s">
        <v>10</v>
      </c>
      <c r="J3" s="41" t="s">
        <v>11</v>
      </c>
      <c r="K3" s="74"/>
      <c r="L3" s="72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ht="71.25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>
        <v>0.5</v>
      </c>
      <c r="H7" s="50" t="s">
        <v>294</v>
      </c>
      <c r="I7" s="50"/>
      <c r="J7" s="50" t="s">
        <v>296</v>
      </c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ht="42.75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>
        <v>1</v>
      </c>
      <c r="H12" s="50" t="s">
        <v>217</v>
      </c>
      <c r="I12" s="50" t="s">
        <v>298</v>
      </c>
      <c r="J12" s="50"/>
      <c r="K12" s="50" t="s">
        <v>288</v>
      </c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43869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43871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ht="71.25" x14ac:dyDescent="0.15">
      <c r="B19" s="47">
        <f>IF(F19&lt;&gt;"",SUBTOTAL(3,$F$5:F19),"")</f>
        <v>15</v>
      </c>
      <c r="C19" s="48">
        <v>44087</v>
      </c>
      <c r="D19" s="49" t="s">
        <v>144</v>
      </c>
      <c r="E19" s="49" t="s">
        <v>150</v>
      </c>
      <c r="F19" s="50" t="s">
        <v>302</v>
      </c>
      <c r="G19" s="51">
        <v>1</v>
      </c>
      <c r="H19" s="50" t="s">
        <v>218</v>
      </c>
      <c r="I19" s="50" t="s">
        <v>303</v>
      </c>
      <c r="J19" s="50"/>
      <c r="K19" s="50" t="s">
        <v>301</v>
      </c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71.25" x14ac:dyDescent="0.15">
      <c r="B20" s="47">
        <f>IF(F20&lt;&gt;"",SUBTOTAL(3,$F$5:F20),"")</f>
        <v>16</v>
      </c>
      <c r="C20" s="48">
        <v>44076</v>
      </c>
      <c r="D20" s="49" t="s">
        <v>144</v>
      </c>
      <c r="E20" s="49" t="s">
        <v>150</v>
      </c>
      <c r="F20" s="50" t="s">
        <v>299</v>
      </c>
      <c r="G20" s="51">
        <v>1</v>
      </c>
      <c r="H20" s="50" t="s">
        <v>218</v>
      </c>
      <c r="I20" s="50" t="s">
        <v>300</v>
      </c>
      <c r="J20" s="50"/>
      <c r="K20" s="50" t="s">
        <v>301</v>
      </c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ht="28.5" x14ac:dyDescent="0.15">
      <c r="B21" s="47">
        <f>IF(F21&lt;&gt;"",SUBTOTAL(3,$F$5:F21),"")</f>
        <v>17</v>
      </c>
      <c r="C21" s="48">
        <v>44080</v>
      </c>
      <c r="D21" s="49" t="s">
        <v>144</v>
      </c>
      <c r="E21" s="49" t="s">
        <v>150</v>
      </c>
      <c r="F21" s="50" t="s">
        <v>292</v>
      </c>
      <c r="G21" s="51">
        <v>1</v>
      </c>
      <c r="H21" s="50" t="s">
        <v>218</v>
      </c>
      <c r="I21" s="50" t="s">
        <v>293</v>
      </c>
      <c r="J21" s="50"/>
      <c r="K21" s="50"/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ht="85.5" x14ac:dyDescent="0.15">
      <c r="B22" s="47">
        <f>IF(F22&lt;&gt;"",SUBTOTAL(3,$F$5:F22),"")</f>
        <v>18</v>
      </c>
      <c r="C22" s="48">
        <v>43871</v>
      </c>
      <c r="D22" s="49" t="s">
        <v>144</v>
      </c>
      <c r="E22" s="49" t="s">
        <v>150</v>
      </c>
      <c r="F22" s="50" t="s">
        <v>290</v>
      </c>
      <c r="G22" s="51">
        <v>0.3</v>
      </c>
      <c r="H22" s="50" t="s">
        <v>295</v>
      </c>
      <c r="I22" s="50"/>
      <c r="J22" s="50" t="s">
        <v>297</v>
      </c>
      <c r="K22" s="50" t="s">
        <v>278</v>
      </c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/>
      <c r="C23" s="48"/>
      <c r="D23" s="49"/>
      <c r="E23" s="49"/>
      <c r="F23" s="50"/>
      <c r="G23" s="70">
        <v>0.3</v>
      </c>
      <c r="H23" s="50"/>
      <c r="I23" s="50"/>
      <c r="J23" s="69" t="s">
        <v>291</v>
      </c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42.75" x14ac:dyDescent="0.15">
      <c r="B24" s="47">
        <f>IF(F24&lt;&gt;"",SUBTOTAL(3,$F$5:F24),"")</f>
        <v>19</v>
      </c>
      <c r="C24" s="48">
        <v>44072</v>
      </c>
      <c r="D24" s="49" t="s">
        <v>144</v>
      </c>
      <c r="E24" s="49" t="s">
        <v>140</v>
      </c>
      <c r="F24" s="50" t="s">
        <v>280</v>
      </c>
      <c r="G24" s="51">
        <v>0.8</v>
      </c>
      <c r="H24" s="50" t="s">
        <v>282</v>
      </c>
      <c r="I24" s="50" t="s">
        <v>281</v>
      </c>
      <c r="J24" s="50" t="s">
        <v>283</v>
      </c>
      <c r="K24" s="50" t="s">
        <v>278</v>
      </c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71.25" x14ac:dyDescent="0.15">
      <c r="B25" s="47">
        <f>IF(F25&lt;&gt;"",SUBTOTAL(3,$F$5:F25),"")</f>
        <v>20</v>
      </c>
      <c r="C25" s="48">
        <v>44070</v>
      </c>
      <c r="D25" s="49" t="s">
        <v>144</v>
      </c>
      <c r="E25" s="49" t="s">
        <v>140</v>
      </c>
      <c r="F25" s="50" t="s">
        <v>274</v>
      </c>
      <c r="G25" s="51">
        <v>0.8</v>
      </c>
      <c r="H25" s="50" t="s">
        <v>276</v>
      </c>
      <c r="I25" s="50" t="s">
        <v>275</v>
      </c>
      <c r="J25" s="50" t="s">
        <v>279</v>
      </c>
      <c r="K25" s="50" t="s">
        <v>278</v>
      </c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x14ac:dyDescent="0.15">
      <c r="B26" s="47" t="str">
        <f>IF(F26&lt;&gt;"",SUBTOTAL(3,$F$5:F26),"")</f>
        <v/>
      </c>
      <c r="C26" s="48"/>
      <c r="D26" s="49"/>
      <c r="E26" s="49"/>
      <c r="F26" s="50"/>
      <c r="G26" s="70">
        <v>0.8</v>
      </c>
      <c r="H26" s="50"/>
      <c r="I26" s="69"/>
      <c r="J26" s="69" t="s">
        <v>277</v>
      </c>
      <c r="K26" s="50"/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28.5" x14ac:dyDescent="0.15">
      <c r="B27" s="47">
        <f>IF(F27&lt;&gt;"",SUBTOTAL(3,$F$5:F27),"")</f>
        <v>21</v>
      </c>
      <c r="C27" s="48">
        <v>44066</v>
      </c>
      <c r="D27" s="49" t="s">
        <v>144</v>
      </c>
      <c r="E27" s="49" t="s">
        <v>140</v>
      </c>
      <c r="F27" s="50" t="s">
        <v>268</v>
      </c>
      <c r="G27" s="51">
        <v>0</v>
      </c>
      <c r="H27" s="50" t="s">
        <v>269</v>
      </c>
      <c r="I27" s="50"/>
      <c r="J27" s="50" t="s">
        <v>270</v>
      </c>
      <c r="K27" s="50" t="s">
        <v>271</v>
      </c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x14ac:dyDescent="0.15">
      <c r="B28" s="47">
        <f>IF(F28&lt;&gt;"",SUBTOTAL(3,$F$5:F28),"")</f>
        <v>22</v>
      </c>
      <c r="C28" s="48">
        <v>43869</v>
      </c>
      <c r="D28" s="49" t="s">
        <v>144</v>
      </c>
      <c r="E28" s="49" t="s">
        <v>140</v>
      </c>
      <c r="F28" s="50" t="s">
        <v>121</v>
      </c>
      <c r="G28" s="51"/>
      <c r="H28" s="50"/>
      <c r="I28" s="50"/>
      <c r="J28" s="50"/>
      <c r="K28" s="50"/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x14ac:dyDescent="0.15">
      <c r="B29" s="47">
        <f>IF(F29&lt;&gt;"",SUBTOTAL(3,$F$5:F29),"")</f>
        <v>23</v>
      </c>
      <c r="C29" s="48">
        <v>43995</v>
      </c>
      <c r="D29" s="49" t="s">
        <v>144</v>
      </c>
      <c r="E29" s="49" t="s">
        <v>140</v>
      </c>
      <c r="F29" s="50" t="s">
        <v>165</v>
      </c>
      <c r="G29" s="51"/>
      <c r="H29" s="50"/>
      <c r="I29" s="50"/>
      <c r="J29" s="50"/>
      <c r="K29" s="50"/>
      <c r="L29" s="54" t="s">
        <v>17</v>
      </c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x14ac:dyDescent="0.15">
      <c r="B30" s="47">
        <f>IF(F30&lt;&gt;"",SUBTOTAL(3,$F$5:F30),"")</f>
        <v>24</v>
      </c>
      <c r="C30" s="48">
        <v>43961</v>
      </c>
      <c r="D30" s="49" t="s">
        <v>144</v>
      </c>
      <c r="E30" s="49" t="s">
        <v>140</v>
      </c>
      <c r="F30" s="50" t="s">
        <v>166</v>
      </c>
      <c r="G30" s="51"/>
      <c r="H30" s="50"/>
      <c r="I30" s="50"/>
      <c r="J30" s="50"/>
      <c r="K30" s="50"/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x14ac:dyDescent="0.15">
      <c r="B31" s="47">
        <f>IF(F31&lt;&gt;"",SUBTOTAL(3,$F$5:F31),"")</f>
        <v>25</v>
      </c>
      <c r="C31" s="48">
        <v>43995</v>
      </c>
      <c r="D31" s="49" t="s">
        <v>144</v>
      </c>
      <c r="E31" s="49" t="s">
        <v>140</v>
      </c>
      <c r="F31" s="50" t="s">
        <v>167</v>
      </c>
      <c r="G31" s="51"/>
      <c r="H31" s="50"/>
      <c r="I31" s="50"/>
      <c r="J31" s="50"/>
      <c r="K31" s="50"/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42.75" x14ac:dyDescent="0.15">
      <c r="B32" s="47">
        <f>IF(F32&lt;&gt;"",SUBTOTAL(3,$F$5:F32),"")</f>
        <v>26</v>
      </c>
      <c r="C32" s="48">
        <v>44058</v>
      </c>
      <c r="D32" s="49" t="s">
        <v>144</v>
      </c>
      <c r="E32" s="49" t="s">
        <v>140</v>
      </c>
      <c r="F32" s="50" t="s">
        <v>260</v>
      </c>
      <c r="G32" s="51">
        <v>1</v>
      </c>
      <c r="H32" s="50" t="s">
        <v>218</v>
      </c>
      <c r="I32" s="50" t="s">
        <v>261</v>
      </c>
      <c r="J32" s="50" t="s">
        <v>248</v>
      </c>
      <c r="K32" s="50" t="s">
        <v>286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199.5" x14ac:dyDescent="0.15">
      <c r="B33" s="47">
        <f>IF(F33&lt;&gt;"",SUBTOTAL(3,$F$5:F33),"")</f>
        <v>27</v>
      </c>
      <c r="C33" s="48">
        <v>44057</v>
      </c>
      <c r="D33" s="49" t="s">
        <v>144</v>
      </c>
      <c r="E33" s="49" t="s">
        <v>140</v>
      </c>
      <c r="F33" s="50" t="s">
        <v>259</v>
      </c>
      <c r="G33" s="51">
        <v>1</v>
      </c>
      <c r="H33" s="50" t="s">
        <v>218</v>
      </c>
      <c r="I33" s="50" t="s">
        <v>263</v>
      </c>
      <c r="J33" s="50" t="s">
        <v>248</v>
      </c>
      <c r="K33" s="50" t="s">
        <v>286</v>
      </c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71.25" x14ac:dyDescent="0.15">
      <c r="B34" s="47">
        <f>IF(F34&lt;&gt;"",SUBTOTAL(3,$F$5:F34),"")</f>
        <v>28</v>
      </c>
      <c r="C34" s="48">
        <v>44053</v>
      </c>
      <c r="D34" s="49" t="s">
        <v>144</v>
      </c>
      <c r="E34" s="49" t="s">
        <v>140</v>
      </c>
      <c r="F34" s="50" t="s">
        <v>246</v>
      </c>
      <c r="G34" s="51">
        <v>0.3</v>
      </c>
      <c r="H34" s="50" t="s">
        <v>249</v>
      </c>
      <c r="I34" s="50" t="s">
        <v>250</v>
      </c>
      <c r="J34" s="50" t="s">
        <v>248</v>
      </c>
      <c r="K34" s="50" t="s">
        <v>286</v>
      </c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42.75" x14ac:dyDescent="0.15">
      <c r="B35" s="47">
        <f>IF(F35&lt;&gt;"",SUBTOTAL(3,$F$5:F35),"")</f>
        <v>29</v>
      </c>
      <c r="C35" s="48">
        <v>44045</v>
      </c>
      <c r="D35" s="49" t="s">
        <v>144</v>
      </c>
      <c r="E35" s="49" t="s">
        <v>140</v>
      </c>
      <c r="F35" s="50" t="s">
        <v>242</v>
      </c>
      <c r="G35" s="51">
        <v>1</v>
      </c>
      <c r="H35" s="50"/>
      <c r="I35" s="50" t="s">
        <v>243</v>
      </c>
      <c r="J35" s="50" t="s">
        <v>244</v>
      </c>
      <c r="K35" s="50"/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ht="99.75" x14ac:dyDescent="0.15">
      <c r="B36" s="47">
        <f>IF(F36&lt;&gt;"",SUBTOTAL(3,$F$5:F36),"")</f>
        <v>30</v>
      </c>
      <c r="C36" s="48">
        <v>44045</v>
      </c>
      <c r="D36" s="49" t="s">
        <v>144</v>
      </c>
      <c r="E36" s="49" t="s">
        <v>140</v>
      </c>
      <c r="F36" s="50" t="s">
        <v>236</v>
      </c>
      <c r="G36" s="51">
        <v>0.8</v>
      </c>
      <c r="H36" s="50"/>
      <c r="I36" s="50" t="s">
        <v>247</v>
      </c>
      <c r="J36" s="50" t="s">
        <v>237</v>
      </c>
      <c r="K36" s="50" t="s">
        <v>239</v>
      </c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7"/>
      <c r="C37" s="48"/>
      <c r="D37" s="49"/>
      <c r="E37" s="49"/>
      <c r="F37" s="50"/>
      <c r="G37" s="51">
        <v>0.8</v>
      </c>
      <c r="H37" s="50"/>
      <c r="I37" s="56" t="s">
        <v>238</v>
      </c>
      <c r="J37" s="50"/>
      <c r="K37" s="50"/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142.5" x14ac:dyDescent="0.15">
      <c r="B38" s="47">
        <f>IF(F38&lt;&gt;"",SUBTOTAL(3,$F$5:F38),"")</f>
        <v>31</v>
      </c>
      <c r="C38" s="48">
        <v>44045</v>
      </c>
      <c r="D38" s="49" t="s">
        <v>144</v>
      </c>
      <c r="E38" s="49" t="s">
        <v>140</v>
      </c>
      <c r="F38" s="50" t="s">
        <v>231</v>
      </c>
      <c r="G38" s="51">
        <v>1</v>
      </c>
      <c r="H38" s="50" t="s">
        <v>217</v>
      </c>
      <c r="I38" s="50" t="s">
        <v>232</v>
      </c>
      <c r="J38" s="50" t="s">
        <v>233</v>
      </c>
      <c r="K38" s="50" t="s">
        <v>235</v>
      </c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ht="71.25" x14ac:dyDescent="0.15">
      <c r="B39" s="47">
        <f>IF(F39&lt;&gt;"",SUBTOTAL(3,$F$5:F39),"")</f>
        <v>32</v>
      </c>
      <c r="C39" s="48">
        <v>44044</v>
      </c>
      <c r="D39" s="49" t="s">
        <v>144</v>
      </c>
      <c r="E39" s="49" t="s">
        <v>140</v>
      </c>
      <c r="F39" s="50" t="s">
        <v>229</v>
      </c>
      <c r="G39" s="51">
        <v>1</v>
      </c>
      <c r="H39" s="50" t="s">
        <v>217</v>
      </c>
      <c r="I39" s="50" t="s">
        <v>230</v>
      </c>
      <c r="J39" s="50" t="s">
        <v>251</v>
      </c>
      <c r="K39" s="50" t="s">
        <v>234</v>
      </c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ht="71.25" x14ac:dyDescent="0.15">
      <c r="B40" s="47">
        <f>IF(F40&lt;&gt;"",SUBTOTAL(3,$F$5:F40),"")</f>
        <v>33</v>
      </c>
      <c r="C40" s="48">
        <v>44038</v>
      </c>
      <c r="D40" s="49" t="s">
        <v>144</v>
      </c>
      <c r="E40" s="49" t="s">
        <v>140</v>
      </c>
      <c r="F40" s="50" t="s">
        <v>226</v>
      </c>
      <c r="G40" s="51">
        <v>1</v>
      </c>
      <c r="H40" s="50" t="s">
        <v>217</v>
      </c>
      <c r="I40" s="50" t="s">
        <v>227</v>
      </c>
      <c r="J40" s="50" t="s">
        <v>228</v>
      </c>
      <c r="K40" s="50" t="s">
        <v>252</v>
      </c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ht="71.25" x14ac:dyDescent="0.15">
      <c r="B41" s="47">
        <f>IF(F41&lt;&gt;"",SUBTOTAL(3,$F$5:F41),"")</f>
        <v>34</v>
      </c>
      <c r="C41" s="48">
        <v>44038</v>
      </c>
      <c r="D41" s="49" t="s">
        <v>144</v>
      </c>
      <c r="E41" s="49" t="s">
        <v>140</v>
      </c>
      <c r="F41" s="50" t="s">
        <v>220</v>
      </c>
      <c r="G41" s="51">
        <v>1</v>
      </c>
      <c r="H41" s="50" t="s">
        <v>217</v>
      </c>
      <c r="I41" s="50" t="s">
        <v>225</v>
      </c>
      <c r="J41" s="50" t="s">
        <v>223</v>
      </c>
      <c r="K41" s="50" t="s">
        <v>287</v>
      </c>
      <c r="L41" s="54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ht="28.5" x14ac:dyDescent="0.15">
      <c r="B42" s="47">
        <f>IF(F42&lt;&gt;"",SUBTOTAL(3,$F$5:F42),"")</f>
        <v>35</v>
      </c>
      <c r="C42" s="48">
        <v>43960</v>
      </c>
      <c r="D42" s="49" t="s">
        <v>144</v>
      </c>
      <c r="E42" s="49" t="s">
        <v>140</v>
      </c>
      <c r="F42" s="50" t="s">
        <v>168</v>
      </c>
      <c r="G42" s="51">
        <v>1</v>
      </c>
      <c r="H42" s="50" t="s">
        <v>217</v>
      </c>
      <c r="I42" s="50" t="s">
        <v>148</v>
      </c>
      <c r="J42" s="50" t="s">
        <v>147</v>
      </c>
      <c r="K42" s="50" t="s">
        <v>149</v>
      </c>
      <c r="L42" s="54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ht="71.25" x14ac:dyDescent="0.15">
      <c r="B43" s="47">
        <f>IF(F43&lt;&gt;"",SUBTOTAL(3,$F$5:F43),"")</f>
        <v>36</v>
      </c>
      <c r="C43" s="48">
        <v>44036</v>
      </c>
      <c r="D43" s="49" t="s">
        <v>144</v>
      </c>
      <c r="E43" s="49" t="s">
        <v>140</v>
      </c>
      <c r="F43" s="50" t="s">
        <v>169</v>
      </c>
      <c r="G43" s="51">
        <v>0.3</v>
      </c>
      <c r="H43" s="50" t="s">
        <v>253</v>
      </c>
      <c r="I43" s="57" t="s">
        <v>245</v>
      </c>
      <c r="J43" s="50" t="s">
        <v>254</v>
      </c>
      <c r="K43" s="57" t="s">
        <v>224</v>
      </c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37</v>
      </c>
      <c r="C44" s="48">
        <v>44013</v>
      </c>
      <c r="D44" s="49" t="s">
        <v>144</v>
      </c>
      <c r="E44" s="49" t="s">
        <v>140</v>
      </c>
      <c r="F44" s="50" t="s">
        <v>170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38</v>
      </c>
      <c r="C45" s="48">
        <v>44010</v>
      </c>
      <c r="D45" s="49" t="s">
        <v>144</v>
      </c>
      <c r="E45" s="49" t="s">
        <v>140</v>
      </c>
      <c r="F45" s="50" t="s">
        <v>171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39</v>
      </c>
      <c r="C46" s="48">
        <v>44010</v>
      </c>
      <c r="D46" s="49" t="s">
        <v>144</v>
      </c>
      <c r="E46" s="49" t="s">
        <v>140</v>
      </c>
      <c r="F46" s="50" t="s">
        <v>172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40</v>
      </c>
      <c r="C47" s="48">
        <v>44007</v>
      </c>
      <c r="D47" s="49" t="s">
        <v>144</v>
      </c>
      <c r="E47" s="49" t="s">
        <v>140</v>
      </c>
      <c r="F47" s="50" t="s">
        <v>173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41</v>
      </c>
      <c r="C48" s="48">
        <v>44006</v>
      </c>
      <c r="D48" s="49" t="s">
        <v>144</v>
      </c>
      <c r="E48" s="49" t="s">
        <v>140</v>
      </c>
      <c r="F48" s="50" t="s">
        <v>174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42</v>
      </c>
      <c r="C49" s="48">
        <v>44003</v>
      </c>
      <c r="D49" s="49" t="s">
        <v>144</v>
      </c>
      <c r="E49" s="49" t="s">
        <v>140</v>
      </c>
      <c r="F49" s="50" t="s">
        <v>175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43</v>
      </c>
      <c r="C50" s="48">
        <v>44000</v>
      </c>
      <c r="D50" s="49" t="s">
        <v>144</v>
      </c>
      <c r="E50" s="49" t="s">
        <v>140</v>
      </c>
      <c r="F50" s="50" t="s">
        <v>176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44</v>
      </c>
      <c r="C51" s="48">
        <v>43996</v>
      </c>
      <c r="D51" s="49" t="s">
        <v>144</v>
      </c>
      <c r="E51" s="49" t="s">
        <v>140</v>
      </c>
      <c r="F51" s="50" t="s">
        <v>177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x14ac:dyDescent="0.15">
      <c r="B52" s="47">
        <f>IF(F52&lt;&gt;"",SUBTOTAL(3,$F$5:F52),"")</f>
        <v>45</v>
      </c>
      <c r="C52" s="48">
        <v>43996</v>
      </c>
      <c r="D52" s="49" t="s">
        <v>144</v>
      </c>
      <c r="E52" s="49" t="s">
        <v>140</v>
      </c>
      <c r="F52" s="50" t="s">
        <v>178</v>
      </c>
      <c r="G52" s="51"/>
      <c r="H52" s="50"/>
      <c r="I52" s="50"/>
      <c r="J52" s="50"/>
      <c r="K52" s="50"/>
      <c r="L52" s="50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</row>
    <row r="53" spans="2:62" x14ac:dyDescent="0.15">
      <c r="B53" s="47">
        <f>IF(F53&lt;&gt;"",SUBTOTAL(3,$F$5:F53),"")</f>
        <v>46</v>
      </c>
      <c r="C53" s="48">
        <v>43996</v>
      </c>
      <c r="D53" s="49" t="s">
        <v>144</v>
      </c>
      <c r="E53" s="49" t="s">
        <v>140</v>
      </c>
      <c r="F53" s="50" t="s">
        <v>179</v>
      </c>
      <c r="G53" s="51"/>
      <c r="H53" s="50"/>
      <c r="I53" s="50"/>
      <c r="J53" s="50"/>
      <c r="K53" s="50"/>
      <c r="L53" s="50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</row>
    <row r="54" spans="2:62" x14ac:dyDescent="0.15">
      <c r="B54" s="47">
        <f>IF(F54&lt;&gt;"",SUBTOTAL(3,$F$5:F54),"")</f>
        <v>47</v>
      </c>
      <c r="C54" s="48">
        <v>43995</v>
      </c>
      <c r="D54" s="49" t="s">
        <v>144</v>
      </c>
      <c r="E54" s="49" t="s">
        <v>140</v>
      </c>
      <c r="F54" s="50" t="s">
        <v>180</v>
      </c>
      <c r="G54" s="51"/>
      <c r="H54" s="50"/>
      <c r="I54" s="50"/>
      <c r="J54" s="50"/>
      <c r="K54" s="50"/>
      <c r="L54" s="50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</row>
    <row r="55" spans="2:62" x14ac:dyDescent="0.15">
      <c r="B55" s="47">
        <f>IF(F55&lt;&gt;"",SUBTOTAL(3,$F$5:F55),"")</f>
        <v>48</v>
      </c>
      <c r="C55" s="48">
        <v>43995</v>
      </c>
      <c r="D55" s="49" t="s">
        <v>144</v>
      </c>
      <c r="E55" s="49" t="s">
        <v>140</v>
      </c>
      <c r="F55" s="50" t="s">
        <v>181</v>
      </c>
      <c r="G55" s="51"/>
      <c r="H55" s="50"/>
      <c r="I55" s="50"/>
      <c r="J55" s="50"/>
      <c r="K55" s="50"/>
      <c r="L55" s="50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</row>
    <row r="56" spans="2:62" x14ac:dyDescent="0.15">
      <c r="B56" s="47">
        <f>IF(F56&lt;&gt;"",SUBTOTAL(3,$F$5:F56),"")</f>
        <v>49</v>
      </c>
      <c r="C56" s="48">
        <v>43982</v>
      </c>
      <c r="D56" s="49" t="s">
        <v>144</v>
      </c>
      <c r="E56" s="49" t="s">
        <v>140</v>
      </c>
      <c r="F56" s="58" t="s">
        <v>182</v>
      </c>
      <c r="G56" s="51"/>
      <c r="H56" s="50"/>
      <c r="I56" s="50"/>
      <c r="J56" s="50"/>
      <c r="K56" s="50"/>
      <c r="L56" s="50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</row>
    <row r="57" spans="2:62" s="39" customFormat="1" ht="13.5" customHeight="1" x14ac:dyDescent="0.15">
      <c r="B57" s="59">
        <f>IF(F57&lt;&gt;"",SUBTOTAL(3,$F$5:F57),"")</f>
        <v>50</v>
      </c>
      <c r="C57" s="48">
        <v>43995</v>
      </c>
      <c r="D57" s="60" t="s">
        <v>144</v>
      </c>
      <c r="E57" s="60" t="s">
        <v>140</v>
      </c>
      <c r="F57" s="58" t="s">
        <v>183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71" x14ac:dyDescent="0.15">
      <c r="B58" s="59">
        <f>IF(F58&lt;&gt;"",SUBTOTAL(3,$F$5:F58),"")</f>
        <v>51</v>
      </c>
      <c r="C58" s="48">
        <v>43955</v>
      </c>
      <c r="D58" s="60" t="s">
        <v>144</v>
      </c>
      <c r="E58" s="60" t="s">
        <v>140</v>
      </c>
      <c r="F58" s="58" t="s">
        <v>184</v>
      </c>
      <c r="G58" s="51">
        <v>1</v>
      </c>
      <c r="H58" s="58" t="s">
        <v>217</v>
      </c>
      <c r="I58" s="50" t="s">
        <v>262</v>
      </c>
      <c r="J58" s="50" t="s">
        <v>248</v>
      </c>
      <c r="K58" s="50" t="s">
        <v>286</v>
      </c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52</v>
      </c>
      <c r="C59" s="48">
        <v>43967</v>
      </c>
      <c r="D59" s="60" t="s">
        <v>144</v>
      </c>
      <c r="E59" s="60" t="s">
        <v>140</v>
      </c>
      <c r="F59" s="58" t="s">
        <v>185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53</v>
      </c>
      <c r="C60" s="48">
        <v>43870</v>
      </c>
      <c r="D60" s="60" t="s">
        <v>144</v>
      </c>
      <c r="E60" s="60" t="s">
        <v>140</v>
      </c>
      <c r="F60" s="58" t="s">
        <v>186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x14ac:dyDescent="0.15">
      <c r="B61" s="59">
        <f>IF(F61&lt;&gt;"",SUBTOTAL(3,$F$5:F61),"")</f>
        <v>54</v>
      </c>
      <c r="C61" s="48">
        <v>43869</v>
      </c>
      <c r="D61" s="60" t="s">
        <v>144</v>
      </c>
      <c r="E61" s="60" t="s">
        <v>140</v>
      </c>
      <c r="F61" s="58" t="s">
        <v>187</v>
      </c>
      <c r="G61" s="51"/>
      <c r="H61" s="58"/>
      <c r="I61" s="58"/>
      <c r="J61" s="58"/>
      <c r="K61" s="58"/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56.75" x14ac:dyDescent="0.15">
      <c r="B62" s="59">
        <f>IF(F62&lt;&gt;"",SUBTOTAL(3,$F$5:F62),"")</f>
        <v>55</v>
      </c>
      <c r="C62" s="48">
        <v>43961</v>
      </c>
      <c r="D62" s="60" t="s">
        <v>144</v>
      </c>
      <c r="E62" s="60" t="s">
        <v>140</v>
      </c>
      <c r="F62" s="58" t="s">
        <v>94</v>
      </c>
      <c r="G62" s="51">
        <v>1</v>
      </c>
      <c r="H62" s="58" t="s">
        <v>218</v>
      </c>
      <c r="I62" s="50" t="s">
        <v>264</v>
      </c>
      <c r="J62" s="50" t="s">
        <v>248</v>
      </c>
      <c r="K62" s="50" t="s">
        <v>286</v>
      </c>
      <c r="L62" s="58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56</v>
      </c>
      <c r="C63" s="48">
        <v>43961</v>
      </c>
      <c r="D63" s="60" t="s">
        <v>144</v>
      </c>
      <c r="E63" s="60" t="s">
        <v>140</v>
      </c>
      <c r="F63" s="58" t="s">
        <v>188</v>
      </c>
      <c r="G63" s="51"/>
      <c r="H63" s="58"/>
      <c r="I63" s="58"/>
      <c r="J63" s="58"/>
      <c r="K63" s="58"/>
      <c r="L63" s="61" t="s">
        <v>17</v>
      </c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57</v>
      </c>
      <c r="C64" s="48">
        <v>43995</v>
      </c>
      <c r="D64" s="60" t="s">
        <v>144</v>
      </c>
      <c r="E64" s="60" t="s">
        <v>140</v>
      </c>
      <c r="F64" s="58" t="s">
        <v>189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58</v>
      </c>
      <c r="C65" s="48">
        <v>43961</v>
      </c>
      <c r="D65" s="60" t="s">
        <v>144</v>
      </c>
      <c r="E65" s="60" t="s">
        <v>140</v>
      </c>
      <c r="F65" s="58" t="s">
        <v>190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59</v>
      </c>
      <c r="C66" s="48">
        <v>43961</v>
      </c>
      <c r="D66" s="60" t="s">
        <v>144</v>
      </c>
      <c r="E66" s="60" t="s">
        <v>140</v>
      </c>
      <c r="F66" s="58" t="s">
        <v>191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60</v>
      </c>
      <c r="C67" s="48">
        <v>43995</v>
      </c>
      <c r="D67" s="60" t="s">
        <v>144</v>
      </c>
      <c r="E67" s="60" t="s">
        <v>140</v>
      </c>
      <c r="F67" s="58" t="s">
        <v>192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61</v>
      </c>
      <c r="C68" s="48">
        <v>44006</v>
      </c>
      <c r="D68" s="60" t="s">
        <v>144</v>
      </c>
      <c r="E68" s="60" t="s">
        <v>140</v>
      </c>
      <c r="F68" s="58" t="s">
        <v>193</v>
      </c>
      <c r="G68" s="51"/>
      <c r="H68" s="58"/>
      <c r="I68" s="58"/>
      <c r="J68" s="58"/>
      <c r="K68" s="58"/>
      <c r="L68" s="61" t="s">
        <v>17</v>
      </c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62</v>
      </c>
      <c r="C69" s="48">
        <v>43995</v>
      </c>
      <c r="D69" s="60" t="s">
        <v>144</v>
      </c>
      <c r="E69" s="60" t="s">
        <v>140</v>
      </c>
      <c r="F69" s="58" t="s">
        <v>20</v>
      </c>
      <c r="G69" s="51"/>
      <c r="H69" s="58"/>
      <c r="I69" s="58"/>
      <c r="J69" s="58"/>
      <c r="K69" s="58"/>
      <c r="L69" s="61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63</v>
      </c>
      <c r="C70" s="48">
        <v>43871</v>
      </c>
      <c r="D70" s="60" t="s">
        <v>144</v>
      </c>
      <c r="E70" s="60" t="s">
        <v>140</v>
      </c>
      <c r="F70" s="58" t="s">
        <v>194</v>
      </c>
      <c r="G70" s="51"/>
      <c r="H70" s="58"/>
      <c r="I70" s="58"/>
      <c r="J70" s="58"/>
      <c r="K70" s="58"/>
      <c r="L70" s="61" t="s">
        <v>17</v>
      </c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64</v>
      </c>
      <c r="C71" s="48">
        <v>43936</v>
      </c>
      <c r="D71" s="60" t="s">
        <v>144</v>
      </c>
      <c r="E71" s="60" t="s">
        <v>140</v>
      </c>
      <c r="F71" s="58" t="s">
        <v>195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65</v>
      </c>
      <c r="C72" s="48">
        <v>43935</v>
      </c>
      <c r="D72" s="60" t="s">
        <v>144</v>
      </c>
      <c r="E72" s="60" t="s">
        <v>140</v>
      </c>
      <c r="F72" s="58" t="s">
        <v>196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66</v>
      </c>
      <c r="C73" s="48">
        <v>43919</v>
      </c>
      <c r="D73" s="60" t="s">
        <v>144</v>
      </c>
      <c r="E73" s="60" t="s">
        <v>140</v>
      </c>
      <c r="F73" s="58" t="s">
        <v>197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67</v>
      </c>
      <c r="C74" s="48">
        <v>43995</v>
      </c>
      <c r="D74" s="60" t="s">
        <v>144</v>
      </c>
      <c r="E74" s="60" t="s">
        <v>140</v>
      </c>
      <c r="F74" s="58" t="s">
        <v>198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68</v>
      </c>
      <c r="C75" s="48">
        <v>43975</v>
      </c>
      <c r="D75" s="60" t="s">
        <v>144</v>
      </c>
      <c r="E75" s="60" t="s">
        <v>140</v>
      </c>
      <c r="F75" s="58" t="s">
        <v>199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69</v>
      </c>
      <c r="C76" s="48">
        <v>43975</v>
      </c>
      <c r="D76" s="60" t="s">
        <v>144</v>
      </c>
      <c r="E76" s="60" t="s">
        <v>140</v>
      </c>
      <c r="F76" s="58" t="s">
        <v>200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70</v>
      </c>
      <c r="C77" s="48">
        <v>43975</v>
      </c>
      <c r="D77" s="60" t="s">
        <v>144</v>
      </c>
      <c r="E77" s="60" t="s">
        <v>140</v>
      </c>
      <c r="F77" s="58" t="s">
        <v>201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71</v>
      </c>
      <c r="C78" s="48">
        <v>43975</v>
      </c>
      <c r="D78" s="60" t="s">
        <v>144</v>
      </c>
      <c r="E78" s="60" t="s">
        <v>140</v>
      </c>
      <c r="F78" s="58" t="s">
        <v>202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72</v>
      </c>
      <c r="C79" s="48">
        <v>43977</v>
      </c>
      <c r="D79" s="60" t="s">
        <v>144</v>
      </c>
      <c r="E79" s="60" t="s">
        <v>140</v>
      </c>
      <c r="F79" s="58" t="s">
        <v>203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73</v>
      </c>
      <c r="C80" s="48">
        <v>43977</v>
      </c>
      <c r="D80" s="60" t="s">
        <v>144</v>
      </c>
      <c r="E80" s="60" t="s">
        <v>140</v>
      </c>
      <c r="F80" s="58" t="s">
        <v>204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74</v>
      </c>
      <c r="C81" s="48">
        <v>43977</v>
      </c>
      <c r="D81" s="60" t="s">
        <v>144</v>
      </c>
      <c r="E81" s="60" t="s">
        <v>140</v>
      </c>
      <c r="F81" s="58" t="s">
        <v>205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75</v>
      </c>
      <c r="C82" s="48">
        <v>43995</v>
      </c>
      <c r="D82" s="60" t="s">
        <v>144</v>
      </c>
      <c r="E82" s="60" t="s">
        <v>140</v>
      </c>
      <c r="F82" s="58" t="s">
        <v>206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76</v>
      </c>
      <c r="C83" s="48">
        <v>43982</v>
      </c>
      <c r="D83" s="60" t="s">
        <v>144</v>
      </c>
      <c r="E83" s="60" t="s">
        <v>140</v>
      </c>
      <c r="F83" s="58" t="s">
        <v>207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77</v>
      </c>
      <c r="C84" s="48">
        <v>43989</v>
      </c>
      <c r="D84" s="60" t="s">
        <v>144</v>
      </c>
      <c r="E84" s="60" t="s">
        <v>140</v>
      </c>
      <c r="F84" s="58" t="s">
        <v>208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78</v>
      </c>
      <c r="C85" s="48">
        <v>43989</v>
      </c>
      <c r="D85" s="60" t="s">
        <v>144</v>
      </c>
      <c r="E85" s="60" t="s">
        <v>140</v>
      </c>
      <c r="F85" s="58" t="s">
        <v>209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>
        <f>IF(F86&lt;&gt;"",SUBTOTAL(3,$F$5:F86),"")</f>
        <v>79</v>
      </c>
      <c r="C86" s="48">
        <v>43991</v>
      </c>
      <c r="D86" s="60" t="s">
        <v>144</v>
      </c>
      <c r="E86" s="60" t="s">
        <v>140</v>
      </c>
      <c r="F86" s="58" t="s">
        <v>210</v>
      </c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>
        <f>IF(F87&lt;&gt;"",SUBTOTAL(3,$F$5:F87),"")</f>
        <v>80</v>
      </c>
      <c r="C87" s="48">
        <v>43991</v>
      </c>
      <c r="D87" s="60" t="s">
        <v>144</v>
      </c>
      <c r="E87" s="60" t="s">
        <v>140</v>
      </c>
      <c r="F87" s="58" t="s">
        <v>211</v>
      </c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>
        <f>IF(F88&lt;&gt;"",SUBTOTAL(3,$F$5:F88),"")</f>
        <v>81</v>
      </c>
      <c r="C88" s="48">
        <v>43992</v>
      </c>
      <c r="D88" s="60" t="s">
        <v>144</v>
      </c>
      <c r="E88" s="60" t="s">
        <v>140</v>
      </c>
      <c r="F88" s="58" t="s">
        <v>212</v>
      </c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>
        <f>IF(F89&lt;&gt;"",SUBTOTAL(3,$F$5:F89),"")</f>
        <v>82</v>
      </c>
      <c r="C89" s="48">
        <v>43994</v>
      </c>
      <c r="D89" s="60" t="s">
        <v>144</v>
      </c>
      <c r="E89" s="60" t="s">
        <v>140</v>
      </c>
      <c r="F89" s="58" t="s">
        <v>213</v>
      </c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13.5" customHeight="1" x14ac:dyDescent="0.15">
      <c r="B90" s="59">
        <f>IF(F90&lt;&gt;"",SUBTOTAL(3,$F$5:F90),"")</f>
        <v>83</v>
      </c>
      <c r="C90" s="48">
        <v>43995</v>
      </c>
      <c r="D90" s="60" t="s">
        <v>144</v>
      </c>
      <c r="E90" s="60" t="s">
        <v>140</v>
      </c>
      <c r="F90" s="58" t="s">
        <v>214</v>
      </c>
      <c r="G90" s="51"/>
      <c r="H90" s="58"/>
      <c r="I90" s="58"/>
      <c r="J90" s="58"/>
      <c r="K90" s="58"/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57" x14ac:dyDescent="0.15">
      <c r="B91" s="59">
        <f>IF(F91&lt;&gt;"",SUBTOTAL(3,$F$5:F91),"")</f>
        <v>84</v>
      </c>
      <c r="C91" s="48">
        <v>43997</v>
      </c>
      <c r="D91" s="60" t="s">
        <v>144</v>
      </c>
      <c r="E91" s="60" t="s">
        <v>140</v>
      </c>
      <c r="F91" s="58" t="s">
        <v>215</v>
      </c>
      <c r="G91" s="51">
        <v>1</v>
      </c>
      <c r="H91" s="58" t="s">
        <v>217</v>
      </c>
      <c r="I91" s="58" t="s">
        <v>265</v>
      </c>
      <c r="J91" s="58" t="s">
        <v>266</v>
      </c>
      <c r="K91" s="58" t="s">
        <v>267</v>
      </c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>
        <f>IF(F92&lt;&gt;"",SUBTOTAL(3,$F$5:F92),"")</f>
        <v>85</v>
      </c>
      <c r="C92" s="48">
        <v>44004</v>
      </c>
      <c r="D92" s="60" t="s">
        <v>144</v>
      </c>
      <c r="E92" s="60" t="s">
        <v>140</v>
      </c>
      <c r="F92" s="58" t="s">
        <v>216</v>
      </c>
      <c r="G92" s="51"/>
      <c r="H92" s="58"/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115.5" x14ac:dyDescent="0.15">
      <c r="B93" s="59">
        <f>IF(F93&lt;&gt;"",SUBTOTAL(3,$F$5:F93),"")</f>
        <v>86</v>
      </c>
      <c r="C93" s="48">
        <v>44030</v>
      </c>
      <c r="D93" s="60" t="s">
        <v>144</v>
      </c>
      <c r="E93" s="60" t="s">
        <v>150</v>
      </c>
      <c r="F93" s="60" t="s">
        <v>219</v>
      </c>
      <c r="G93" s="51">
        <v>1</v>
      </c>
      <c r="H93" s="58" t="s">
        <v>218</v>
      </c>
      <c r="I93" s="58" t="s">
        <v>255</v>
      </c>
      <c r="J93" s="58" t="s">
        <v>221</v>
      </c>
      <c r="K93" s="58" t="s">
        <v>222</v>
      </c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57" x14ac:dyDescent="0.15">
      <c r="B94" s="59">
        <f>IF(F94&lt;&gt;"",SUBTOTAL(3,$F$5:F94),"")</f>
        <v>87</v>
      </c>
      <c r="C94" s="48">
        <v>44052</v>
      </c>
      <c r="D94" s="60" t="s">
        <v>144</v>
      </c>
      <c r="E94" s="60" t="s">
        <v>150</v>
      </c>
      <c r="F94" s="60" t="s">
        <v>240</v>
      </c>
      <c r="G94" s="51">
        <v>0.5</v>
      </c>
      <c r="H94" s="58" t="s">
        <v>256</v>
      </c>
      <c r="I94" s="58" t="s">
        <v>257</v>
      </c>
      <c r="J94" s="58" t="s">
        <v>241</v>
      </c>
      <c r="K94" s="58" t="s">
        <v>258</v>
      </c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13.5" customHeight="1" x14ac:dyDescent="0.15">
      <c r="B95" s="59">
        <f>IF(F95&lt;&gt;"",SUBTOTAL(3,$F$5:F95),"")</f>
        <v>88</v>
      </c>
      <c r="C95" s="48">
        <v>44062</v>
      </c>
      <c r="D95" s="60" t="s">
        <v>144</v>
      </c>
      <c r="E95" s="60" t="s">
        <v>150</v>
      </c>
      <c r="F95" s="60" t="s">
        <v>272</v>
      </c>
      <c r="G95" s="51">
        <v>1</v>
      </c>
      <c r="H95" s="58" t="s">
        <v>217</v>
      </c>
      <c r="I95" s="58"/>
      <c r="J95" s="58"/>
      <c r="K95" s="58"/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s="39" customFormat="1" ht="13.5" customHeight="1" x14ac:dyDescent="0.15">
      <c r="B96" s="59">
        <f>IF(F96&lt;&gt;"",SUBTOTAL(3,$F$5:F96),"")</f>
        <v>89</v>
      </c>
      <c r="C96" s="48">
        <v>44071</v>
      </c>
      <c r="D96" s="60" t="s">
        <v>144</v>
      </c>
      <c r="E96" s="60" t="s">
        <v>150</v>
      </c>
      <c r="F96" s="60" t="s">
        <v>273</v>
      </c>
      <c r="G96" s="51">
        <v>1</v>
      </c>
      <c r="H96" s="58" t="s">
        <v>217</v>
      </c>
      <c r="I96" s="58"/>
      <c r="J96" s="58"/>
      <c r="K96" s="58"/>
      <c r="L96" s="58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</row>
    <row r="97" spans="2:62" s="39" customFormat="1" ht="363.75" x14ac:dyDescent="0.15">
      <c r="B97" s="59">
        <f>IF(F97&lt;&gt;"",SUBTOTAL(3,$F$5:F97),"")</f>
        <v>90</v>
      </c>
      <c r="C97" s="48">
        <v>44073</v>
      </c>
      <c r="D97" s="60" t="s">
        <v>144</v>
      </c>
      <c r="E97" s="60" t="s">
        <v>150</v>
      </c>
      <c r="F97" s="60" t="s">
        <v>284</v>
      </c>
      <c r="G97" s="51">
        <v>1</v>
      </c>
      <c r="H97" s="58" t="s">
        <v>218</v>
      </c>
      <c r="I97" s="58" t="s">
        <v>289</v>
      </c>
      <c r="J97" s="58" t="s">
        <v>285</v>
      </c>
      <c r="K97" s="58" t="s">
        <v>288</v>
      </c>
      <c r="L97" s="58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</row>
    <row r="98" spans="2:62" s="39" customFormat="1" ht="13.5" customHeight="1" x14ac:dyDescent="0.15">
      <c r="B98" s="59" t="str">
        <f>IF(F98&lt;&gt;"",SUBTOTAL(3,$F$5:F98),"")</f>
        <v/>
      </c>
      <c r="C98" s="48"/>
      <c r="D98" s="60"/>
      <c r="E98" s="60"/>
      <c r="F98" s="60"/>
      <c r="G98" s="51"/>
      <c r="H98" s="58"/>
      <c r="I98" s="58"/>
      <c r="J98" s="58"/>
      <c r="K98" s="58"/>
      <c r="L98" s="58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</row>
    <row r="99" spans="2:62" s="39" customFormat="1" ht="13.5" customHeight="1" x14ac:dyDescent="0.15">
      <c r="B99" s="59" t="str">
        <f>IF(F99&lt;&gt;"",SUBTOTAL(3,$F$5:F99),"")</f>
        <v/>
      </c>
      <c r="C99" s="48"/>
      <c r="D99" s="60"/>
      <c r="E99" s="60"/>
      <c r="F99" s="60"/>
      <c r="G99" s="51"/>
      <c r="H99" s="58"/>
      <c r="I99" s="58"/>
      <c r="J99" s="58"/>
      <c r="K99" s="58"/>
      <c r="L99" s="58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</row>
    <row r="100" spans="2:62" s="39" customFormat="1" ht="13.5" customHeight="1" x14ac:dyDescent="0.15">
      <c r="B100" s="59" t="str">
        <f>IF(F100&lt;&gt;"",SUBTOTAL(3,$F$5:F100),"")</f>
        <v/>
      </c>
      <c r="C100" s="48"/>
      <c r="D100" s="60"/>
      <c r="E100" s="60"/>
      <c r="F100" s="60"/>
      <c r="G100" s="51"/>
      <c r="H100" s="58"/>
      <c r="I100" s="58"/>
      <c r="J100" s="58"/>
      <c r="K100" s="58"/>
      <c r="L100" s="58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</row>
    <row r="101" spans="2:62" ht="13.5" customHeight="1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ht="13.5" customHeight="1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  <c r="AX892" s="53"/>
      <c r="AY892" s="53"/>
      <c r="AZ892" s="53"/>
      <c r="BA892" s="53"/>
      <c r="BB892" s="53"/>
      <c r="BC892" s="53"/>
      <c r="BD892" s="53"/>
      <c r="BE892" s="53"/>
      <c r="BF892" s="53"/>
      <c r="BG892" s="53"/>
      <c r="BH892" s="53"/>
      <c r="BI892" s="53"/>
      <c r="BJ892" s="53"/>
    </row>
    <row r="893" spans="2:62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  <c r="R893" s="53"/>
      <c r="S893" s="53"/>
      <c r="T893" s="53"/>
      <c r="U893" s="53"/>
      <c r="V893" s="53"/>
      <c r="W893" s="53"/>
      <c r="X893" s="53"/>
      <c r="Y893" s="53"/>
      <c r="Z893" s="53"/>
      <c r="AA893" s="53"/>
      <c r="AB893" s="53"/>
      <c r="AC893" s="53"/>
      <c r="AD893" s="53"/>
      <c r="AE893" s="53"/>
      <c r="AF893" s="53"/>
      <c r="AG893" s="53"/>
      <c r="AH893" s="53"/>
      <c r="AI893" s="53"/>
      <c r="AJ893" s="53"/>
      <c r="AK893" s="53"/>
      <c r="AL893" s="53"/>
      <c r="AM893" s="53"/>
      <c r="AN893" s="53"/>
      <c r="AO893" s="53"/>
      <c r="AP893" s="53"/>
      <c r="AQ893" s="53"/>
      <c r="AR893" s="53"/>
      <c r="AS893" s="53"/>
      <c r="AT893" s="53"/>
      <c r="AU893" s="53"/>
      <c r="AV893" s="53"/>
      <c r="AW893" s="53"/>
      <c r="AX893" s="53"/>
      <c r="AY893" s="53"/>
      <c r="AZ893" s="53"/>
      <c r="BA893" s="53"/>
      <c r="BB893" s="53"/>
      <c r="BC893" s="53"/>
      <c r="BD893" s="53"/>
      <c r="BE893" s="53"/>
      <c r="BF893" s="53"/>
      <c r="BG893" s="53"/>
      <c r="BH893" s="53"/>
      <c r="BI893" s="53"/>
      <c r="BJ893" s="53"/>
    </row>
    <row r="894" spans="2:62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  <c r="R894" s="53"/>
      <c r="S894" s="53"/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  <c r="AX894" s="53"/>
      <c r="AY894" s="53"/>
      <c r="AZ894" s="53"/>
      <c r="BA894" s="53"/>
      <c r="BB894" s="53"/>
      <c r="BC894" s="53"/>
      <c r="BD894" s="53"/>
      <c r="BE894" s="53"/>
      <c r="BF894" s="53"/>
      <c r="BG894" s="53"/>
      <c r="BH894" s="53"/>
      <c r="BI894" s="53"/>
      <c r="BJ894" s="53"/>
    </row>
    <row r="895" spans="2:62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  <c r="R895" s="53"/>
      <c r="S895" s="53"/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/>
      <c r="AP895" s="53"/>
      <c r="AQ895" s="53"/>
      <c r="AR895" s="53"/>
      <c r="AS895" s="53"/>
      <c r="AT895" s="53"/>
      <c r="AU895" s="53"/>
      <c r="AV895" s="53"/>
      <c r="AW895" s="53"/>
      <c r="AX895" s="53"/>
      <c r="AY895" s="53"/>
      <c r="AZ895" s="53"/>
      <c r="BA895" s="53"/>
      <c r="BB895" s="53"/>
      <c r="BC895" s="53"/>
      <c r="BD895" s="53"/>
      <c r="BE895" s="53"/>
      <c r="BF895" s="53"/>
      <c r="BG895" s="53"/>
      <c r="BH895" s="53"/>
      <c r="BI895" s="53"/>
      <c r="BJ895" s="53"/>
    </row>
    <row r="896" spans="2:62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  <c r="R896" s="53"/>
      <c r="S896" s="53"/>
      <c r="T896" s="53"/>
      <c r="U896" s="53"/>
      <c r="V896" s="53"/>
      <c r="W896" s="53"/>
      <c r="X896" s="53"/>
      <c r="Y896" s="53"/>
      <c r="Z896" s="53"/>
      <c r="AA896" s="53"/>
      <c r="AB896" s="53"/>
      <c r="AC896" s="53"/>
      <c r="AD896" s="53"/>
      <c r="AE896" s="53"/>
      <c r="AF896" s="53"/>
      <c r="AG896" s="53"/>
      <c r="AH896" s="53"/>
      <c r="AI896" s="53"/>
      <c r="AJ896" s="53"/>
      <c r="AK896" s="53"/>
      <c r="AL896" s="53"/>
      <c r="AM896" s="53"/>
      <c r="AN896" s="53"/>
      <c r="AO896" s="53"/>
      <c r="AP896" s="53"/>
      <c r="AQ896" s="53"/>
      <c r="AR896" s="53"/>
      <c r="AS896" s="53"/>
      <c r="AT896" s="53"/>
      <c r="AU896" s="53"/>
      <c r="AV896" s="53"/>
      <c r="AW896" s="53"/>
      <c r="AX896" s="53"/>
      <c r="AY896" s="53"/>
      <c r="AZ896" s="53"/>
      <c r="BA896" s="53"/>
      <c r="BB896" s="53"/>
      <c r="BC896" s="53"/>
      <c r="BD896" s="53"/>
      <c r="BE896" s="53"/>
      <c r="BF896" s="53"/>
      <c r="BG896" s="53"/>
      <c r="BH896" s="53"/>
      <c r="BI896" s="53"/>
      <c r="BJ896" s="53"/>
    </row>
    <row r="897" spans="2:12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47" t="str">
        <f>IF(F2037&lt;&gt;"",SUBTOTAL(3,$F$5:F2037),"")</f>
        <v/>
      </c>
      <c r="C2037" s="48"/>
      <c r="D2037" s="49"/>
      <c r="E2037" s="49"/>
      <c r="F2037" s="49"/>
      <c r="G2037" s="51"/>
      <c r="H2037" s="50"/>
      <c r="I2037" s="50"/>
      <c r="J2037" s="50"/>
      <c r="K2037" s="50"/>
      <c r="L2037" s="50"/>
    </row>
    <row r="2038" spans="2:12" s="52" customFormat="1" x14ac:dyDescent="0.15">
      <c r="B2038" s="47" t="str">
        <f>IF(F2038&lt;&gt;"",SUBTOTAL(3,$F$5:F2038),"")</f>
        <v/>
      </c>
      <c r="C2038" s="48"/>
      <c r="D2038" s="49"/>
      <c r="E2038" s="49"/>
      <c r="F2038" s="49"/>
      <c r="G2038" s="51"/>
      <c r="H2038" s="50"/>
      <c r="I2038" s="50"/>
      <c r="J2038" s="50"/>
      <c r="K2038" s="50"/>
      <c r="L2038" s="50"/>
    </row>
    <row r="2039" spans="2:12" s="52" customFormat="1" x14ac:dyDescent="0.15">
      <c r="B2039" s="47" t="str">
        <f>IF(F2039&lt;&gt;"",SUBTOTAL(3,$F$5:F2039),"")</f>
        <v/>
      </c>
      <c r="C2039" s="48"/>
      <c r="D2039" s="49"/>
      <c r="E2039" s="49"/>
      <c r="F2039" s="49"/>
      <c r="G2039" s="51"/>
      <c r="H2039" s="50"/>
      <c r="I2039" s="50"/>
      <c r="J2039" s="50"/>
      <c r="K2039" s="50"/>
      <c r="L2039" s="50"/>
    </row>
    <row r="2040" spans="2:12" s="52" customFormat="1" x14ac:dyDescent="0.15">
      <c r="B2040" s="47" t="str">
        <f>IF(F2040&lt;&gt;"",SUBTOTAL(3,$F$5:F2040),"")</f>
        <v/>
      </c>
      <c r="C2040" s="48"/>
      <c r="D2040" s="49"/>
      <c r="E2040" s="49"/>
      <c r="F2040" s="49"/>
      <c r="G2040" s="51"/>
      <c r="H2040" s="50"/>
      <c r="I2040" s="50"/>
      <c r="J2040" s="50"/>
      <c r="K2040" s="50"/>
      <c r="L2040" s="50"/>
    </row>
    <row r="2041" spans="2:12" s="52" customFormat="1" x14ac:dyDescent="0.15">
      <c r="B2041" s="47" t="str">
        <f>IF(F2041&lt;&gt;"",SUBTOTAL(3,$F$5:F2041),"")</f>
        <v/>
      </c>
      <c r="C2041" s="48"/>
      <c r="D2041" s="49"/>
      <c r="E2041" s="49"/>
      <c r="F2041" s="49"/>
      <c r="G2041" s="51"/>
      <c r="H2041" s="50"/>
      <c r="I2041" s="50"/>
      <c r="J2041" s="50"/>
      <c r="K2041" s="50"/>
      <c r="L2041" s="50"/>
    </row>
    <row r="2042" spans="2:12" s="52" customFormat="1" x14ac:dyDescent="0.15">
      <c r="B2042" s="62" t="str">
        <f>IF(F2042&lt;&gt;"",SUBTOTAL(3,$F$5:F2042),"")</f>
        <v/>
      </c>
      <c r="C2042" s="63"/>
      <c r="D2042" s="64"/>
      <c r="E2042" s="64"/>
      <c r="F2042" s="64"/>
      <c r="G2042" s="65"/>
      <c r="H2042" s="66"/>
      <c r="I2042" s="66"/>
      <c r="J2042" s="66"/>
      <c r="K2042" s="66"/>
      <c r="L2042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41:L57 B59:L61 B58:H58 L58 B62:F62 L62 H62 C28:L31 B63:L2042 B24:B36 B22:L23 B5:L18">
    <cfRule type="expression" dxfId="22" priority="26">
      <formula>AND($G5&lt;&gt;1,$G5&lt;&gt;"")</formula>
    </cfRule>
  </conditionalFormatting>
  <conditionalFormatting sqref="B40:L40">
    <cfRule type="expression" dxfId="21" priority="25">
      <formula>AND($G40&lt;&gt;1,$G40&lt;&gt;"")</formula>
    </cfRule>
  </conditionalFormatting>
  <conditionalFormatting sqref="B39:L39">
    <cfRule type="expression" dxfId="20" priority="24">
      <formula>AND($G39&lt;&gt;1,$G39&lt;&gt;"")</formula>
    </cfRule>
  </conditionalFormatting>
  <conditionalFormatting sqref="B38:L38">
    <cfRule type="expression" dxfId="19" priority="23">
      <formula>AND($G38&lt;&gt;1,$G38&lt;&gt;"")</formula>
    </cfRule>
  </conditionalFormatting>
  <conditionalFormatting sqref="C36:L36">
    <cfRule type="expression" dxfId="18" priority="22">
      <formula>AND($G36&lt;&gt;1,$G36&lt;&gt;"")</formula>
    </cfRule>
  </conditionalFormatting>
  <conditionalFormatting sqref="B37:L37">
    <cfRule type="expression" dxfId="17" priority="21">
      <formula>AND($G37&lt;&gt;1,$G37&lt;&gt;"")</formula>
    </cfRule>
  </conditionalFormatting>
  <conditionalFormatting sqref="C35:L35">
    <cfRule type="expression" dxfId="16" priority="20">
      <formula>AND($G35&lt;&gt;1,$G35&lt;&gt;"")</formula>
    </cfRule>
  </conditionalFormatting>
  <conditionalFormatting sqref="C34:L34">
    <cfRule type="expression" dxfId="15" priority="19">
      <formula>AND($G34&lt;&gt;1,$G34&lt;&gt;"")</formula>
    </cfRule>
  </conditionalFormatting>
  <conditionalFormatting sqref="C33:L33">
    <cfRule type="expression" dxfId="14" priority="18">
      <formula>AND($G33&lt;&gt;1,$G33&lt;&gt;"")</formula>
    </cfRule>
  </conditionalFormatting>
  <conditionalFormatting sqref="C32:L32">
    <cfRule type="expression" dxfId="13" priority="17">
      <formula>AND($G32&lt;&gt;1,$G32&lt;&gt;"")</formula>
    </cfRule>
  </conditionalFormatting>
  <conditionalFormatting sqref="I58">
    <cfRule type="expression" dxfId="12" priority="15">
      <formula>AND($G58&lt;&gt;1,$G58&lt;&gt;"")</formula>
    </cfRule>
  </conditionalFormatting>
  <conditionalFormatting sqref="I62">
    <cfRule type="expression" dxfId="11" priority="14">
      <formula>AND($G62&lt;&gt;1,$G62&lt;&gt;"")</formula>
    </cfRule>
  </conditionalFormatting>
  <conditionalFormatting sqref="G62">
    <cfRule type="expression" dxfId="10" priority="12">
      <formula>AND($G62&lt;&gt;1,$G62&lt;&gt;"")</formula>
    </cfRule>
  </conditionalFormatting>
  <conditionalFormatting sqref="J62:K62">
    <cfRule type="expression" dxfId="9" priority="11">
      <formula>AND($G62&lt;&gt;1,$G62&lt;&gt;"")</formula>
    </cfRule>
  </conditionalFormatting>
  <conditionalFormatting sqref="J58:K58">
    <cfRule type="expression" dxfId="8" priority="10">
      <formula>AND($G58&lt;&gt;1,$G58&lt;&gt;"")</formula>
    </cfRule>
  </conditionalFormatting>
  <conditionalFormatting sqref="C27:L27">
    <cfRule type="expression" dxfId="7" priority="9">
      <formula>AND($G27&lt;&gt;1,$G27&lt;&gt;"")</formula>
    </cfRule>
  </conditionalFormatting>
  <conditionalFormatting sqref="C26:L26">
    <cfRule type="expression" dxfId="6" priority="8">
      <formula>AND($G26&lt;&gt;1,$G26&lt;&gt;"")</formula>
    </cfRule>
  </conditionalFormatting>
  <conditionalFormatting sqref="C25:L25">
    <cfRule type="expression" dxfId="5" priority="7">
      <formula>AND($G25&lt;&gt;1,$G25&lt;&gt;"")</formula>
    </cfRule>
  </conditionalFormatting>
  <conditionalFormatting sqref="C24:L24">
    <cfRule type="expression" dxfId="4" priority="6">
      <formula>AND($G24&lt;&gt;1,$G24&lt;&gt;"")</formula>
    </cfRule>
  </conditionalFormatting>
  <conditionalFormatting sqref="B20:L20">
    <cfRule type="expression" dxfId="3" priority="5">
      <formula>AND($G20&lt;&gt;1,$G20&lt;&gt;"")</formula>
    </cfRule>
  </conditionalFormatting>
  <conditionalFormatting sqref="B21:C21 E21:L21">
    <cfRule type="expression" dxfId="2" priority="4">
      <formula>AND($G21&lt;&gt;1,$G21&lt;&gt;"")</formula>
    </cfRule>
  </conditionalFormatting>
  <conditionalFormatting sqref="B19:L19">
    <cfRule type="expression" dxfId="1" priority="3">
      <formula>AND($G19&lt;&gt;1,$G19&lt;&gt;"")</formula>
    </cfRule>
  </conditionalFormatting>
  <conditionalFormatting sqref="D21">
    <cfRule type="expression" dxfId="0" priority="1">
      <formula>AND($G21&lt;&gt;1,$G21&lt;&gt;"")</formula>
    </cfRule>
  </conditionalFormatting>
  <dataValidations count="1">
    <dataValidation type="list" allowBlank="1" showInputMessage="1" showErrorMessage="1" sqref="G5:G2042" xr:uid="{CDD3132F-D59C-4B0A-9A7C-94B9D9A88440}">
      <formula1>"100%,80%,50%,30%,0%"</formula1>
    </dataValidation>
  </dataValidations>
  <hyperlinks>
    <hyperlink ref="L29" location="toABC114_C_755" display="(→)" xr:uid="{C3DBC3A8-8FB5-4AEF-8FA5-1088932AB54B}"/>
    <hyperlink ref="L63" location="toABC143_C_Slimes" display="(→)" xr:uid="{D0A14FDC-339D-483C-A7FB-42784F1DB2F9}"/>
    <hyperlink ref="L68" location="toABC147_C_Honest_or_Unkind2" display="(→)" xr:uid="{5E89EE6B-F278-4D19-9890-D06616736879}"/>
    <hyperlink ref="L70" location="toABC149_C_NextPrime" display="(→)" xr:uid="{B7EC79F3-9ECE-482D-BD97-C57882E1060F}"/>
    <hyperlink ref="I37" r:id="rId1" xr:uid="{5BD5F2DC-6B88-438C-91ED-FFFD22D22613}"/>
    <hyperlink ref="J26" r:id="rId2" xr:uid="{83F0EE6D-A5AE-46CF-825B-F668E9D5E6F2}"/>
    <hyperlink ref="J23" r:id="rId3" xr:uid="{B237EB70-6995-40B9-A882-260D3654BFF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2020-09-21T06:34:35Z</dcterms:modified>
</cp:coreProperties>
</file>
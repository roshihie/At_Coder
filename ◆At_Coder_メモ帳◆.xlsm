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1E8E3A9-1EB5-433F-9806-03DA9BB5FC5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At_Coder_C問題!$J$189</definedName>
    <definedName name="fromABC147_C_Honest_or_Unkind2">At_Coder_C問題!$J$194</definedName>
    <definedName name="fromABC149_C_NextPrime">At_Coder_C問題!$J$196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2" i="3" l="1"/>
  <c r="B175" i="3"/>
  <c r="B176" i="3"/>
  <c r="B174" i="3"/>
  <c r="B30" i="3"/>
  <c r="B29" i="3"/>
  <c r="B28" i="3"/>
  <c r="B27" i="3"/>
  <c r="B138" i="3" l="1"/>
  <c r="B239" i="3"/>
  <c r="B240" i="3"/>
  <c r="B238" i="3"/>
  <c r="B241" i="3"/>
  <c r="B20" i="3" l="1"/>
  <c r="B13" i="3"/>
  <c r="B6" i="3" l="1"/>
  <c r="B62" i="3" l="1"/>
  <c r="B63" i="3"/>
  <c r="B283" i="3" l="1"/>
  <c r="B282" i="3"/>
  <c r="B281" i="3"/>
  <c r="B280" i="3"/>
  <c r="B279" i="3"/>
  <c r="B278" i="3"/>
  <c r="B275" i="3"/>
  <c r="B273" i="3"/>
  <c r="B272" i="3"/>
  <c r="B271" i="3"/>
  <c r="B270" i="3"/>
  <c r="B269" i="3"/>
  <c r="B268" i="3"/>
  <c r="B276" i="3"/>
  <c r="B274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5" i="3"/>
  <c r="B244" i="3"/>
  <c r="B243" i="3"/>
  <c r="B242" i="3"/>
  <c r="B236" i="3"/>
  <c r="B235" i="3"/>
  <c r="B234" i="3"/>
  <c r="B233" i="3"/>
  <c r="B232" i="3"/>
  <c r="B231" i="3"/>
  <c r="B230" i="3"/>
  <c r="B227" i="3"/>
  <c r="B226" i="3"/>
  <c r="J222" i="3"/>
  <c r="B222" i="3"/>
  <c r="B221" i="3"/>
  <c r="B220" i="3"/>
  <c r="B219" i="3"/>
  <c r="B218" i="3"/>
  <c r="B217" i="3"/>
  <c r="B216" i="3"/>
  <c r="B188" i="3"/>
  <c r="B187" i="3"/>
  <c r="B186" i="3"/>
  <c r="B185" i="3"/>
  <c r="B184" i="3"/>
  <c r="B183" i="3"/>
  <c r="B182" i="3"/>
  <c r="B181" i="3"/>
  <c r="B180" i="3"/>
  <c r="B179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284" i="3" l="1"/>
  <c r="B223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16" i="3" l="1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77" i="3"/>
  <c r="B248" i="3"/>
  <c r="B247" i="3"/>
  <c r="B246" i="3"/>
  <c r="B237" i="3"/>
  <c r="B229" i="3"/>
  <c r="B228" i="3"/>
  <c r="B225" i="3"/>
  <c r="B224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78" i="3"/>
  <c r="B177" i="3"/>
  <c r="B173" i="3"/>
  <c r="B171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<sst xmlns="http://schemas.openxmlformats.org/spreadsheetml/2006/main" count="738" uniqueCount="428">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</sst>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9" fontId="20" fillId="0" borderId="5" xfId="0" applyNumberFormat="1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277</xdr:row>
      <xdr:rowOff>33337</xdr:rowOff>
    </xdr:from>
    <xdr:to>
      <xdr:col>16</xdr:col>
      <xdr:colOff>38100</xdr:colOff>
      <xdr:row>277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279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278</xdr:row>
      <xdr:rowOff>35719</xdr:rowOff>
    </xdr:from>
    <xdr:to>
      <xdr:col>21</xdr:col>
      <xdr:colOff>133350</xdr:colOff>
      <xdr:row>279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16"/>
  <sheetViews>
    <sheetView tabSelected="1" zoomScaleNormal="100" workbookViewId="0">
      <pane xSplit="7" ySplit="4" topLeftCell="H161" activePane="bottomRight" state="frozen"/>
      <selection pane="topRight" activeCell="H1" sqref="H1"/>
      <selection pane="bottomLeft" activeCell="A5" sqref="A5"/>
      <selection pane="bottomRight" activeCell="G163" sqref="G163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7" t="s">
        <v>8</v>
      </c>
      <c r="C2" s="112" t="s">
        <v>234</v>
      </c>
      <c r="D2" s="112" t="s">
        <v>235</v>
      </c>
      <c r="E2" s="105" t="s">
        <v>141</v>
      </c>
      <c r="F2" s="106"/>
      <c r="G2" s="106"/>
      <c r="H2" s="109" t="s">
        <v>10</v>
      </c>
      <c r="I2" s="111" t="s">
        <v>11</v>
      </c>
      <c r="J2" s="105" t="s">
        <v>236</v>
      </c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4"/>
      <c r="AK2" s="114"/>
      <c r="AL2" s="114"/>
      <c r="AM2" s="114"/>
      <c r="AN2" s="114"/>
      <c r="AO2" s="114"/>
      <c r="AP2" s="114"/>
      <c r="AQ2" s="114"/>
      <c r="AR2" s="115"/>
      <c r="AS2" s="105" t="s">
        <v>418</v>
      </c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1"/>
      <c r="CB2" s="103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8"/>
      <c r="C3" s="108"/>
      <c r="D3" s="108"/>
      <c r="E3" s="36" t="s">
        <v>137</v>
      </c>
      <c r="F3" s="36" t="s">
        <v>138</v>
      </c>
      <c r="G3" s="36" t="s">
        <v>9</v>
      </c>
      <c r="H3" s="110"/>
      <c r="I3" s="108"/>
      <c r="J3" s="116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8"/>
      <c r="AK3" s="118"/>
      <c r="AL3" s="118"/>
      <c r="AM3" s="118"/>
      <c r="AN3" s="118"/>
      <c r="AO3" s="118"/>
      <c r="AP3" s="118"/>
      <c r="AQ3" s="118"/>
      <c r="AR3" s="119"/>
      <c r="AS3" s="122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  <c r="BJ3" s="123"/>
      <c r="BK3" s="123"/>
      <c r="BL3" s="123"/>
      <c r="BM3" s="123"/>
      <c r="BN3" s="123"/>
      <c r="BO3" s="123"/>
      <c r="BP3" s="123"/>
      <c r="BQ3" s="123"/>
      <c r="BR3" s="123"/>
      <c r="BS3" s="123"/>
      <c r="BT3" s="123"/>
      <c r="BU3" s="123"/>
      <c r="BV3" s="123"/>
      <c r="BW3" s="123"/>
      <c r="BX3" s="123"/>
      <c r="BY3" s="123"/>
      <c r="BZ3" s="123"/>
      <c r="CA3" s="124"/>
      <c r="CB3" s="104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49</v>
      </c>
      <c r="C156" s="58"/>
      <c r="D156" s="58"/>
      <c r="E156" s="59" t="s">
        <v>139</v>
      </c>
      <c r="F156" s="59" t="s">
        <v>135</v>
      </c>
      <c r="G156" s="74" t="s">
        <v>174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139</v>
      </c>
      <c r="F157" s="76" t="s">
        <v>135</v>
      </c>
      <c r="G157" s="74" t="s">
        <v>175</v>
      </c>
      <c r="H157" s="61">
        <v>43995</v>
      </c>
      <c r="I157" s="62"/>
      <c r="J157" s="77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78"/>
      <c r="AS157" s="77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78"/>
      <c r="CB157" s="74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</row>
    <row r="158" spans="2:130" s="46" customFormat="1" x14ac:dyDescent="0.15">
      <c r="B158" s="75">
        <f>IF(G158&lt;&gt;"",SUBTOTAL(3,$G$5:G158),"")</f>
        <v>51</v>
      </c>
      <c r="C158" s="75"/>
      <c r="D158" s="75"/>
      <c r="E158" s="76" t="s">
        <v>139</v>
      </c>
      <c r="F158" s="76" t="s">
        <v>135</v>
      </c>
      <c r="G158" s="74" t="s">
        <v>176</v>
      </c>
      <c r="H158" s="61">
        <v>43955</v>
      </c>
      <c r="I158" s="62">
        <v>1</v>
      </c>
      <c r="J158" s="79" t="s">
        <v>317</v>
      </c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0"/>
      <c r="AN158" s="80"/>
      <c r="AO158" s="80"/>
      <c r="AP158" s="80"/>
      <c r="AQ158" s="80"/>
      <c r="AR158" s="81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74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</row>
    <row r="159" spans="2:130" s="46" customFormat="1" x14ac:dyDescent="0.15">
      <c r="B159" s="75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9" t="s">
        <v>262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0"/>
      <c r="AN159" s="80"/>
      <c r="AO159" s="80"/>
      <c r="AP159" s="80"/>
      <c r="AQ159" s="80"/>
      <c r="AR159" s="81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74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</row>
    <row r="160" spans="2:13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318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0"/>
      <c r="AN160" s="80"/>
      <c r="AO160" s="80"/>
      <c r="AP160" s="80"/>
      <c r="AQ160" s="80"/>
      <c r="AR160" s="81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319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0"/>
      <c r="AN161" s="80"/>
      <c r="AO161" s="80"/>
      <c r="AP161" s="80"/>
      <c r="AQ161" s="80"/>
      <c r="AR161" s="81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266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0"/>
      <c r="AN162" s="80"/>
      <c r="AO162" s="80"/>
      <c r="AP162" s="80"/>
      <c r="AQ162" s="80"/>
      <c r="AR162" s="81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320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321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322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323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324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272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325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/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ht="13.5" customHeight="1" x14ac:dyDescent="0.15">
      <c r="B171" s="75">
        <f>IF(G171&lt;&gt;"",SUBTOTAL(3,$G$5:G171),"")</f>
        <v>52</v>
      </c>
      <c r="C171" s="75"/>
      <c r="D171" s="75"/>
      <c r="E171" s="76" t="s">
        <v>139</v>
      </c>
      <c r="F171" s="76" t="s">
        <v>135</v>
      </c>
      <c r="G171" s="74" t="s">
        <v>177</v>
      </c>
      <c r="H171" s="61">
        <v>43967</v>
      </c>
      <c r="I171" s="125">
        <v>1</v>
      </c>
      <c r="J171" s="77" t="s">
        <v>426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78"/>
      <c r="AS171" s="77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78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102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7" t="s">
        <v>427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75">
        <f>IF(G173&lt;&gt;"",SUBTOTAL(3,$G$5:G173),"")</f>
        <v>53</v>
      </c>
      <c r="C173" s="75"/>
      <c r="D173" s="75"/>
      <c r="E173" s="76" t="s">
        <v>139</v>
      </c>
      <c r="F173" s="76" t="s">
        <v>135</v>
      </c>
      <c r="G173" s="74" t="s">
        <v>178</v>
      </c>
      <c r="H173" s="61">
        <v>43870</v>
      </c>
      <c r="I173" s="62">
        <v>1</v>
      </c>
      <c r="J173" s="77" t="s">
        <v>423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102" t="str">
        <f>IF(G174&lt;&gt;"",SUBTOTAL(3,$G$5:G174),"")</f>
        <v/>
      </c>
      <c r="C174" s="75"/>
      <c r="D174" s="75"/>
      <c r="E174" s="76"/>
      <c r="F174" s="76"/>
      <c r="G174" s="74"/>
      <c r="H174" s="61"/>
      <c r="I174" s="68"/>
      <c r="J174" s="77" t="s">
        <v>424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102" t="str">
        <f>IF(G175&lt;&gt;"",SUBTOTAL(3,$G$5:G175),"")</f>
        <v/>
      </c>
      <c r="C175" s="75"/>
      <c r="D175" s="75"/>
      <c r="E175" s="76"/>
      <c r="F175" s="76"/>
      <c r="G175" s="74"/>
      <c r="H175" s="61"/>
      <c r="I175" s="68"/>
      <c r="J175" s="77" t="s">
        <v>425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102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x14ac:dyDescent="0.15">
      <c r="B177" s="75">
        <f>IF(G177&lt;&gt;"",SUBTOTAL(3,$G$5:G177),"")</f>
        <v>54</v>
      </c>
      <c r="C177" s="75"/>
      <c r="D177" s="75"/>
      <c r="E177" s="76" t="s">
        <v>139</v>
      </c>
      <c r="F177" s="76" t="s">
        <v>135</v>
      </c>
      <c r="G177" s="74" t="s">
        <v>179</v>
      </c>
      <c r="H177" s="61">
        <v>43869</v>
      </c>
      <c r="I177" s="62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IF(G178&lt;&gt;"",SUBTOTAL(3,$G$5:G178),"")</f>
        <v>55</v>
      </c>
      <c r="C178" s="75"/>
      <c r="D178" s="75"/>
      <c r="E178" s="76" t="s">
        <v>139</v>
      </c>
      <c r="F178" s="76" t="s">
        <v>135</v>
      </c>
      <c r="G178" s="74" t="s">
        <v>89</v>
      </c>
      <c r="H178" s="61">
        <v>43961</v>
      </c>
      <c r="I178" s="62">
        <v>1</v>
      </c>
      <c r="J178" s="79" t="s">
        <v>326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0"/>
      <c r="AN178" s="80"/>
      <c r="AO178" s="80"/>
      <c r="AP178" s="80"/>
      <c r="AQ178" s="80"/>
      <c r="AR178" s="81"/>
      <c r="AS178" s="63"/>
      <c r="AT178" s="64"/>
      <c r="AU178" s="64"/>
      <c r="AV178" s="64"/>
      <c r="AW178" s="64"/>
      <c r="AX178" s="64"/>
      <c r="AY178" s="64"/>
      <c r="AZ178" s="64"/>
      <c r="BA178" s="64"/>
      <c r="BB178" s="64"/>
      <c r="BC178" s="64"/>
      <c r="BD178" s="64"/>
      <c r="BE178" s="64"/>
      <c r="BF178" s="64"/>
      <c r="BG178" s="64"/>
      <c r="BH178" s="64"/>
      <c r="BI178" s="64"/>
      <c r="BJ178" s="64"/>
      <c r="BK178" s="64"/>
      <c r="BL178" s="64"/>
      <c r="BM178" s="64"/>
      <c r="BN178" s="64"/>
      <c r="BO178" s="64"/>
      <c r="BP178" s="64"/>
      <c r="BQ178" s="64"/>
      <c r="BR178" s="64"/>
      <c r="BS178" s="64"/>
      <c r="BT178" s="64"/>
      <c r="BU178" s="64"/>
      <c r="BV178" s="64"/>
      <c r="BW178" s="64"/>
      <c r="BX178" s="64"/>
      <c r="BY178" s="64"/>
      <c r="BZ178" s="64"/>
      <c r="CA178" s="65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262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0"/>
      <c r="AN179" s="80"/>
      <c r="AO179" s="80"/>
      <c r="AP179" s="80"/>
      <c r="AQ179" s="80"/>
      <c r="AR179" s="81"/>
      <c r="AS179" s="63"/>
      <c r="AT179" s="64"/>
      <c r="AU179" s="64"/>
      <c r="AV179" s="64"/>
      <c r="AW179" s="64"/>
      <c r="AX179" s="64"/>
      <c r="AY179" s="64"/>
      <c r="AZ179" s="64"/>
      <c r="BA179" s="64"/>
      <c r="BB179" s="64"/>
      <c r="BC179" s="64"/>
      <c r="BD179" s="64"/>
      <c r="BE179" s="64"/>
      <c r="BF179" s="64"/>
      <c r="BG179" s="64"/>
      <c r="BH179" s="64"/>
      <c r="BI179" s="64"/>
      <c r="BJ179" s="64"/>
      <c r="BK179" s="64"/>
      <c r="BL179" s="64"/>
      <c r="BM179" s="64"/>
      <c r="BN179" s="64"/>
      <c r="BO179" s="64"/>
      <c r="BP179" s="64"/>
      <c r="BQ179" s="64"/>
      <c r="BR179" s="64"/>
      <c r="BS179" s="64"/>
      <c r="BT179" s="64"/>
      <c r="BU179" s="64"/>
      <c r="BV179" s="64"/>
      <c r="BW179" s="64"/>
      <c r="BX179" s="64"/>
      <c r="BY179" s="64"/>
      <c r="BZ179" s="64"/>
      <c r="CA179" s="65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327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/>
      <c r="AP180" s="80"/>
      <c r="AQ180" s="80"/>
      <c r="AR180" s="8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328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/>
      <c r="AP181" s="80"/>
      <c r="AQ181" s="80"/>
      <c r="AR181" s="8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266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/>
      <c r="AP182" s="80"/>
      <c r="AQ182" s="80"/>
      <c r="AR182" s="8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320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/>
      <c r="AP183" s="80"/>
      <c r="AQ183" s="80"/>
      <c r="AR183" s="81"/>
      <c r="AS183" s="63"/>
      <c r="AT183" s="64"/>
      <c r="AU183" s="64"/>
      <c r="AV183" s="64"/>
      <c r="AW183" s="64"/>
      <c r="AX183" s="64"/>
      <c r="AY183" s="64"/>
      <c r="AZ183" s="64"/>
      <c r="BA183" s="64"/>
      <c r="BB183" s="64"/>
      <c r="BC183" s="64"/>
      <c r="BD183" s="64"/>
      <c r="BE183" s="64"/>
      <c r="BF183" s="64"/>
      <c r="BG183" s="64"/>
      <c r="BH183" s="64"/>
      <c r="BI183" s="64"/>
      <c r="BJ183" s="64"/>
      <c r="BK183" s="64"/>
      <c r="BL183" s="64"/>
      <c r="BM183" s="64"/>
      <c r="BN183" s="64"/>
      <c r="BO183" s="64"/>
      <c r="BP183" s="64"/>
      <c r="BQ183" s="64"/>
      <c r="BR183" s="64"/>
      <c r="BS183" s="64"/>
      <c r="BT183" s="64"/>
      <c r="BU183" s="64"/>
      <c r="BV183" s="64"/>
      <c r="BW183" s="64"/>
      <c r="BX183" s="64"/>
      <c r="BY183" s="64"/>
      <c r="BZ183" s="64"/>
      <c r="CA183" s="65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329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330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323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272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/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75">
        <f>IF(G189&lt;&gt;"",SUBTOTAL(3,$G$5:G189),"")</f>
        <v>56</v>
      </c>
      <c r="C189" s="75"/>
      <c r="D189" s="75"/>
      <c r="E189" s="76" t="s">
        <v>139</v>
      </c>
      <c r="F189" s="76" t="s">
        <v>135</v>
      </c>
      <c r="G189" s="74" t="s">
        <v>180</v>
      </c>
      <c r="H189" s="61">
        <v>43961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82" t="s">
        <v>13</v>
      </c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75">
        <f>IF(G190&lt;&gt;"",SUBTOTAL(3,$G$5:G190),"")</f>
        <v>57</v>
      </c>
      <c r="C190" s="75"/>
      <c r="D190" s="75"/>
      <c r="E190" s="76" t="s">
        <v>139</v>
      </c>
      <c r="F190" s="76" t="s">
        <v>135</v>
      </c>
      <c r="G190" s="74" t="s">
        <v>181</v>
      </c>
      <c r="H190" s="61">
        <v>43995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58</v>
      </c>
      <c r="C191" s="75"/>
      <c r="D191" s="75"/>
      <c r="E191" s="76" t="s">
        <v>139</v>
      </c>
      <c r="F191" s="76" t="s">
        <v>135</v>
      </c>
      <c r="G191" s="74" t="s">
        <v>182</v>
      </c>
      <c r="H191" s="61">
        <v>43961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75">
        <f>IF(G192&lt;&gt;"",SUBTOTAL(3,$G$5:G192),"")</f>
        <v>59</v>
      </c>
      <c r="C192" s="75"/>
      <c r="D192" s="75"/>
      <c r="E192" s="76" t="s">
        <v>139</v>
      </c>
      <c r="F192" s="76" t="s">
        <v>135</v>
      </c>
      <c r="G192" s="74" t="s">
        <v>183</v>
      </c>
      <c r="H192" s="61">
        <v>43961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75">
        <f>IF(G193&lt;&gt;"",SUBTOTAL(3,$G$5:G193),"")</f>
        <v>60</v>
      </c>
      <c r="C193" s="75"/>
      <c r="D193" s="75"/>
      <c r="E193" s="76" t="s">
        <v>139</v>
      </c>
      <c r="F193" s="76" t="s">
        <v>135</v>
      </c>
      <c r="G193" s="74" t="s">
        <v>184</v>
      </c>
      <c r="H193" s="61">
        <v>43995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61</v>
      </c>
      <c r="C194" s="75"/>
      <c r="D194" s="75"/>
      <c r="E194" s="76" t="s">
        <v>139</v>
      </c>
      <c r="F194" s="76" t="s">
        <v>135</v>
      </c>
      <c r="G194" s="74" t="s">
        <v>185</v>
      </c>
      <c r="H194" s="61">
        <v>44006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82" t="s">
        <v>13</v>
      </c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62</v>
      </c>
      <c r="C195" s="75"/>
      <c r="D195" s="75"/>
      <c r="E195" s="76" t="s">
        <v>139</v>
      </c>
      <c r="F195" s="76" t="s">
        <v>135</v>
      </c>
      <c r="G195" s="74" t="s">
        <v>15</v>
      </c>
      <c r="H195" s="61">
        <v>43995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63</v>
      </c>
      <c r="C196" s="75"/>
      <c r="D196" s="75"/>
      <c r="E196" s="76" t="s">
        <v>139</v>
      </c>
      <c r="F196" s="76" t="s">
        <v>135</v>
      </c>
      <c r="G196" s="74" t="s">
        <v>186</v>
      </c>
      <c r="H196" s="61">
        <v>43871</v>
      </c>
      <c r="I196" s="62"/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82" t="s">
        <v>13</v>
      </c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75">
        <f>IF(G197&lt;&gt;"",SUBTOTAL(3,$G$5:G197),"")</f>
        <v>64</v>
      </c>
      <c r="C197" s="75"/>
      <c r="D197" s="75"/>
      <c r="E197" s="76" t="s">
        <v>139</v>
      </c>
      <c r="F197" s="76" t="s">
        <v>135</v>
      </c>
      <c r="G197" s="74" t="s">
        <v>187</v>
      </c>
      <c r="H197" s="61">
        <v>43936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65</v>
      </c>
      <c r="C198" s="75"/>
      <c r="D198" s="75"/>
      <c r="E198" s="76" t="s">
        <v>139</v>
      </c>
      <c r="F198" s="76" t="s">
        <v>135</v>
      </c>
      <c r="G198" s="74" t="s">
        <v>188</v>
      </c>
      <c r="H198" s="61">
        <v>43935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75">
        <f>IF(G199&lt;&gt;"",SUBTOTAL(3,$G$5:G199),"")</f>
        <v>66</v>
      </c>
      <c r="C199" s="75"/>
      <c r="D199" s="75"/>
      <c r="E199" s="76" t="s">
        <v>139</v>
      </c>
      <c r="F199" s="76" t="s">
        <v>135</v>
      </c>
      <c r="G199" s="74" t="s">
        <v>189</v>
      </c>
      <c r="H199" s="61">
        <v>43919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67</v>
      </c>
      <c r="C200" s="75"/>
      <c r="D200" s="75"/>
      <c r="E200" s="76" t="s">
        <v>139</v>
      </c>
      <c r="F200" s="76" t="s">
        <v>135</v>
      </c>
      <c r="G200" s="74" t="s">
        <v>190</v>
      </c>
      <c r="H200" s="61">
        <v>43995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68</v>
      </c>
      <c r="C201" s="75"/>
      <c r="D201" s="75"/>
      <c r="E201" s="76" t="s">
        <v>139</v>
      </c>
      <c r="F201" s="76" t="s">
        <v>135</v>
      </c>
      <c r="G201" s="74" t="s">
        <v>191</v>
      </c>
      <c r="H201" s="61">
        <v>43975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69</v>
      </c>
      <c r="C202" s="75"/>
      <c r="D202" s="75"/>
      <c r="E202" s="76" t="s">
        <v>139</v>
      </c>
      <c r="F202" s="76" t="s">
        <v>135</v>
      </c>
      <c r="G202" s="74" t="s">
        <v>192</v>
      </c>
      <c r="H202" s="61">
        <v>43975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70</v>
      </c>
      <c r="C203" s="75"/>
      <c r="D203" s="75"/>
      <c r="E203" s="76" t="s">
        <v>139</v>
      </c>
      <c r="F203" s="76" t="s">
        <v>135</v>
      </c>
      <c r="G203" s="74" t="s">
        <v>193</v>
      </c>
      <c r="H203" s="61">
        <v>43975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4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71</v>
      </c>
      <c r="C204" s="75"/>
      <c r="D204" s="75"/>
      <c r="E204" s="76" t="s">
        <v>139</v>
      </c>
      <c r="F204" s="76" t="s">
        <v>135</v>
      </c>
      <c r="G204" s="74" t="s">
        <v>194</v>
      </c>
      <c r="H204" s="61">
        <v>43975</v>
      </c>
      <c r="I204" s="62"/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75">
        <f>IF(G205&lt;&gt;"",SUBTOTAL(3,$G$5:G205),"")</f>
        <v>72</v>
      </c>
      <c r="C205" s="75"/>
      <c r="D205" s="75"/>
      <c r="E205" s="76" t="s">
        <v>139</v>
      </c>
      <c r="F205" s="76" t="s">
        <v>135</v>
      </c>
      <c r="G205" s="74" t="s">
        <v>195</v>
      </c>
      <c r="H205" s="61">
        <v>43977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75">
        <f>IF(G206&lt;&gt;"",SUBTOTAL(3,$G$5:G206),"")</f>
        <v>73</v>
      </c>
      <c r="C206" s="75"/>
      <c r="D206" s="75"/>
      <c r="E206" s="76" t="s">
        <v>139</v>
      </c>
      <c r="F206" s="76" t="s">
        <v>135</v>
      </c>
      <c r="G206" s="74" t="s">
        <v>196</v>
      </c>
      <c r="H206" s="61">
        <v>43977</v>
      </c>
      <c r="I206" s="62"/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74</v>
      </c>
      <c r="C207" s="75"/>
      <c r="D207" s="75"/>
      <c r="E207" s="76" t="s">
        <v>139</v>
      </c>
      <c r="F207" s="76" t="s">
        <v>135</v>
      </c>
      <c r="G207" s="74" t="s">
        <v>197</v>
      </c>
      <c r="H207" s="61">
        <v>43977</v>
      </c>
      <c r="I207" s="62"/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75">
        <f>IF(G208&lt;&gt;"",SUBTOTAL(3,$G$5:G208),"")</f>
        <v>75</v>
      </c>
      <c r="C208" s="75"/>
      <c r="D208" s="75"/>
      <c r="E208" s="76" t="s">
        <v>139</v>
      </c>
      <c r="F208" s="76" t="s">
        <v>135</v>
      </c>
      <c r="G208" s="74" t="s">
        <v>198</v>
      </c>
      <c r="H208" s="61">
        <v>43995</v>
      </c>
      <c r="I208" s="62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76</v>
      </c>
      <c r="C209" s="75"/>
      <c r="D209" s="75"/>
      <c r="E209" s="76" t="s">
        <v>139</v>
      </c>
      <c r="F209" s="76" t="s">
        <v>135</v>
      </c>
      <c r="G209" s="74" t="s">
        <v>199</v>
      </c>
      <c r="H209" s="61">
        <v>43982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77</v>
      </c>
      <c r="C210" s="75"/>
      <c r="D210" s="75"/>
      <c r="E210" s="76" t="s">
        <v>139</v>
      </c>
      <c r="F210" s="76" t="s">
        <v>135</v>
      </c>
      <c r="G210" s="74" t="s">
        <v>200</v>
      </c>
      <c r="H210" s="61">
        <v>43989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75">
        <f>IF(G211&lt;&gt;"",SUBTOTAL(3,$G$5:G211),"")</f>
        <v>78</v>
      </c>
      <c r="C211" s="75"/>
      <c r="D211" s="75"/>
      <c r="E211" s="76" t="s">
        <v>139</v>
      </c>
      <c r="F211" s="76" t="s">
        <v>135</v>
      </c>
      <c r="G211" s="74" t="s">
        <v>201</v>
      </c>
      <c r="H211" s="61">
        <v>43989</v>
      </c>
      <c r="I211" s="62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79</v>
      </c>
      <c r="C212" s="75"/>
      <c r="D212" s="75"/>
      <c r="E212" s="76" t="s">
        <v>139</v>
      </c>
      <c r="F212" s="76" t="s">
        <v>135</v>
      </c>
      <c r="G212" s="74" t="s">
        <v>202</v>
      </c>
      <c r="H212" s="61">
        <v>43991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80</v>
      </c>
      <c r="C213" s="75"/>
      <c r="D213" s="75"/>
      <c r="E213" s="76" t="s">
        <v>139</v>
      </c>
      <c r="F213" s="76" t="s">
        <v>135</v>
      </c>
      <c r="G213" s="74" t="s">
        <v>203</v>
      </c>
      <c r="H213" s="61">
        <v>43991</v>
      </c>
      <c r="I213" s="62"/>
      <c r="J213" s="77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75">
        <f>IF(G214&lt;&gt;"",SUBTOTAL(3,$G$5:G214),"")</f>
        <v>81</v>
      </c>
      <c r="C214" s="75"/>
      <c r="D214" s="75"/>
      <c r="E214" s="76" t="s">
        <v>139</v>
      </c>
      <c r="F214" s="76" t="s">
        <v>135</v>
      </c>
      <c r="G214" s="74" t="s">
        <v>204</v>
      </c>
      <c r="H214" s="61">
        <v>43992</v>
      </c>
      <c r="I214" s="62"/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x14ac:dyDescent="0.15">
      <c r="B215" s="75">
        <f>IF(G215&lt;&gt;"",SUBTOTAL(3,$G$5:G215),"")</f>
        <v>82</v>
      </c>
      <c r="C215" s="75"/>
      <c r="D215" s="75"/>
      <c r="E215" s="76" t="s">
        <v>139</v>
      </c>
      <c r="F215" s="76" t="s">
        <v>135</v>
      </c>
      <c r="G215" s="74" t="s">
        <v>205</v>
      </c>
      <c r="H215" s="61">
        <v>43994</v>
      </c>
      <c r="I215" s="62">
        <v>0.8</v>
      </c>
      <c r="J215" s="77" t="s">
        <v>331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x14ac:dyDescent="0.15">
      <c r="B216" s="75" t="str">
        <f>IF(G216&lt;&gt;"",SUBTOTAL(3,$G$5:G216),"")</f>
        <v/>
      </c>
      <c r="C216" s="75"/>
      <c r="D216" s="75"/>
      <c r="E216" s="76"/>
      <c r="F216" s="76"/>
      <c r="G216" s="74"/>
      <c r="H216" s="61"/>
      <c r="I216" s="68">
        <v>0.8</v>
      </c>
      <c r="J216" s="77" t="s">
        <v>332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x14ac:dyDescent="0.15">
      <c r="B217" s="75" t="str">
        <f>IF(G217&lt;&gt;"",SUBTOTAL(3,$G$5:G217),"")</f>
        <v/>
      </c>
      <c r="C217" s="75"/>
      <c r="D217" s="75"/>
      <c r="E217" s="76"/>
      <c r="F217" s="76"/>
      <c r="G217" s="74"/>
      <c r="H217" s="61"/>
      <c r="I217" s="68">
        <v>0.8</v>
      </c>
      <c r="J217" s="77" t="s">
        <v>333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x14ac:dyDescent="0.15">
      <c r="B218" s="75" t="str">
        <f>IF(G218&lt;&gt;"",SUBTOTAL(3,$G$5:G218),"")</f>
        <v/>
      </c>
      <c r="C218" s="75"/>
      <c r="D218" s="75"/>
      <c r="E218" s="76"/>
      <c r="F218" s="76"/>
      <c r="G218" s="74"/>
      <c r="H218" s="61"/>
      <c r="I218" s="68">
        <v>0.8</v>
      </c>
      <c r="J218" s="77" t="s">
        <v>334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x14ac:dyDescent="0.15">
      <c r="B219" s="75" t="str">
        <f>IF(G219&lt;&gt;"",SUBTOTAL(3,$G$5:G219),"")</f>
        <v/>
      </c>
      <c r="C219" s="75"/>
      <c r="D219" s="75"/>
      <c r="E219" s="76"/>
      <c r="F219" s="76"/>
      <c r="G219" s="74"/>
      <c r="H219" s="61"/>
      <c r="I219" s="68">
        <v>0.8</v>
      </c>
      <c r="J219" s="77" t="s">
        <v>335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x14ac:dyDescent="0.15">
      <c r="B220" s="75" t="str">
        <f>IF(G220&lt;&gt;"",SUBTOTAL(3,$G$5:G220),"")</f>
        <v/>
      </c>
      <c r="C220" s="75"/>
      <c r="D220" s="75"/>
      <c r="E220" s="76"/>
      <c r="F220" s="76"/>
      <c r="G220" s="74"/>
      <c r="H220" s="61"/>
      <c r="I220" s="68">
        <v>0.8</v>
      </c>
      <c r="J220" s="77" t="s">
        <v>336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x14ac:dyDescent="0.15">
      <c r="B221" s="75" t="str">
        <f>IF(G221&lt;&gt;"",SUBTOTAL(3,$G$5:G221),"")</f>
        <v/>
      </c>
      <c r="C221" s="75"/>
      <c r="D221" s="75"/>
      <c r="E221" s="76"/>
      <c r="F221" s="76"/>
      <c r="G221" s="74"/>
      <c r="H221" s="61"/>
      <c r="I221" s="68">
        <v>0.8</v>
      </c>
      <c r="J221" s="77" t="s">
        <v>337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x14ac:dyDescent="0.15">
      <c r="B222" s="75" t="str">
        <f>IF(G222&lt;&gt;"",SUBTOTAL(3,$G$5:G222),"")</f>
        <v/>
      </c>
      <c r="C222" s="75"/>
      <c r="D222" s="75"/>
      <c r="E222" s="76"/>
      <c r="F222" s="76"/>
      <c r="G222" s="74"/>
      <c r="H222" s="61"/>
      <c r="I222" s="68">
        <v>0.8</v>
      </c>
      <c r="J22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x14ac:dyDescent="0.15">
      <c r="B223" s="75" t="str">
        <f>IF(G223&lt;&gt;"",SUBTOTAL(3,$G$5:G223),"")</f>
        <v/>
      </c>
      <c r="C223" s="75"/>
      <c r="D223" s="75"/>
      <c r="E223" s="76"/>
      <c r="F223" s="76"/>
      <c r="G223" s="74"/>
      <c r="H223" s="61"/>
      <c r="I223" s="68">
        <v>0.8</v>
      </c>
      <c r="J223" s="37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9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83</v>
      </c>
      <c r="C224" s="75"/>
      <c r="D224" s="75"/>
      <c r="E224" s="76" t="s">
        <v>139</v>
      </c>
      <c r="F224" s="76" t="s">
        <v>135</v>
      </c>
      <c r="G224" s="74" t="s">
        <v>206</v>
      </c>
      <c r="H224" s="61">
        <v>43995</v>
      </c>
      <c r="I224" s="62"/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x14ac:dyDescent="0.15">
      <c r="B225" s="75">
        <f>IF(G225&lt;&gt;"",SUBTOTAL(3,$G$5:G225),"")</f>
        <v>84</v>
      </c>
      <c r="C225" s="75"/>
      <c r="D225" s="75"/>
      <c r="E225" s="76" t="s">
        <v>139</v>
      </c>
      <c r="F225" s="76" t="s">
        <v>135</v>
      </c>
      <c r="G225" s="74" t="s">
        <v>207</v>
      </c>
      <c r="H225" s="61">
        <v>43997</v>
      </c>
      <c r="I225" s="62">
        <v>1</v>
      </c>
      <c r="J225" s="77" t="s">
        <v>404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 t="s">
        <v>339</v>
      </c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x14ac:dyDescent="0.15">
      <c r="B226" s="75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403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 t="s">
        <v>405</v>
      </c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x14ac:dyDescent="0.15">
      <c r="B227" s="75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338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 t="s">
        <v>406</v>
      </c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75">
        <f>IF(G228&lt;&gt;"",SUBTOTAL(3,$G$5:G228),"")</f>
        <v>85</v>
      </c>
      <c r="C228" s="75"/>
      <c r="D228" s="75"/>
      <c r="E228" s="76" t="s">
        <v>139</v>
      </c>
      <c r="F228" s="76" t="s">
        <v>135</v>
      </c>
      <c r="G228" s="74" t="s">
        <v>208</v>
      </c>
      <c r="H228" s="61">
        <v>44004</v>
      </c>
      <c r="I228" s="62"/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x14ac:dyDescent="0.15">
      <c r="B229" s="75">
        <f>IF(G229&lt;&gt;"",SUBTOTAL(3,$G$5:G229),"")</f>
        <v>86</v>
      </c>
      <c r="C229" s="75"/>
      <c r="D229" s="75"/>
      <c r="E229" s="76" t="s">
        <v>139</v>
      </c>
      <c r="F229" s="76" t="s">
        <v>142</v>
      </c>
      <c r="G229" s="76" t="s">
        <v>209</v>
      </c>
      <c r="H229" s="61">
        <v>44030</v>
      </c>
      <c r="I229" s="62">
        <v>1</v>
      </c>
      <c r="J229" s="77" t="s">
        <v>340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 t="s">
        <v>407</v>
      </c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6"/>
      <c r="H230" s="61"/>
      <c r="I230" s="70">
        <v>1</v>
      </c>
      <c r="J230" s="77" t="s">
        <v>341</v>
      </c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x14ac:dyDescent="0.15">
      <c r="B231" s="75" t="str">
        <f>IF(G231&lt;&gt;"",SUBTOTAL(3,$G$5:G231),"")</f>
        <v/>
      </c>
      <c r="C231" s="75"/>
      <c r="D231" s="75"/>
      <c r="E231" s="76"/>
      <c r="F231" s="76"/>
      <c r="G231" s="76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 t="s">
        <v>408</v>
      </c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x14ac:dyDescent="0.15">
      <c r="B232" s="75" t="str">
        <f>IF(G232&lt;&gt;"",SUBTOTAL(3,$G$5:G232),"")</f>
        <v/>
      </c>
      <c r="C232" s="75"/>
      <c r="D232" s="75"/>
      <c r="E232" s="76"/>
      <c r="F232" s="76"/>
      <c r="G232" s="76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 t="s">
        <v>342</v>
      </c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5.75" x14ac:dyDescent="0.15">
      <c r="B233" s="75" t="str">
        <f>IF(G233&lt;&gt;"",SUBTOTAL(3,$G$5:G233),"")</f>
        <v/>
      </c>
      <c r="C233" s="75"/>
      <c r="D233" s="75"/>
      <c r="E233" s="76"/>
      <c r="F233" s="76"/>
      <c r="G233" s="76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 t="s">
        <v>370</v>
      </c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6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 t="s">
        <v>409</v>
      </c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6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 t="s">
        <v>410</v>
      </c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6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x14ac:dyDescent="0.15">
      <c r="B237" s="75">
        <f>IF(G237&lt;&gt;"",SUBTOTAL(3,$G$5:G237),"")</f>
        <v>87</v>
      </c>
      <c r="C237" s="75"/>
      <c r="D237" s="75"/>
      <c r="E237" s="76" t="s">
        <v>139</v>
      </c>
      <c r="F237" s="76" t="s">
        <v>142</v>
      </c>
      <c r="G237" s="76" t="s">
        <v>216</v>
      </c>
      <c r="H237" s="61">
        <v>44052</v>
      </c>
      <c r="I237" s="62">
        <v>0.5</v>
      </c>
      <c r="J237" s="77" t="s">
        <v>343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 t="s">
        <v>412</v>
      </c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x14ac:dyDescent="0.15">
      <c r="B238" s="102" t="str">
        <f>IF(G238&lt;&gt;"",SUBTOTAL(3,$G$5:G238),"")</f>
        <v/>
      </c>
      <c r="C238" s="75"/>
      <c r="D238" s="75"/>
      <c r="E238" s="76"/>
      <c r="F238" s="76"/>
      <c r="G238" s="76"/>
      <c r="H238" s="61"/>
      <c r="I238" s="68">
        <v>0.5</v>
      </c>
      <c r="J238" s="77" t="s">
        <v>371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 t="s">
        <v>411</v>
      </c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x14ac:dyDescent="0.15">
      <c r="B239" s="102" t="str">
        <f>IF(G239&lt;&gt;"",SUBTOTAL(3,$G$5:G239),"")</f>
        <v/>
      </c>
      <c r="C239" s="75"/>
      <c r="D239" s="75"/>
      <c r="E239" s="76"/>
      <c r="F239" s="76"/>
      <c r="G239" s="76"/>
      <c r="H239" s="61"/>
      <c r="I239" s="68">
        <v>0.5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 t="s">
        <v>413</v>
      </c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x14ac:dyDescent="0.15">
      <c r="B240" s="102" t="str">
        <f>IF(G240&lt;&gt;"",SUBTOTAL(3,$G$5:G240),"")</f>
        <v/>
      </c>
      <c r="C240" s="75"/>
      <c r="D240" s="75"/>
      <c r="E240" s="76"/>
      <c r="F240" s="76"/>
      <c r="G240" s="76"/>
      <c r="H240" s="61"/>
      <c r="I240" s="68">
        <v>0.5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 t="s">
        <v>414</v>
      </c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x14ac:dyDescent="0.15">
      <c r="B241" s="102" t="str">
        <f>IF(G241&lt;&gt;"",SUBTOTAL(3,$G$5:G241),"")</f>
        <v/>
      </c>
      <c r="C241" s="75"/>
      <c r="D241" s="75"/>
      <c r="E241" s="76"/>
      <c r="F241" s="76"/>
      <c r="G241" s="76"/>
      <c r="H241" s="61"/>
      <c r="I241" s="68">
        <v>0.5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 t="s">
        <v>416</v>
      </c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x14ac:dyDescent="0.15">
      <c r="B242" s="75" t="str">
        <f>IF(G242&lt;&gt;"",SUBTOTAL(3,$G$5:G242),"")</f>
        <v/>
      </c>
      <c r="C242" s="75"/>
      <c r="D242" s="75"/>
      <c r="E242" s="76"/>
      <c r="F242" s="76"/>
      <c r="G242" s="76"/>
      <c r="H242" s="61"/>
      <c r="I242" s="68">
        <v>0.5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 t="s">
        <v>415</v>
      </c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 t="str">
        <f>IF(G243&lt;&gt;"",SUBTOTAL(3,$G$5:G243),"")</f>
        <v/>
      </c>
      <c r="C243" s="75"/>
      <c r="D243" s="75"/>
      <c r="E243" s="76"/>
      <c r="F243" s="76"/>
      <c r="G243" s="76"/>
      <c r="H243" s="61"/>
      <c r="I243" s="68">
        <v>0.5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 t="s">
        <v>417</v>
      </c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6"/>
      <c r="H244" s="61"/>
      <c r="I244" s="68">
        <v>0.5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68">
        <v>0.5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IF(G246&lt;&gt;"",SUBTOTAL(3,$G$5:G246),"")</f>
        <v>88</v>
      </c>
      <c r="C246" s="75"/>
      <c r="D246" s="75"/>
      <c r="E246" s="76" t="s">
        <v>139</v>
      </c>
      <c r="F246" s="76" t="s">
        <v>142</v>
      </c>
      <c r="G246" s="76" t="s">
        <v>223</v>
      </c>
      <c r="H246" s="61">
        <v>44062</v>
      </c>
      <c r="I246" s="62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IF(G247&lt;&gt;"",SUBTOTAL(3,$G$5:G247),"")</f>
        <v>89</v>
      </c>
      <c r="C247" s="75"/>
      <c r="D247" s="75"/>
      <c r="E247" s="76" t="s">
        <v>139</v>
      </c>
      <c r="F247" s="76" t="s">
        <v>142</v>
      </c>
      <c r="G247" s="76" t="s">
        <v>224</v>
      </c>
      <c r="H247" s="61">
        <v>44071</v>
      </c>
      <c r="I247" s="62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>
        <f>IF(G248&lt;&gt;"",SUBTOTAL(3,$G$5:G248),"")</f>
        <v>90</v>
      </c>
      <c r="C248" s="75"/>
      <c r="D248" s="75"/>
      <c r="E248" s="76" t="s">
        <v>139</v>
      </c>
      <c r="F248" s="76" t="s">
        <v>142</v>
      </c>
      <c r="G248" s="76" t="s">
        <v>228</v>
      </c>
      <c r="H248" s="61">
        <v>44073</v>
      </c>
      <c r="I248" s="62">
        <v>1</v>
      </c>
      <c r="J248" s="98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98" t="s">
        <v>354</v>
      </c>
      <c r="AT248" s="43" t="s">
        <v>355</v>
      </c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99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99" t="s">
        <v>344</v>
      </c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99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99" t="s">
        <v>345</v>
      </c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99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99" t="s">
        <v>346</v>
      </c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99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99" t="s">
        <v>347</v>
      </c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99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99" t="s">
        <v>359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99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99" t="s">
        <v>348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99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99" t="s">
        <v>349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98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98" t="s">
        <v>354</v>
      </c>
      <c r="AT256" s="43" t="s">
        <v>356</v>
      </c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360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77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361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9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99" t="s">
        <v>344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99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99" t="s">
        <v>345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99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99" t="s">
        <v>346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99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99" t="s">
        <v>347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9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99" t="s">
        <v>362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99" t="s">
        <v>350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99" t="s">
        <v>348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99" t="s">
        <v>349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8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98" t="s">
        <v>357</v>
      </c>
      <c r="AT267" s="43" t="s">
        <v>358</v>
      </c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363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99" t="s">
        <v>344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99" t="s">
        <v>345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99" t="s">
        <v>346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99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99" t="s">
        <v>347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70">
        <v>1</v>
      </c>
      <c r="J273" s="99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99" t="s">
        <v>351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70">
        <v>1</v>
      </c>
      <c r="J274" s="99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99" t="s">
        <v>348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70">
        <v>1</v>
      </c>
      <c r="J275" s="99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99" t="s">
        <v>349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70">
        <v>1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4.25" customHeight="1" x14ac:dyDescent="0.15">
      <c r="B277" s="75">
        <f>IF(G277&lt;&gt;"",SUBTOTAL(3,$G$5:G277),"")</f>
        <v>91</v>
      </c>
      <c r="C277" s="75"/>
      <c r="D277" s="75"/>
      <c r="E277" s="76" t="s">
        <v>139</v>
      </c>
      <c r="F277" s="76" t="s">
        <v>142</v>
      </c>
      <c r="G277" s="76" t="s">
        <v>239</v>
      </c>
      <c r="H277" s="61">
        <v>44108</v>
      </c>
      <c r="I277" s="62">
        <v>0.5</v>
      </c>
      <c r="J277" s="77" t="s">
        <v>1</v>
      </c>
      <c r="K277" s="43" t="s">
        <v>353</v>
      </c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4.25" customHeigh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83"/>
      <c r="K278" s="84"/>
      <c r="L278" s="84"/>
      <c r="M278" s="84"/>
      <c r="N278" s="84"/>
      <c r="O278" s="84"/>
      <c r="P278" s="84"/>
      <c r="Q278" s="84"/>
      <c r="R278" s="85" t="s">
        <v>352</v>
      </c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4"/>
      <c r="AN278" s="84"/>
      <c r="AO278" s="84"/>
      <c r="AP278" s="84"/>
      <c r="AQ278" s="84"/>
      <c r="AR278" s="86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4.25" customHeigh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87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4"/>
      <c r="AN279" s="84"/>
      <c r="AO279" s="84"/>
      <c r="AP279" s="84"/>
      <c r="AQ279" s="84"/>
      <c r="AR279" s="86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4.25" customHeigh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83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4"/>
      <c r="AN280" s="84"/>
      <c r="AO280" s="84"/>
      <c r="AP280" s="84"/>
      <c r="AQ280" s="84"/>
      <c r="AR280" s="86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4.25" customHeigh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68">
        <v>0.5</v>
      </c>
      <c r="J281" s="83" t="s">
        <v>240</v>
      </c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4"/>
      <c r="AN281" s="84"/>
      <c r="AO281" s="84"/>
      <c r="AP281" s="84"/>
      <c r="AQ281" s="84"/>
      <c r="AR281" s="86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4.25" customHeigh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68">
        <v>0.5</v>
      </c>
      <c r="J282" s="83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  <c r="AA282" s="84"/>
      <c r="AB282" s="84"/>
      <c r="AC282" s="84"/>
      <c r="AD282" s="84"/>
      <c r="AE282" s="84"/>
      <c r="AF282" s="84"/>
      <c r="AG282" s="84"/>
      <c r="AH282" s="84"/>
      <c r="AI282" s="84"/>
      <c r="AJ282" s="84"/>
      <c r="AK282" s="84"/>
      <c r="AL282" s="84"/>
      <c r="AM282" s="84"/>
      <c r="AN282" s="84"/>
      <c r="AO282" s="84"/>
      <c r="AP282" s="84"/>
      <c r="AQ282" s="84"/>
      <c r="AR282" s="86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4.25" customHeigh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68">
        <v>0.5</v>
      </c>
      <c r="J283" s="83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  <c r="AA283" s="84"/>
      <c r="AB283" s="84"/>
      <c r="AC283" s="84"/>
      <c r="AD283" s="84"/>
      <c r="AE283" s="84"/>
      <c r="AF283" s="84"/>
      <c r="AG283" s="84"/>
      <c r="AH283" s="84"/>
      <c r="AI283" s="84"/>
      <c r="AJ283" s="84"/>
      <c r="AK283" s="84"/>
      <c r="AL283" s="84"/>
      <c r="AM283" s="84"/>
      <c r="AN283" s="84"/>
      <c r="AO283" s="84"/>
      <c r="AP283" s="84"/>
      <c r="AQ283" s="84"/>
      <c r="AR283" s="86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4.25" customHeigh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68">
        <v>0.5</v>
      </c>
      <c r="J284" s="83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  <c r="AA284" s="84"/>
      <c r="AB284" s="84"/>
      <c r="AC284" s="84"/>
      <c r="AD284" s="84"/>
      <c r="AE284" s="84"/>
      <c r="AF284" s="84"/>
      <c r="AG284" s="84"/>
      <c r="AH284" s="84"/>
      <c r="AI284" s="84"/>
      <c r="AJ284" s="84"/>
      <c r="AK284" s="84"/>
      <c r="AL284" s="84"/>
      <c r="AM284" s="84"/>
      <c r="AN284" s="84"/>
      <c r="AO284" s="84"/>
      <c r="AP284" s="84"/>
      <c r="AQ284" s="84"/>
      <c r="AR284" s="86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4.25" customHeigh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68">
        <v>0.5</v>
      </c>
      <c r="J285" s="83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  <c r="AA285" s="84"/>
      <c r="AB285" s="84"/>
      <c r="AC285" s="84"/>
      <c r="AD285" s="84"/>
      <c r="AE285" s="84"/>
      <c r="AF285" s="84"/>
      <c r="AG285" s="84"/>
      <c r="AH285" s="84"/>
      <c r="AI285" s="84"/>
      <c r="AJ285" s="84"/>
      <c r="AK285" s="84"/>
      <c r="AL285" s="84"/>
      <c r="AM285" s="84"/>
      <c r="AN285" s="84"/>
      <c r="AO285" s="84"/>
      <c r="AP285" s="84"/>
      <c r="AQ285" s="84"/>
      <c r="AR285" s="86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62"/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ht="13.5" customHeight="1" x14ac:dyDescent="0.15">
      <c r="B287" s="58" t="str">
        <f>IF(G287&lt;&gt;"",SUBTOTAL(3,$G$5:G287),"")</f>
        <v/>
      </c>
      <c r="C287" s="58"/>
      <c r="D287" s="58"/>
      <c r="E287" s="59"/>
      <c r="F287" s="59"/>
      <c r="G287" s="59"/>
      <c r="H287" s="61"/>
      <c r="I287" s="62"/>
      <c r="J287" s="40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2"/>
      <c r="AS287" s="63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4"/>
      <c r="BR287" s="64"/>
      <c r="BS287" s="64"/>
      <c r="BT287" s="64"/>
      <c r="BU287" s="64"/>
      <c r="BV287" s="64"/>
      <c r="BW287" s="64"/>
      <c r="BX287" s="64"/>
      <c r="BY287" s="64"/>
      <c r="BZ287" s="64"/>
      <c r="CA287" s="65"/>
      <c r="CB287" s="60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4"/>
      <c r="CV287" s="64"/>
      <c r="CW287" s="64"/>
      <c r="CX287" s="64"/>
      <c r="CY287" s="64"/>
      <c r="CZ287" s="64"/>
      <c r="DA287" s="64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</row>
    <row r="288" spans="2:130" ht="13.5" customHeight="1" x14ac:dyDescent="0.15">
      <c r="B288" s="58" t="str">
        <f>IF(G288&lt;&gt;"",SUBTOTAL(3,$G$5:G288),"")</f>
        <v/>
      </c>
      <c r="C288" s="58"/>
      <c r="D288" s="58"/>
      <c r="E288" s="59"/>
      <c r="F288" s="59"/>
      <c r="G288" s="59"/>
      <c r="H288" s="61"/>
      <c r="I288" s="62"/>
      <c r="J288" s="63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4"/>
      <c r="AN288" s="64"/>
      <c r="AO288" s="64"/>
      <c r="AP288" s="64"/>
      <c r="AQ288" s="64"/>
      <c r="AR288" s="65"/>
      <c r="AS288" s="63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4"/>
      <c r="BR288" s="64"/>
      <c r="BS288" s="64"/>
      <c r="BT288" s="64"/>
      <c r="BU288" s="64"/>
      <c r="BV288" s="64"/>
      <c r="BW288" s="64"/>
      <c r="BX288" s="64"/>
      <c r="BY288" s="64"/>
      <c r="BZ288" s="64"/>
      <c r="CA288" s="65"/>
      <c r="CB288" s="60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4"/>
      <c r="CV288" s="64"/>
      <c r="CW288" s="64"/>
      <c r="CX288" s="64"/>
      <c r="CY288" s="64"/>
      <c r="CZ288" s="64"/>
      <c r="DA288" s="64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</row>
    <row r="289" spans="2:130" x14ac:dyDescent="0.15">
      <c r="B289" s="58" t="str">
        <f>IF(G289&lt;&gt;"",SUBTOTAL(3,$G$5:G289),"")</f>
        <v/>
      </c>
      <c r="C289" s="58"/>
      <c r="D289" s="58"/>
      <c r="E289" s="59"/>
      <c r="F289" s="59"/>
      <c r="G289" s="59"/>
      <c r="H289" s="61"/>
      <c r="I289" s="62"/>
      <c r="J289" s="63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4"/>
      <c r="AN289" s="64"/>
      <c r="AO289" s="64"/>
      <c r="AP289" s="64"/>
      <c r="AQ289" s="64"/>
      <c r="AR289" s="65"/>
      <c r="AS289" s="63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4"/>
      <c r="BR289" s="64"/>
      <c r="BS289" s="64"/>
      <c r="BT289" s="64"/>
      <c r="BU289" s="64"/>
      <c r="BV289" s="64"/>
      <c r="BW289" s="64"/>
      <c r="BX289" s="64"/>
      <c r="BY289" s="64"/>
      <c r="BZ289" s="64"/>
      <c r="CA289" s="65"/>
      <c r="CB289" s="60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4"/>
      <c r="CV289" s="64"/>
      <c r="CW289" s="64"/>
      <c r="CX289" s="64"/>
      <c r="CY289" s="64"/>
      <c r="CZ289" s="64"/>
      <c r="DA289" s="64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</row>
    <row r="290" spans="2:130" x14ac:dyDescent="0.15">
      <c r="B290" s="58" t="str">
        <f>IF(G290&lt;&gt;"",SUBTOTAL(3,$G$5:G290),"")</f>
        <v/>
      </c>
      <c r="C290" s="58"/>
      <c r="D290" s="58"/>
      <c r="E290" s="59"/>
      <c r="F290" s="59"/>
      <c r="G290" s="59"/>
      <c r="H290" s="61"/>
      <c r="I290" s="62"/>
      <c r="J290" s="63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4"/>
      <c r="AN290" s="64"/>
      <c r="AO290" s="64"/>
      <c r="AP290" s="64"/>
      <c r="AQ290" s="64"/>
      <c r="AR290" s="65"/>
      <c r="AS290" s="63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4"/>
      <c r="BR290" s="64"/>
      <c r="BS290" s="64"/>
      <c r="BT290" s="64"/>
      <c r="BU290" s="64"/>
      <c r="BV290" s="64"/>
      <c r="BW290" s="64"/>
      <c r="BX290" s="64"/>
      <c r="BY290" s="64"/>
      <c r="BZ290" s="64"/>
      <c r="CA290" s="65"/>
      <c r="CB290" s="60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4"/>
      <c r="CV290" s="64"/>
      <c r="CW290" s="64"/>
      <c r="CX290" s="64"/>
      <c r="CY290" s="64"/>
      <c r="CZ290" s="64"/>
      <c r="DA290" s="64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</row>
    <row r="291" spans="2:130" x14ac:dyDescent="0.15">
      <c r="B291" s="58" t="str">
        <f>IF(G291&lt;&gt;"",SUBTOTAL(3,$G$5:G291),"")</f>
        <v/>
      </c>
      <c r="C291" s="58"/>
      <c r="D291" s="58"/>
      <c r="E291" s="59"/>
      <c r="F291" s="59"/>
      <c r="G291" s="59"/>
      <c r="H291" s="61"/>
      <c r="I291" s="62"/>
      <c r="J291" s="63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4"/>
      <c r="AN291" s="64"/>
      <c r="AO291" s="64"/>
      <c r="AP291" s="64"/>
      <c r="AQ291" s="64"/>
      <c r="AR291" s="65"/>
      <c r="AS291" s="63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4"/>
      <c r="BR291" s="64"/>
      <c r="BS291" s="64"/>
      <c r="BT291" s="64"/>
      <c r="BU291" s="64"/>
      <c r="BV291" s="64"/>
      <c r="BW291" s="64"/>
      <c r="BX291" s="64"/>
      <c r="BY291" s="64"/>
      <c r="BZ291" s="64"/>
      <c r="CA291" s="65"/>
      <c r="CB291" s="60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4"/>
      <c r="CV291" s="64"/>
      <c r="CW291" s="64"/>
      <c r="CX291" s="64"/>
      <c r="CY291" s="64"/>
      <c r="CZ291" s="64"/>
      <c r="DA291" s="64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</row>
    <row r="292" spans="2:130" x14ac:dyDescent="0.15">
      <c r="B292" s="58" t="str">
        <f>IF(G292&lt;&gt;"",SUBTOTAL(3,$G$5:G292),"")</f>
        <v/>
      </c>
      <c r="C292" s="58"/>
      <c r="D292" s="58"/>
      <c r="E292" s="59"/>
      <c r="F292" s="59"/>
      <c r="G292" s="59"/>
      <c r="H292" s="61"/>
      <c r="I292" s="62"/>
      <c r="J292" s="63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4"/>
      <c r="AN292" s="64"/>
      <c r="AO292" s="64"/>
      <c r="AP292" s="64"/>
      <c r="AQ292" s="64"/>
      <c r="AR292" s="65"/>
      <c r="AS292" s="63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4"/>
      <c r="BR292" s="64"/>
      <c r="BS292" s="64"/>
      <c r="BT292" s="64"/>
      <c r="BU292" s="64"/>
      <c r="BV292" s="64"/>
      <c r="BW292" s="64"/>
      <c r="BX292" s="64"/>
      <c r="BY292" s="64"/>
      <c r="BZ292" s="64"/>
      <c r="CA292" s="65"/>
      <c r="CB292" s="60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4"/>
      <c r="CV292" s="64"/>
      <c r="CW292" s="64"/>
      <c r="CX292" s="64"/>
      <c r="CY292" s="64"/>
      <c r="CZ292" s="64"/>
      <c r="DA292" s="64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</row>
    <row r="293" spans="2:130" ht="15.75" x14ac:dyDescent="0.15">
      <c r="B293" s="58" t="str">
        <f>IF(G293&lt;&gt;"",SUBTOTAL(3,$G$5:G293),"")</f>
        <v/>
      </c>
      <c r="C293" s="58"/>
      <c r="D293" s="58"/>
      <c r="E293" s="59"/>
      <c r="F293" s="59"/>
      <c r="G293" s="59"/>
      <c r="H293" s="61"/>
      <c r="I293" s="62"/>
      <c r="J293" s="40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2"/>
      <c r="AS293" s="63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4"/>
      <c r="BR293" s="64"/>
      <c r="BS293" s="64"/>
      <c r="BT293" s="64"/>
      <c r="BU293" s="64"/>
      <c r="BV293" s="64"/>
      <c r="BW293" s="64"/>
      <c r="BX293" s="64"/>
      <c r="BY293" s="64"/>
      <c r="BZ293" s="64"/>
      <c r="CA293" s="65"/>
      <c r="CB293" s="60"/>
      <c r="CH293" s="64"/>
      <c r="CI293" s="69"/>
      <c r="CJ293" s="69"/>
      <c r="CK293" s="69"/>
      <c r="CL293" s="69"/>
      <c r="CM293" s="69"/>
      <c r="CN293" s="69"/>
      <c r="CO293" s="69"/>
      <c r="CP293" s="69"/>
      <c r="CQ293" s="69"/>
      <c r="CR293" s="69"/>
      <c r="CS293" s="64"/>
      <c r="CT293" s="64"/>
      <c r="CU293" s="64"/>
      <c r="CV293" s="64"/>
      <c r="CW293" s="64"/>
      <c r="CX293" s="64"/>
      <c r="CY293" s="64"/>
      <c r="CZ293" s="64"/>
      <c r="DA293" s="64"/>
      <c r="DB293" s="64"/>
      <c r="DC293" s="64"/>
      <c r="DD293" s="64"/>
      <c r="DE293" s="64"/>
      <c r="DF293" s="64"/>
      <c r="DG293" s="69"/>
      <c r="DH293" s="69"/>
      <c r="DI293" s="69"/>
      <c r="DJ293" s="69"/>
      <c r="DK293" s="69"/>
      <c r="DL293" s="69"/>
      <c r="DM293" s="69"/>
      <c r="DN293" s="69"/>
      <c r="DO293" s="69"/>
      <c r="DP293" s="69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</row>
    <row r="294" spans="2:130" x14ac:dyDescent="0.15">
      <c r="B294" s="58" t="str">
        <f>IF(G294&lt;&gt;"",SUBTOTAL(3,$G$5:G294),"")</f>
        <v/>
      </c>
      <c r="C294" s="58"/>
      <c r="D294" s="58"/>
      <c r="E294" s="59"/>
      <c r="F294" s="59"/>
      <c r="G294" s="59"/>
      <c r="H294" s="61"/>
      <c r="I294" s="62"/>
      <c r="J294" s="63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4"/>
      <c r="AN294" s="64"/>
      <c r="AO294" s="64"/>
      <c r="AP294" s="64"/>
      <c r="AQ294" s="64"/>
      <c r="AR294" s="65"/>
      <c r="AS294" s="63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4"/>
      <c r="BR294" s="64"/>
      <c r="BS294" s="64"/>
      <c r="BT294" s="64"/>
      <c r="BU294" s="64"/>
      <c r="BV294" s="64"/>
      <c r="BW294" s="64"/>
      <c r="BX294" s="64"/>
      <c r="BY294" s="64"/>
      <c r="BZ294" s="64"/>
      <c r="CA294" s="65"/>
      <c r="CB294" s="60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4"/>
      <c r="CV294" s="64"/>
      <c r="CW294" s="64"/>
      <c r="CX294" s="64"/>
      <c r="CY294" s="64"/>
      <c r="CZ294" s="64"/>
      <c r="DA294" s="64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</row>
    <row r="295" spans="2:130" x14ac:dyDescent="0.15">
      <c r="B295" s="58" t="str">
        <f>IF(G295&lt;&gt;"",SUBTOTAL(3,$G$5:G295),"")</f>
        <v/>
      </c>
      <c r="C295" s="58"/>
      <c r="D295" s="58"/>
      <c r="E295" s="59"/>
      <c r="F295" s="59"/>
      <c r="G295" s="59"/>
      <c r="H295" s="61"/>
      <c r="I295" s="62"/>
      <c r="J295" s="63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4"/>
      <c r="AN295" s="64"/>
      <c r="AO295" s="64"/>
      <c r="AP295" s="64"/>
      <c r="AQ295" s="64"/>
      <c r="AR295" s="65"/>
      <c r="AS295" s="63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4"/>
      <c r="BR295" s="64"/>
      <c r="BS295" s="64"/>
      <c r="BT295" s="64"/>
      <c r="BU295" s="64"/>
      <c r="BV295" s="64"/>
      <c r="BW295" s="64"/>
      <c r="BX295" s="64"/>
      <c r="BY295" s="64"/>
      <c r="BZ295" s="64"/>
      <c r="CA295" s="65"/>
      <c r="CB295" s="60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4"/>
      <c r="CV295" s="64"/>
      <c r="CW295" s="64"/>
      <c r="CX295" s="64"/>
      <c r="CY295" s="64"/>
      <c r="CZ295" s="64"/>
      <c r="DA295" s="64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</row>
    <row r="296" spans="2:130" x14ac:dyDescent="0.15">
      <c r="B296" s="58" t="str">
        <f>IF(G296&lt;&gt;"",SUBTOTAL(3,$G$5:G296),"")</f>
        <v/>
      </c>
      <c r="C296" s="58"/>
      <c r="D296" s="58"/>
      <c r="E296" s="59"/>
      <c r="F296" s="59"/>
      <c r="G296" s="59"/>
      <c r="H296" s="61"/>
      <c r="I296" s="62"/>
      <c r="J296" s="63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4"/>
      <c r="AN296" s="64"/>
      <c r="AO296" s="64"/>
      <c r="AP296" s="64"/>
      <c r="AQ296" s="64"/>
      <c r="AR296" s="65"/>
      <c r="AS296" s="63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4"/>
      <c r="BR296" s="64"/>
      <c r="BS296" s="64"/>
      <c r="BT296" s="64"/>
      <c r="BU296" s="64"/>
      <c r="BV296" s="64"/>
      <c r="BW296" s="64"/>
      <c r="BX296" s="64"/>
      <c r="BY296" s="64"/>
      <c r="BZ296" s="64"/>
      <c r="CA296" s="65"/>
      <c r="CB296" s="60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4"/>
      <c r="CV296" s="64"/>
      <c r="CW296" s="64"/>
      <c r="CX296" s="64"/>
      <c r="CY296" s="64"/>
      <c r="CZ296" s="64"/>
      <c r="DA296" s="64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</row>
    <row r="297" spans="2:130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63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4"/>
      <c r="AN297" s="64"/>
      <c r="AO297" s="64"/>
      <c r="AP297" s="64"/>
      <c r="AQ297" s="64"/>
      <c r="AR297" s="65"/>
      <c r="AS297" s="63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4"/>
      <c r="BR297" s="64"/>
      <c r="BS297" s="64"/>
      <c r="BT297" s="64"/>
      <c r="BU297" s="64"/>
      <c r="BV297" s="64"/>
      <c r="BW297" s="64"/>
      <c r="BX297" s="64"/>
      <c r="BY297" s="64"/>
      <c r="BZ297" s="64"/>
      <c r="CA297" s="65"/>
      <c r="CB297" s="60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4"/>
      <c r="CV297" s="64"/>
      <c r="CW297" s="64"/>
      <c r="CX297" s="64"/>
      <c r="CY297" s="64"/>
      <c r="CZ297" s="64"/>
      <c r="DA297" s="64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</row>
    <row r="298" spans="2:130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4"/>
      <c r="AN298" s="64"/>
      <c r="AO298" s="64"/>
      <c r="AP298" s="64"/>
      <c r="AQ298" s="64"/>
      <c r="AR298" s="65"/>
      <c r="AS298" s="63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4"/>
      <c r="BR298" s="64"/>
      <c r="BS298" s="64"/>
      <c r="BT298" s="64"/>
      <c r="BU298" s="64"/>
      <c r="BV298" s="64"/>
      <c r="BW298" s="64"/>
      <c r="BX298" s="64"/>
      <c r="BY298" s="64"/>
      <c r="BZ298" s="64"/>
      <c r="CA298" s="65"/>
      <c r="CB298" s="60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4"/>
      <c r="CV298" s="64"/>
      <c r="CW298" s="64"/>
      <c r="CX298" s="64"/>
      <c r="CY298" s="64"/>
      <c r="CZ298" s="64"/>
      <c r="DA298" s="64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</row>
    <row r="299" spans="2:13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4"/>
      <c r="AN299" s="64"/>
      <c r="AO299" s="64"/>
      <c r="AP299" s="64"/>
      <c r="AQ299" s="64"/>
      <c r="AR299" s="65"/>
      <c r="AS299" s="63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4"/>
      <c r="BR299" s="64"/>
      <c r="BS299" s="64"/>
      <c r="BT299" s="64"/>
      <c r="BU299" s="64"/>
      <c r="BV299" s="64"/>
      <c r="BW299" s="64"/>
      <c r="BX299" s="64"/>
      <c r="BY299" s="64"/>
      <c r="BZ299" s="64"/>
      <c r="CA299" s="65"/>
      <c r="CB299" s="60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4"/>
      <c r="CV299" s="64"/>
      <c r="CW299" s="64"/>
      <c r="CX299" s="64"/>
      <c r="CY299" s="64"/>
      <c r="CZ299" s="64"/>
      <c r="DA299" s="64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</row>
    <row r="300" spans="2:13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4"/>
      <c r="AN300" s="64"/>
      <c r="AO300" s="64"/>
      <c r="AP300" s="64"/>
      <c r="AQ300" s="64"/>
      <c r="AR300" s="65"/>
      <c r="AS300" s="63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4"/>
      <c r="BR300" s="64"/>
      <c r="BS300" s="64"/>
      <c r="BT300" s="64"/>
      <c r="BU300" s="64"/>
      <c r="BV300" s="64"/>
      <c r="BW300" s="64"/>
      <c r="BX300" s="64"/>
      <c r="BY300" s="64"/>
      <c r="BZ300" s="64"/>
      <c r="CA300" s="65"/>
      <c r="CB300" s="60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4"/>
      <c r="CV300" s="64"/>
      <c r="CW300" s="64"/>
      <c r="CX300" s="64"/>
      <c r="CY300" s="64"/>
      <c r="CZ300" s="64"/>
      <c r="DA300" s="64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</row>
    <row r="301" spans="2:130" ht="15.75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40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2"/>
      <c r="AS301" s="63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4"/>
      <c r="BR301" s="64"/>
      <c r="BS301" s="64"/>
      <c r="BT301" s="64"/>
      <c r="BU301" s="64"/>
      <c r="BV301" s="64"/>
      <c r="BW301" s="64"/>
      <c r="BX301" s="64"/>
      <c r="BY301" s="64"/>
      <c r="BZ301" s="64"/>
      <c r="CA301" s="65"/>
      <c r="CB301" s="60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4"/>
      <c r="CV301" s="64"/>
      <c r="CW301" s="64"/>
      <c r="CX301" s="64"/>
      <c r="CY301" s="64"/>
      <c r="CZ301" s="64"/>
      <c r="DA301" s="64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</row>
    <row r="302" spans="2:13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4"/>
      <c r="AN302" s="64"/>
      <c r="AO302" s="64"/>
      <c r="AP302" s="64"/>
      <c r="AQ302" s="64"/>
      <c r="AR302" s="65"/>
      <c r="AS302" s="63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4"/>
      <c r="BR302" s="64"/>
      <c r="BS302" s="64"/>
      <c r="BT302" s="64"/>
      <c r="BU302" s="64"/>
      <c r="BV302" s="64"/>
      <c r="BW302" s="64"/>
      <c r="BX302" s="64"/>
      <c r="BY302" s="64"/>
      <c r="BZ302" s="64"/>
      <c r="CA302" s="65"/>
      <c r="CB302" s="60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4"/>
      <c r="CV302" s="64"/>
      <c r="CW302" s="64"/>
      <c r="CX302" s="64"/>
      <c r="CY302" s="64"/>
      <c r="CZ302" s="64"/>
      <c r="DA302" s="64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</row>
    <row r="303" spans="2:13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4"/>
      <c r="AN303" s="64"/>
      <c r="AO303" s="64"/>
      <c r="AP303" s="64"/>
      <c r="AQ303" s="64"/>
      <c r="AR303" s="65"/>
      <c r="AS303" s="63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4"/>
      <c r="BR303" s="64"/>
      <c r="BS303" s="64"/>
      <c r="BT303" s="64"/>
      <c r="BU303" s="64"/>
      <c r="BV303" s="64"/>
      <c r="BW303" s="64"/>
      <c r="BX303" s="64"/>
      <c r="BY303" s="64"/>
      <c r="BZ303" s="64"/>
      <c r="CA303" s="65"/>
      <c r="CB303" s="60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4"/>
      <c r="CV303" s="64"/>
      <c r="CW303" s="64"/>
      <c r="CX303" s="64"/>
      <c r="CY303" s="64"/>
      <c r="CZ303" s="64"/>
      <c r="DA303" s="64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</row>
    <row r="304" spans="2:13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4"/>
      <c r="AN304" s="64"/>
      <c r="AO304" s="64"/>
      <c r="AP304" s="64"/>
      <c r="AQ304" s="64"/>
      <c r="AR304" s="65"/>
      <c r="AS304" s="63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4"/>
      <c r="BR304" s="64"/>
      <c r="BS304" s="64"/>
      <c r="BT304" s="64"/>
      <c r="BU304" s="64"/>
      <c r="BV304" s="64"/>
      <c r="BW304" s="64"/>
      <c r="BX304" s="64"/>
      <c r="BY304" s="64"/>
      <c r="BZ304" s="64"/>
      <c r="CA304" s="65"/>
      <c r="CB304" s="60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4"/>
      <c r="CV304" s="64"/>
      <c r="CW304" s="64"/>
      <c r="CX304" s="64"/>
      <c r="CY304" s="64"/>
      <c r="CZ304" s="64"/>
      <c r="DA304" s="64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</row>
    <row r="305" spans="2:13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4"/>
      <c r="AN305" s="64"/>
      <c r="AO305" s="64"/>
      <c r="AP305" s="64"/>
      <c r="AQ305" s="64"/>
      <c r="AR305" s="65"/>
      <c r="AS305" s="63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4"/>
      <c r="BR305" s="64"/>
      <c r="BS305" s="64"/>
      <c r="BT305" s="64"/>
      <c r="BU305" s="64"/>
      <c r="BV305" s="64"/>
      <c r="BW305" s="64"/>
      <c r="BX305" s="64"/>
      <c r="BY305" s="64"/>
      <c r="BZ305" s="64"/>
      <c r="CA305" s="65"/>
      <c r="CB305" s="60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4"/>
      <c r="CV305" s="64"/>
      <c r="CW305" s="64"/>
      <c r="CX305" s="64"/>
      <c r="CY305" s="64"/>
      <c r="CZ305" s="64"/>
      <c r="DA305" s="64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</row>
    <row r="306" spans="2:13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4"/>
      <c r="AN306" s="64"/>
      <c r="AO306" s="64"/>
      <c r="AP306" s="64"/>
      <c r="AQ306" s="64"/>
      <c r="AR306" s="65"/>
      <c r="AS306" s="63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4"/>
      <c r="BR306" s="64"/>
      <c r="BS306" s="64"/>
      <c r="BT306" s="64"/>
      <c r="BU306" s="64"/>
      <c r="BV306" s="64"/>
      <c r="BW306" s="64"/>
      <c r="BX306" s="64"/>
      <c r="BY306" s="64"/>
      <c r="BZ306" s="64"/>
      <c r="CA306" s="65"/>
      <c r="CB306" s="60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4"/>
      <c r="CV306" s="64"/>
      <c r="CW306" s="64"/>
      <c r="CX306" s="64"/>
      <c r="CY306" s="64"/>
      <c r="CZ306" s="64"/>
      <c r="DA306" s="64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</row>
    <row r="307" spans="2:13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4"/>
      <c r="AN307" s="64"/>
      <c r="AO307" s="64"/>
      <c r="AP307" s="64"/>
      <c r="AQ307" s="64"/>
      <c r="AR307" s="65"/>
      <c r="AS307" s="63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4"/>
      <c r="BR307" s="64"/>
      <c r="BS307" s="64"/>
      <c r="BT307" s="64"/>
      <c r="BU307" s="64"/>
      <c r="BV307" s="64"/>
      <c r="BW307" s="64"/>
      <c r="BX307" s="64"/>
      <c r="BY307" s="64"/>
      <c r="BZ307" s="64"/>
      <c r="CA307" s="65"/>
      <c r="CB307" s="60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4"/>
      <c r="CV307" s="64"/>
      <c r="CW307" s="64"/>
      <c r="CX307" s="64"/>
      <c r="CY307" s="64"/>
      <c r="CZ307" s="64"/>
      <c r="DA307" s="64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</row>
    <row r="308" spans="2:13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4"/>
      <c r="AN308" s="64"/>
      <c r="AO308" s="64"/>
      <c r="AP308" s="64"/>
      <c r="AQ308" s="64"/>
      <c r="AR308" s="65"/>
      <c r="AS308" s="63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4"/>
      <c r="BR308" s="64"/>
      <c r="BS308" s="64"/>
      <c r="BT308" s="64"/>
      <c r="BU308" s="64"/>
      <c r="BV308" s="64"/>
      <c r="BW308" s="64"/>
      <c r="BX308" s="64"/>
      <c r="BY308" s="64"/>
      <c r="BZ308" s="64"/>
      <c r="CA308" s="65"/>
      <c r="CB308" s="60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4"/>
      <c r="CV308" s="64"/>
      <c r="CW308" s="64"/>
      <c r="CX308" s="64"/>
      <c r="CY308" s="64"/>
      <c r="CZ308" s="64"/>
      <c r="DA308" s="64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</row>
    <row r="309" spans="2:13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4"/>
      <c r="AN309" s="64"/>
      <c r="AO309" s="64"/>
      <c r="AP309" s="64"/>
      <c r="AQ309" s="64"/>
      <c r="AR309" s="65"/>
      <c r="AS309" s="63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4"/>
      <c r="BR309" s="64"/>
      <c r="BS309" s="64"/>
      <c r="BT309" s="64"/>
      <c r="BU309" s="64"/>
      <c r="BV309" s="64"/>
      <c r="BW309" s="64"/>
      <c r="BX309" s="64"/>
      <c r="BY309" s="64"/>
      <c r="BZ309" s="64"/>
      <c r="CA309" s="65"/>
      <c r="CB309" s="60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4"/>
      <c r="CV309" s="64"/>
      <c r="CW309" s="64"/>
      <c r="CX309" s="64"/>
      <c r="CY309" s="64"/>
      <c r="CZ309" s="64"/>
      <c r="DA309" s="64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</row>
    <row r="310" spans="2:13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4"/>
      <c r="AN310" s="64"/>
      <c r="AO310" s="64"/>
      <c r="AP310" s="64"/>
      <c r="AQ310" s="64"/>
      <c r="AR310" s="65"/>
      <c r="AS310" s="63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4"/>
      <c r="BR310" s="64"/>
      <c r="BS310" s="64"/>
      <c r="BT310" s="64"/>
      <c r="BU310" s="64"/>
      <c r="BV310" s="64"/>
      <c r="BW310" s="64"/>
      <c r="BX310" s="64"/>
      <c r="BY310" s="64"/>
      <c r="BZ310" s="64"/>
      <c r="CA310" s="65"/>
      <c r="CB310" s="60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4"/>
      <c r="CV310" s="64"/>
      <c r="CW310" s="64"/>
      <c r="CX310" s="64"/>
      <c r="CY310" s="64"/>
      <c r="CZ310" s="64"/>
      <c r="DA310" s="64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</row>
    <row r="311" spans="2:13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4"/>
      <c r="AN311" s="64"/>
      <c r="AO311" s="64"/>
      <c r="AP311" s="64"/>
      <c r="AQ311" s="64"/>
      <c r="AR311" s="65"/>
      <c r="AS311" s="63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4"/>
      <c r="BR311" s="64"/>
      <c r="BS311" s="64"/>
      <c r="BT311" s="64"/>
      <c r="BU311" s="64"/>
      <c r="BV311" s="64"/>
      <c r="BW311" s="64"/>
      <c r="BX311" s="64"/>
      <c r="BY311" s="64"/>
      <c r="BZ311" s="64"/>
      <c r="CA311" s="65"/>
      <c r="CB311" s="60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4"/>
      <c r="CV311" s="64"/>
      <c r="CW311" s="64"/>
      <c r="CX311" s="64"/>
      <c r="CY311" s="64"/>
      <c r="CZ311" s="64"/>
      <c r="DA311" s="64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</row>
    <row r="312" spans="2:130" x14ac:dyDescent="0.15">
      <c r="B312" s="58" t="str">
        <f>IF(G312&lt;&gt;"",SUBTOTAL(3,$G$5:G312),"")</f>
        <v/>
      </c>
      <c r="C312" s="58"/>
      <c r="D312" s="58"/>
      <c r="E312" s="59"/>
      <c r="F312" s="59"/>
      <c r="G312" s="59"/>
      <c r="H312" s="61"/>
      <c r="I312" s="62"/>
      <c r="J312" s="63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/>
      <c r="AD312" s="64"/>
      <c r="AE312" s="64"/>
      <c r="AF312" s="64"/>
      <c r="AG312" s="64"/>
      <c r="AH312" s="64"/>
      <c r="AI312" s="64"/>
      <c r="AJ312" s="64"/>
      <c r="AK312" s="64"/>
      <c r="AL312" s="64"/>
      <c r="AM312" s="64"/>
      <c r="AN312" s="64"/>
      <c r="AO312" s="64"/>
      <c r="AP312" s="64"/>
      <c r="AQ312" s="64"/>
      <c r="AR312" s="65"/>
      <c r="AS312" s="63"/>
      <c r="AT312" s="64"/>
      <c r="AU312" s="64"/>
      <c r="AV312" s="64"/>
      <c r="AW312" s="64"/>
      <c r="AX312" s="64"/>
      <c r="AY312" s="64"/>
      <c r="AZ312" s="64"/>
      <c r="BA312" s="64"/>
      <c r="BB312" s="64"/>
      <c r="BC312" s="64"/>
      <c r="BD312" s="64"/>
      <c r="BE312" s="64"/>
      <c r="BF312" s="64"/>
      <c r="BG312" s="64"/>
      <c r="BH312" s="64"/>
      <c r="BI312" s="64"/>
      <c r="BJ312" s="64"/>
      <c r="BK312" s="64"/>
      <c r="BL312" s="64"/>
      <c r="BM312" s="64"/>
      <c r="BN312" s="64"/>
      <c r="BO312" s="64"/>
      <c r="BP312" s="64"/>
      <c r="BQ312" s="64"/>
      <c r="BR312" s="64"/>
      <c r="BS312" s="64"/>
      <c r="BT312" s="64"/>
      <c r="BU312" s="64"/>
      <c r="BV312" s="64"/>
      <c r="BW312" s="64"/>
      <c r="BX312" s="64"/>
      <c r="BY312" s="64"/>
      <c r="BZ312" s="64"/>
      <c r="CA312" s="65"/>
      <c r="CB312" s="60"/>
      <c r="CH312" s="64"/>
      <c r="CI312" s="64"/>
      <c r="CJ312" s="64"/>
      <c r="CK312" s="64"/>
      <c r="CL312" s="64"/>
      <c r="CM312" s="64"/>
      <c r="CN312" s="64"/>
      <c r="CO312" s="64"/>
      <c r="CP312" s="64"/>
      <c r="CQ312" s="64"/>
      <c r="CR312" s="64"/>
      <c r="CS312" s="64"/>
      <c r="CT312" s="64"/>
      <c r="CU312" s="64"/>
      <c r="CV312" s="64"/>
      <c r="CW312" s="64"/>
      <c r="CX312" s="64"/>
      <c r="CY312" s="64"/>
      <c r="CZ312" s="64"/>
      <c r="DA312" s="64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</row>
    <row r="313" spans="2:130" x14ac:dyDescent="0.15">
      <c r="B313" s="58" t="str">
        <f>IF(G313&lt;&gt;"",SUBTOTAL(3,$G$5:G313),"")</f>
        <v/>
      </c>
      <c r="C313" s="58"/>
      <c r="D313" s="58"/>
      <c r="E313" s="59"/>
      <c r="F313" s="59"/>
      <c r="G313" s="59"/>
      <c r="H313" s="61"/>
      <c r="I313" s="62"/>
      <c r="J313" s="63"/>
      <c r="K313" s="64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/>
      <c r="AD313" s="64"/>
      <c r="AE313" s="64"/>
      <c r="AF313" s="64"/>
      <c r="AG313" s="64"/>
      <c r="AH313" s="64"/>
      <c r="AI313" s="64"/>
      <c r="AJ313" s="64"/>
      <c r="AK313" s="64"/>
      <c r="AL313" s="64"/>
      <c r="AM313" s="64"/>
      <c r="AN313" s="64"/>
      <c r="AO313" s="64"/>
      <c r="AP313" s="64"/>
      <c r="AQ313" s="64"/>
      <c r="AR313" s="65"/>
      <c r="AS313" s="63"/>
      <c r="AT313" s="64"/>
      <c r="AU313" s="64"/>
      <c r="AV313" s="64"/>
      <c r="AW313" s="64"/>
      <c r="AX313" s="64"/>
      <c r="AY313" s="64"/>
      <c r="AZ313" s="64"/>
      <c r="BA313" s="64"/>
      <c r="BB313" s="64"/>
      <c r="BC313" s="64"/>
      <c r="BD313" s="64"/>
      <c r="BE313" s="64"/>
      <c r="BF313" s="64"/>
      <c r="BG313" s="64"/>
      <c r="BH313" s="64"/>
      <c r="BI313" s="64"/>
      <c r="BJ313" s="64"/>
      <c r="BK313" s="64"/>
      <c r="BL313" s="64"/>
      <c r="BM313" s="64"/>
      <c r="BN313" s="64"/>
      <c r="BO313" s="64"/>
      <c r="BP313" s="64"/>
      <c r="BQ313" s="64"/>
      <c r="BR313" s="64"/>
      <c r="BS313" s="64"/>
      <c r="BT313" s="64"/>
      <c r="BU313" s="64"/>
      <c r="BV313" s="64"/>
      <c r="BW313" s="64"/>
      <c r="BX313" s="64"/>
      <c r="BY313" s="64"/>
      <c r="BZ313" s="64"/>
      <c r="CA313" s="65"/>
      <c r="CB313" s="60"/>
      <c r="CH313" s="64"/>
      <c r="CI313" s="64"/>
      <c r="CJ313" s="64"/>
      <c r="CK313" s="64"/>
      <c r="CL313" s="64"/>
      <c r="CM313" s="64"/>
      <c r="CN313" s="64"/>
      <c r="CO313" s="64"/>
      <c r="CP313" s="64"/>
      <c r="CQ313" s="64"/>
      <c r="CR313" s="64"/>
      <c r="CS313" s="64"/>
      <c r="CT313" s="64"/>
      <c r="CU313" s="64"/>
      <c r="CV313" s="64"/>
      <c r="CW313" s="64"/>
      <c r="CX313" s="64"/>
      <c r="CY313" s="64"/>
      <c r="CZ313" s="64"/>
      <c r="DA313" s="64"/>
      <c r="DB313" s="64"/>
      <c r="DC313" s="64"/>
      <c r="DD313" s="64"/>
      <c r="DE313" s="64"/>
      <c r="DF313" s="64"/>
      <c r="DG313" s="64"/>
      <c r="DH313" s="64"/>
      <c r="DI313" s="64"/>
      <c r="DJ313" s="64"/>
      <c r="DK313" s="64"/>
      <c r="DL313" s="64"/>
      <c r="DM313" s="64"/>
      <c r="DN313" s="64"/>
      <c r="DO313" s="64"/>
      <c r="DP313" s="64"/>
      <c r="DQ313" s="64"/>
      <c r="DR313" s="64"/>
      <c r="DS313" s="64"/>
      <c r="DT313" s="64"/>
      <c r="DU313" s="64"/>
      <c r="DV313" s="64"/>
      <c r="DW313" s="64"/>
      <c r="DX313" s="64"/>
      <c r="DY313" s="64"/>
      <c r="DZ313" s="64"/>
    </row>
    <row r="314" spans="2:130" x14ac:dyDescent="0.15">
      <c r="B314" s="58" t="str">
        <f>IF(G314&lt;&gt;"",SUBTOTAL(3,$G$5:G314),"")</f>
        <v/>
      </c>
      <c r="C314" s="58"/>
      <c r="D314" s="58"/>
      <c r="E314" s="59"/>
      <c r="F314" s="59"/>
      <c r="G314" s="59"/>
      <c r="H314" s="61"/>
      <c r="I314" s="62"/>
      <c r="J314" s="63"/>
      <c r="K314" s="64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/>
      <c r="AD314" s="64"/>
      <c r="AE314" s="64"/>
      <c r="AF314" s="64"/>
      <c r="AG314" s="64"/>
      <c r="AH314" s="64"/>
      <c r="AI314" s="64"/>
      <c r="AJ314" s="64"/>
      <c r="AK314" s="64"/>
      <c r="AL314" s="64"/>
      <c r="AM314" s="64"/>
      <c r="AN314" s="64"/>
      <c r="AO314" s="64"/>
      <c r="AP314" s="64"/>
      <c r="AQ314" s="64"/>
      <c r="AR314" s="65"/>
      <c r="AS314" s="63"/>
      <c r="AT314" s="64"/>
      <c r="AU314" s="64"/>
      <c r="AV314" s="64"/>
      <c r="AW314" s="64"/>
      <c r="AX314" s="64"/>
      <c r="AY314" s="64"/>
      <c r="AZ314" s="64"/>
      <c r="BA314" s="64"/>
      <c r="BB314" s="64"/>
      <c r="BC314" s="64"/>
      <c r="BD314" s="64"/>
      <c r="BE314" s="64"/>
      <c r="BF314" s="64"/>
      <c r="BG314" s="64"/>
      <c r="BH314" s="64"/>
      <c r="BI314" s="64"/>
      <c r="BJ314" s="64"/>
      <c r="BK314" s="64"/>
      <c r="BL314" s="64"/>
      <c r="BM314" s="64"/>
      <c r="BN314" s="64"/>
      <c r="BO314" s="64"/>
      <c r="BP314" s="64"/>
      <c r="BQ314" s="64"/>
      <c r="BR314" s="64"/>
      <c r="BS314" s="64"/>
      <c r="BT314" s="64"/>
      <c r="BU314" s="64"/>
      <c r="BV314" s="64"/>
      <c r="BW314" s="64"/>
      <c r="BX314" s="64"/>
      <c r="BY314" s="64"/>
      <c r="BZ314" s="64"/>
      <c r="CA314" s="65"/>
      <c r="CB314" s="60"/>
      <c r="CH314" s="64"/>
      <c r="CI314" s="64"/>
      <c r="CJ314" s="64"/>
      <c r="CK314" s="64"/>
      <c r="CL314" s="64"/>
      <c r="CM314" s="64"/>
      <c r="CN314" s="64"/>
      <c r="CO314" s="64"/>
      <c r="CP314" s="64"/>
      <c r="CQ314" s="64"/>
      <c r="CR314" s="64"/>
      <c r="CS314" s="64"/>
      <c r="CT314" s="64"/>
      <c r="CU314" s="64"/>
      <c r="CV314" s="64"/>
      <c r="CW314" s="64"/>
      <c r="CX314" s="64"/>
      <c r="CY314" s="64"/>
      <c r="CZ314" s="64"/>
      <c r="DA314" s="64"/>
      <c r="DB314" s="64"/>
      <c r="DC314" s="64"/>
      <c r="DD314" s="64"/>
      <c r="DE314" s="64"/>
      <c r="DF314" s="64"/>
      <c r="DG314" s="64"/>
      <c r="DH314" s="64"/>
      <c r="DI314" s="64"/>
      <c r="DJ314" s="64"/>
      <c r="DK314" s="64"/>
      <c r="DL314" s="64"/>
      <c r="DM314" s="64"/>
      <c r="DN314" s="64"/>
      <c r="DO314" s="64"/>
      <c r="DP314" s="64"/>
      <c r="DQ314" s="64"/>
      <c r="DR314" s="64"/>
      <c r="DS314" s="64"/>
      <c r="DT314" s="64"/>
      <c r="DU314" s="64"/>
      <c r="DV314" s="64"/>
      <c r="DW314" s="64"/>
      <c r="DX314" s="64"/>
      <c r="DY314" s="64"/>
      <c r="DZ314" s="64"/>
    </row>
    <row r="315" spans="2:130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63"/>
      <c r="K315" s="64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/>
      <c r="AD315" s="64"/>
      <c r="AE315" s="64"/>
      <c r="AF315" s="64"/>
      <c r="AG315" s="64"/>
      <c r="AH315" s="64"/>
      <c r="AI315" s="64"/>
      <c r="AJ315" s="64"/>
      <c r="AK315" s="64"/>
      <c r="AL315" s="64"/>
      <c r="AM315" s="64"/>
      <c r="AN315" s="64"/>
      <c r="AO315" s="64"/>
      <c r="AP315" s="64"/>
      <c r="AQ315" s="64"/>
      <c r="AR315" s="65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x14ac:dyDescent="0.15">
      <c r="B316" s="88" t="str">
        <f>IF(G316&lt;&gt;"",SUBTOTAL(3,$G$5:G316),"")</f>
        <v/>
      </c>
      <c r="C316" s="88"/>
      <c r="D316" s="88"/>
      <c r="E316" s="89"/>
      <c r="F316" s="89"/>
      <c r="G316" s="89"/>
      <c r="H316" s="90"/>
      <c r="I316" s="91"/>
      <c r="J316" s="92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  <c r="AA316" s="93"/>
      <c r="AB316" s="93"/>
      <c r="AC316" s="93"/>
      <c r="AD316" s="93"/>
      <c r="AE316" s="93"/>
      <c r="AF316" s="93"/>
      <c r="AG316" s="93"/>
      <c r="AH316" s="93"/>
      <c r="AI316" s="93"/>
      <c r="AJ316" s="93"/>
      <c r="AK316" s="93"/>
      <c r="AL316" s="93"/>
      <c r="AM316" s="93"/>
      <c r="AN316" s="93"/>
      <c r="AO316" s="93"/>
      <c r="AP316" s="93"/>
      <c r="AQ316" s="93"/>
      <c r="AR316" s="94"/>
      <c r="AS316" s="92"/>
      <c r="AT316" s="93"/>
      <c r="AU316" s="93"/>
      <c r="AV316" s="93"/>
      <c r="AW316" s="93"/>
      <c r="AX316" s="93"/>
      <c r="AY316" s="93"/>
      <c r="AZ316" s="93"/>
      <c r="BA316" s="93"/>
      <c r="BB316" s="93"/>
      <c r="BC316" s="93"/>
      <c r="BD316" s="93"/>
      <c r="BE316" s="93"/>
      <c r="BF316" s="93"/>
      <c r="BG316" s="93"/>
      <c r="BH316" s="93"/>
      <c r="BI316" s="93"/>
      <c r="BJ316" s="93"/>
      <c r="BK316" s="93"/>
      <c r="BL316" s="93"/>
      <c r="BM316" s="93"/>
      <c r="BN316" s="93"/>
      <c r="BO316" s="93"/>
      <c r="BP316" s="93"/>
      <c r="BQ316" s="93"/>
      <c r="BR316" s="93"/>
      <c r="BS316" s="93"/>
      <c r="BT316" s="93"/>
      <c r="BU316" s="93"/>
      <c r="BV316" s="93"/>
      <c r="BW316" s="93"/>
      <c r="BX316" s="93"/>
      <c r="BY316" s="93"/>
      <c r="BZ316" s="93"/>
      <c r="CA316" s="94"/>
      <c r="CB316" s="95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287:I287 B301:I301 B293:I293 B42:D42 B49:H49 B58:H58 I144:I157 B144:H158 CB144:CB158 J144:AR158 B288:AR292 B302:AR316 B5:CB39 B282:AR286 B294:AR300 AS282:CB316 F42:CB42 B43:CB47 J48:CB49 B59:CB59 AS144:CA157 B159:CB170 B179:CB221 K40:CB40 B41:CB41 K60:CB60 K222:CB222 B280:CB280 K279:CB279 K281:CB281 I158:CA158 K101:CB101 J57:CB58 B50:CB56 J61:CB63 B64:CB100 B102:CB143 B223:CB278 I171:I177 B171:H178 J171:CB178">
    <cfRule type="expression" dxfId="25" priority="96">
      <formula>AND($I5&lt;&gt;1,$I5&lt;&gt;"")</formula>
    </cfRule>
  </conditionalFormatting>
  <conditionalFormatting sqref="I178:AR178">
    <cfRule type="expression" dxfId="24" priority="82">
      <formula>AND($I178&lt;&gt;1,$I178&lt;&gt;"")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22:I222">
    <cfRule type="expression" dxfId="8" priority="18">
      <formula>AND($I222&lt;&gt;1,$I222&lt;&gt;"")</formula>
    </cfRule>
  </conditionalFormatting>
  <conditionalFormatting sqref="J222">
    <cfRule type="expression" dxfId="7" priority="17">
      <formula>AND($I222&lt;&gt;1,$I222&lt;&gt;"")</formula>
    </cfRule>
  </conditionalFormatting>
  <conditionalFormatting sqref="B279:I279 B281:I281">
    <cfRule type="expression" dxfId="6" priority="10">
      <formula>AND($I279&lt;&gt;1,$I279&lt;&gt;"")</formula>
    </cfRule>
  </conditionalFormatting>
  <conditionalFormatting sqref="J281">
    <cfRule type="expression" dxfId="5" priority="9">
      <formula>AND($I281&lt;&gt;1,$I281&lt;&gt;"")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16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89" location="toABC143_C_Slimes" display="(→)" xr:uid="{D0A14FDC-339D-483C-A7FB-42784F1DB2F9}"/>
    <hyperlink ref="CB194" location="toABC147_C_Honest_or_Unkind2" display="(→)" xr:uid="{5E89EE6B-F278-4D19-9890-D06616736879}"/>
    <hyperlink ref="CB196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281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2020-10-11T03:06:28Z</dcterms:modified>
</cp:coreProperties>
</file>
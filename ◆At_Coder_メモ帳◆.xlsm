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DBBAF072-234B-4F29-B99C-2EC50D14B28F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At_Coder_C問題!$B$4:$CB$4</definedName>
    <definedName name="fromABC114_C_755">At_Coder_C問題!$J$65</definedName>
    <definedName name="fromABC143_C_Slimes">At_Coder_C問題!$J$195</definedName>
    <definedName name="fromABC147_C_Honest_or_Unkind2">At_Coder_C問題!$J$203</definedName>
    <definedName name="fromABC149_C_NextPrime">At_Coder_C問題!$J$207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37" i="3" l="1"/>
  <c r="B234" i="3"/>
  <c r="B233" i="3"/>
  <c r="B235" i="3" l="1"/>
  <c r="B158" i="3" l="1"/>
  <c r="B156" i="3"/>
  <c r="B157" i="3"/>
  <c r="B230" i="3" l="1"/>
  <c r="B228" i="3" l="1"/>
  <c r="B226" i="3"/>
  <c r="B225" i="3"/>
  <c r="B220" i="3"/>
  <c r="B199" i="3" l="1"/>
  <c r="B198" i="3"/>
  <c r="B197" i="3" l="1"/>
  <c r="B183" i="3"/>
  <c r="B161" i="3"/>
  <c r="B162" i="3"/>
  <c r="B208" i="3" l="1"/>
  <c r="B209" i="3"/>
  <c r="B214" i="3"/>
  <c r="B213" i="3"/>
  <c r="B212" i="3"/>
  <c r="B211" i="3"/>
  <c r="B217" i="3" l="1"/>
  <c r="B216" i="3"/>
  <c r="B206" i="3"/>
  <c r="B205" i="3"/>
  <c r="B177" i="3" l="1"/>
  <c r="B180" i="3"/>
  <c r="B181" i="3"/>
  <c r="B179" i="3"/>
  <c r="B30" i="3"/>
  <c r="B29" i="3"/>
  <c r="B28" i="3"/>
  <c r="B27" i="3"/>
  <c r="B138" i="3" l="1"/>
  <c r="B267" i="3"/>
  <c r="B268" i="3"/>
  <c r="B266" i="3"/>
  <c r="B269" i="3"/>
  <c r="B20" i="3" l="1"/>
  <c r="B13" i="3"/>
  <c r="B6" i="3" l="1"/>
  <c r="B62" i="3" l="1"/>
  <c r="B63" i="3"/>
  <c r="B311" i="3" l="1"/>
  <c r="B310" i="3"/>
  <c r="B309" i="3"/>
  <c r="B308" i="3"/>
  <c r="B307" i="3"/>
  <c r="B306" i="3"/>
  <c r="B303" i="3"/>
  <c r="B301" i="3"/>
  <c r="B300" i="3"/>
  <c r="B299" i="3"/>
  <c r="B298" i="3"/>
  <c r="B297" i="3"/>
  <c r="B296" i="3"/>
  <c r="B304" i="3"/>
  <c r="B302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3" i="3"/>
  <c r="B272" i="3"/>
  <c r="B271" i="3"/>
  <c r="B270" i="3"/>
  <c r="B264" i="3"/>
  <c r="B263" i="3"/>
  <c r="B262" i="3"/>
  <c r="B261" i="3"/>
  <c r="B260" i="3"/>
  <c r="B259" i="3"/>
  <c r="B258" i="3"/>
  <c r="B255" i="3"/>
  <c r="B254" i="3"/>
  <c r="J250" i="3"/>
  <c r="B250" i="3"/>
  <c r="B249" i="3"/>
  <c r="B248" i="3"/>
  <c r="B247" i="3"/>
  <c r="B246" i="3"/>
  <c r="B245" i="3"/>
  <c r="B244" i="3"/>
  <c r="B194" i="3"/>
  <c r="B193" i="3"/>
  <c r="B192" i="3"/>
  <c r="B191" i="3"/>
  <c r="B190" i="3"/>
  <c r="B189" i="3"/>
  <c r="B188" i="3"/>
  <c r="B187" i="3"/>
  <c r="B186" i="3"/>
  <c r="B185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43" i="3"/>
  <c r="B142" i="3"/>
  <c r="B141" i="3"/>
  <c r="B140" i="3"/>
  <c r="B139" i="3"/>
  <c r="B136" i="3"/>
  <c r="B135" i="3"/>
  <c r="B133" i="3"/>
  <c r="B132" i="3"/>
  <c r="B131" i="3"/>
  <c r="B130" i="3"/>
  <c r="B129" i="3"/>
  <c r="B127" i="3"/>
  <c r="B126" i="3"/>
  <c r="B125" i="3"/>
  <c r="B124" i="3"/>
  <c r="B123" i="3"/>
  <c r="B122" i="3"/>
  <c r="B120" i="3"/>
  <c r="B119" i="3"/>
  <c r="B118" i="3"/>
  <c r="B117" i="3"/>
  <c r="B116" i="3"/>
  <c r="B115" i="3"/>
  <c r="B114" i="3"/>
  <c r="B113" i="3"/>
  <c r="B112" i="3"/>
  <c r="B111" i="3"/>
  <c r="B109" i="3"/>
  <c r="B108" i="3"/>
  <c r="B107" i="3"/>
  <c r="B106" i="3"/>
  <c r="B105" i="3"/>
  <c r="B103" i="3"/>
  <c r="B102" i="3"/>
  <c r="B101" i="3"/>
  <c r="B100" i="3"/>
  <c r="B99" i="3"/>
  <c r="B98" i="3"/>
  <c r="B97" i="3"/>
  <c r="B95" i="3"/>
  <c r="B94" i="3"/>
  <c r="B93" i="3"/>
  <c r="B92" i="3"/>
  <c r="B91" i="3"/>
  <c r="B90" i="3"/>
  <c r="B89" i="3"/>
  <c r="B87" i="3"/>
  <c r="B86" i="3"/>
  <c r="B85" i="3"/>
  <c r="B83" i="3"/>
  <c r="B82" i="3"/>
  <c r="B81" i="3"/>
  <c r="B78" i="3"/>
  <c r="B77" i="3"/>
  <c r="B76" i="3"/>
  <c r="B75" i="3"/>
  <c r="B74" i="3"/>
  <c r="B73" i="3"/>
  <c r="B72" i="3"/>
  <c r="B80" i="3"/>
  <c r="B79" i="3"/>
  <c r="B71" i="3"/>
  <c r="B69" i="3"/>
  <c r="J60" i="3"/>
  <c r="B60" i="3"/>
  <c r="B57" i="3"/>
  <c r="B56" i="3"/>
  <c r="B55" i="3"/>
  <c r="B54" i="3"/>
  <c r="B52" i="3"/>
  <c r="B51" i="3"/>
  <c r="B47" i="3"/>
  <c r="B46" i="3"/>
  <c r="B45" i="3"/>
  <c r="B35" i="3"/>
  <c r="B41" i="3"/>
  <c r="B43" i="3"/>
  <c r="B40" i="3"/>
  <c r="B39" i="3"/>
  <c r="B38" i="3"/>
  <c r="B37" i="3"/>
  <c r="B34" i="3"/>
  <c r="B33" i="3"/>
  <c r="B32" i="3"/>
  <c r="B19" i="3"/>
  <c r="B12" i="3"/>
  <c r="B11" i="3"/>
  <c r="B10" i="3"/>
  <c r="B9" i="3"/>
  <c r="B61" i="3" l="1"/>
  <c r="B312" i="3" l="1"/>
  <c r="B251" i="3" l="1"/>
  <c r="B31" i="3" l="1"/>
  <c r="B42" i="3" l="1"/>
  <c r="B36" i="3" l="1"/>
  <c r="B50" i="3" l="1"/>
  <c r="B53" i="3"/>
  <c r="B58" i="3"/>
  <c r="B59" i="3"/>
  <c r="B64" i="3"/>
  <c r="B65" i="3"/>
  <c r="B66" i="3"/>
  <c r="B67" i="3"/>
  <c r="B68" i="3"/>
  <c r="B70" i="3"/>
  <c r="B84" i="3"/>
  <c r="B88" i="3"/>
  <c r="B96" i="3"/>
  <c r="B44" i="3"/>
  <c r="B104" i="3" l="1"/>
  <c r="B110" i="3" l="1"/>
  <c r="B121" i="3" l="1"/>
  <c r="B128" i="3" l="1"/>
  <c r="B344" i="3" l="1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05" i="3"/>
  <c r="B276" i="3"/>
  <c r="B275" i="3"/>
  <c r="B274" i="3"/>
  <c r="B265" i="3"/>
  <c r="B257" i="3"/>
  <c r="B256" i="3"/>
  <c r="B253" i="3"/>
  <c r="B252" i="3"/>
  <c r="B243" i="3"/>
  <c r="B242" i="3"/>
  <c r="B241" i="3"/>
  <c r="B240" i="3"/>
  <c r="B239" i="3"/>
  <c r="B238" i="3"/>
  <c r="B236" i="3"/>
  <c r="B232" i="3"/>
  <c r="B231" i="3"/>
  <c r="B229" i="3"/>
  <c r="B227" i="3"/>
  <c r="B224" i="3"/>
  <c r="B223" i="3"/>
  <c r="B222" i="3"/>
  <c r="B221" i="3"/>
  <c r="B219" i="3"/>
  <c r="B218" i="3"/>
  <c r="B215" i="3"/>
  <c r="B210" i="3"/>
  <c r="B207" i="3"/>
  <c r="B204" i="3"/>
  <c r="B203" i="3"/>
  <c r="B202" i="3"/>
  <c r="B201" i="3"/>
  <c r="B200" i="3"/>
  <c r="B196" i="3"/>
  <c r="B195" i="3"/>
  <c r="B184" i="3"/>
  <c r="B182" i="3"/>
  <c r="B178" i="3"/>
  <c r="B176" i="3"/>
  <c r="B163" i="3"/>
  <c r="B160" i="3"/>
  <c r="B159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37" i="3"/>
  <c r="B134" i="3"/>
  <c r="B26" i="3"/>
  <c r="B25" i="3"/>
  <c r="B24" i="3"/>
  <c r="B23" i="3"/>
  <c r="B22" i="3"/>
  <c r="B21" i="3"/>
  <c r="B18" i="3"/>
  <c r="B17" i="3"/>
  <c r="B16" i="3"/>
  <c r="B15" i="3"/>
  <c r="B14" i="3"/>
  <c r="B8" i="3"/>
  <c r="B7" i="3"/>
  <c r="B5" i="3"/>
</calcChain>
</file>

<file path=xl/sharedStrings.xml><?xml version="1.0" encoding="utf-8"?>
<sst xmlns="http://schemas.openxmlformats.org/spreadsheetml/2006/main" count="766" uniqueCount="456">
  <si>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</si>
  <si>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</si>
  <si>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</si>
  <si>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</si>
  <si>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</si>
  <si>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</si>
  <si>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</si>
  <si>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</si>
  <si>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</si>
  <si>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</si>
  <si>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</si>
  <si>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</si>
  <si>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</si>
  <si>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</si>
  <si>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</si>
  <si>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</si>
  <si>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</si>
  <si>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</si>
  <si>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</si>
  <si>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</si>
  <si>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</si>
  <si>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</si>
  <si>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</si>
  <si>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</si>
  <si>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</si>
  <si>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</si>
  <si>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</si>
  <si>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</si>
  <si>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</si>
  <si>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</si>
  <si>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</si>
  <si>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</si>
  <si>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</si>
  <si>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</si>
  <si>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</si>
  <si>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</si>
  <si>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</si>
  <si>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</si>
  <si>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</si>
  <si>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</si>
  <si>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</si>
  <si>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</si>
  <si>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</si>
  <si>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</si>
  <si>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</si>
  <si>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</si>
  <si>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</si>
  <si>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</si>
  <si>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</si>
  <si>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</si>
  <si>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</si>
  <si>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</si>
  <si>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</si>
  <si>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</si>
  <si>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</si>
  <si>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</si>
  <si>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</si>
  <si>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</si>
  <si>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</si>
  <si>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</si>
  <si>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</si>
  <si>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</si>
  <si>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</si>
  <si>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</si>
  <si>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</si>
  <si>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</si>
  <si>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</si>
  <si>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</si>
  <si>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</si>
  <si>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</si>
  <si>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</si>
  <si>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</si>
  <si>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</si>
  <si>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</si>
  <si>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</si>
  <si>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</si>
  <si>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</si>
  <si>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</si>
  <si>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</si>
  <si>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</si>
  <si>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</si>
  <si>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</si>
  <si>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</si>
  <si>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</si>
  <si>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</si>
  <si>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</si>
  <si>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</si>
  <si>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</si>
  <si>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</si>
  <si>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</si>
  <si>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</si>
  <si>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</si>
  <si>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</si>
  <si>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</si>
  <si>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</si>
  <si>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</si>
  <si>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</si>
  <si>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</si>
  <si>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</si>
  <si>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</si>
  <si>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</si>
  <si>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</si>
  <si>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</si>
  <si>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</si>
  <si>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</si>
  <si>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</si>
  <si>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</si>
  <si>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</si>
  <si>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</si>
  <si>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</si>
  <si>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</si>
  <si>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</si>
  <si>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</si>
  <si>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</si>
  <si>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</si>
  <si>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</si>
  <si>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</si>
  <si>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</si>
  <si>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</si>
  <si>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</si>
  <si>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</si>
  <si>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</si>
  <si>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</si>
  <si>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</si>
  <si>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</si>
  <si>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</si>
  <si>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</si>
  <si>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</si>
  <si>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</si>
  <si>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</si>
  <si>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</si>
  <si>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</si>
  <si>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</si>
  <si>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</si>
  <si>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</si>
  <si>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</si>
  <si>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</si>
  <si>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</si>
  <si>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</si>
  <si>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</si>
  <si>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</si>
  <si>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</si>
  <si>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</si>
  <si>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</si>
  <si>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</si>
  <si>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</si>
  <si>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</si>
  <si>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</si>
  <si>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</si>
  <si>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</si>
  <si>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</si>
  <si>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</si>
  <si>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</si>
  <si>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</si>
  <si>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</si>
  <si>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</si>
  <si>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</si>
  <si>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</si>
  <si>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</si>
  <si>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</si>
  <si>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</si>
  <si>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</si>
  <si>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</si>
  <si>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</si>
  <si>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</si>
  <si>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</si>
  <si>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</si>
  <si>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</si>
  <si>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</si>
  <si>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</si>
  <si>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</si>
  <si>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</si>
  <si>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</si>
  <si>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</si>
  <si>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</si>
  <si>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</si>
  <si>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</si>
  <si>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</si>
  <si>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</si>
  <si>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</si>
  <si>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</si>
  <si>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</si>
  <si>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</si>
  <si>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</si>
  <si>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</si>
  <si>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</si>
  <si>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</si>
  <si>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</si>
  <si>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</si>
  <si>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</si>
  <si>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</si>
  <si>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</si>
  <si>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</si>
  <si>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</si>
  <si>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</si>
  <si>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</si>
  <si>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</si>
  <si>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</si>
  <si>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</si>
  <si>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</si>
  <si>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</si>
  <si>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</si>
  <si>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</si>
  <si>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</si>
  <si>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</si>
  <si>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</si>
  <si>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</si>
  <si>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</si>
  <si>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</si>
  <si>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</si>
  <si>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</si>
  <si>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</si>
  <si>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</si>
  <si>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</si>
  <si>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</si>
  <si>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</si>
  <si>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</si>
  <si>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</si>
  <si>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</si>
  <si>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</si>
  <si>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</si>
  <si>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</si>
  <si>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</si>
  <si>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</si>
  <si>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</si>
  <si>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</si>
  <si>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</si>
  <si>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</si>
  <si>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</si>
  <si>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</si>
  <si>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</si>
  <si>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</si>
  <si>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</si>
  <si>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</si>
  <si>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</si>
  <si>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</si>
  <si>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</si>
  <si>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</si>
  <si>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</si>
  <si>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</si>
  <si>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</si>
  <si>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</si>
  <si>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</si>
  <si>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</si>
  <si>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</si>
  <si>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</si>
  <si>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</si>
  <si>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</si>
  <si>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</si>
  <si>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</si>
  <si>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</si>
  <si>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</si>
  <si>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</si>
  <si>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</si>
  <si>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</si>
  <si>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</si>
  <si>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</si>
  <si>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</si>
  <si>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</si>
  <si>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</si>
  <si>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・座標圧縮を行い、市について、県ごとの認識番号の小さい順の順番を取得する</t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</si>
  <si>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</si>
  <si>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</si>
  <si>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</si>
  <si>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</si>
  <si>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</si>
  <si>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</si>
  <si>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</si>
  <si>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</si>
  <si>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</si>
  <si>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</si>
  <si>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</si>
  <si>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</si>
  <si>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</si>
  <si>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</si>
  <si>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</si>
  <si>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</si>
  <si>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</si>
  <si>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</si>
  <si>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</si>
  <si>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</si>
  <si>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</si>
  <si>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</si>
  <si>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</si>
  <si>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</si>
  <si>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</si>
  <si>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</si>
  <si>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</si>
  <si>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</si>
  <si>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</si>
  <si>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</si>
  <si>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</si>
  <si>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</si>
  <si>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</si>
  <si>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</si>
  <si>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</si>
  <si>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</si>
  <si>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</si>
  <si>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</si>
  <si>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</si>
  <si>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</si>
  <si>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</si>
  <si>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map&lt;価格, 個数&gt;で実装可能</t>
    <rPh sb="4" eb="6">
      <t>カカク</t>
    </rPh>
    <rPh sb="8" eb="10">
      <t>コスウ</t>
    </rPh>
    <rPh sb="12" eb="14">
      <t>ジッソウ</t>
    </rPh>
    <rPh sb="14" eb="16">
      <t>カノウ</t>
    </rPh>
    <phoneticPr fontId="2"/>
  </si>
  <si>
    <t>ができる</t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</si>
  <si>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</si>
  <si>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</si>
  <si>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</si>
  <si>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</si>
  <si>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</si>
  <si>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</si>
  <si>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</si>
  <si>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</si>
  <si>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</si>
  <si>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</si>
  <si>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</si>
  <si>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</si>
  <si>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</si>
  <si>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・高さの配列を移動する移動回数をカウントする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phoneticPr fontId="2"/>
  </si>
  <si>
    <t xml:space="preserve">   高さ配列を先頭から参照するとき</t>
    <rPh sb="8" eb="10">
      <t>セントウ</t>
    </rPh>
    <rPh sb="12" eb="14">
      <t>サンショウ</t>
    </rPh>
    <phoneticPr fontId="2"/>
  </si>
  <si>
    <t xml:space="preserve">   ベースインデックス(nBgn)が高さ配列のサイズ以内の間、処理を行う</t>
    <rPh sb="19" eb="20">
      <t>タカ</t>
    </rPh>
    <rPh sb="21" eb="23">
      <t>ハイレツ</t>
    </rPh>
    <rPh sb="27" eb="29">
      <t>イナイ</t>
    </rPh>
    <rPh sb="30" eb="31">
      <t>アイダ</t>
    </rPh>
    <rPh sb="32" eb="34">
      <t>ショリ</t>
    </rPh>
    <rPh sb="35" eb="36">
      <t>オコナ</t>
    </rPh>
    <phoneticPr fontId="2"/>
  </si>
  <si>
    <t xml:space="preserve">      ベースインデックス(nBgn)からスタートした フォワードインデックスが</t>
    <phoneticPr fontId="2"/>
  </si>
  <si>
    <t xml:space="preserve">      高さ配列のサイズ-1 以内 かつ</t>
    <rPh sb="6" eb="7">
      <t>タカ</t>
    </rPh>
    <rPh sb="8" eb="10">
      <t>ハイレツ</t>
    </rPh>
    <rPh sb="17" eb="19">
      <t>イナイ</t>
    </rPh>
    <phoneticPr fontId="2"/>
  </si>
  <si>
    <t xml:space="preserve">      高さ配列[フォワードインデックス]≧高さ配列[フォワードインデックス＋１]</t>
    <rPh sb="6" eb="7">
      <t>タカ</t>
    </rPh>
    <rPh sb="8" eb="10">
      <t>ハイレツ</t>
    </rPh>
    <rPh sb="24" eb="25">
      <t>タカ</t>
    </rPh>
    <rPh sb="26" eb="28">
      <t>ハイレツ</t>
    </rPh>
    <phoneticPr fontId="2"/>
  </si>
  <si>
    <t xml:space="preserve">      間、処理を行う</t>
    <rPh sb="6" eb="7">
      <t>アイダ</t>
    </rPh>
    <rPh sb="8" eb="10">
      <t>ショリ</t>
    </rPh>
    <rPh sb="11" eb="12">
      <t>オコナ</t>
    </rPh>
    <phoneticPr fontId="2"/>
  </si>
  <si>
    <t xml:space="preserve">         移動回数をインクリメントする</t>
    <rPh sb="9" eb="11">
      <t>イドウ</t>
    </rPh>
    <rPh sb="11" eb="13">
      <t>カイスウ</t>
    </rPh>
    <phoneticPr fontId="2"/>
  </si>
  <si>
    <t xml:space="preserve">   ●移動回数のmax値を更新する</t>
    <rPh sb="4" eb="6">
      <t>イドウ</t>
    </rPh>
    <rPh sb="6" eb="8">
      <t>カイスウ</t>
    </rPh>
    <rPh sb="12" eb="13">
      <t>チ</t>
    </rPh>
    <rPh sb="14" eb="16">
      <t>コウシン</t>
    </rPh>
    <phoneticPr fontId="2"/>
  </si>
  <si>
    <t>・色配列の異なる色をカウントする</t>
    <rPh sb="1" eb="2">
      <t>イロ</t>
    </rPh>
    <rPh sb="2" eb="4">
      <t>ハイレツ</t>
    </rPh>
    <rPh sb="5" eb="6">
      <t>コト</t>
    </rPh>
    <rPh sb="8" eb="9">
      <t>イロ</t>
    </rPh>
    <phoneticPr fontId="2"/>
  </si>
  <si>
    <t xml:space="preserve">   色配列を先頭から参照するとき</t>
    <rPh sb="3" eb="4">
      <t>イロ</t>
    </rPh>
    <rPh sb="7" eb="9">
      <t>セントウ</t>
    </rPh>
    <rPh sb="11" eb="13">
      <t>サンショウ</t>
    </rPh>
    <phoneticPr fontId="2"/>
  </si>
  <si>
    <t xml:space="preserve">   ベースインデックス(nBgn)が色配列のサイズ以内の間、処理を行う</t>
    <rPh sb="19" eb="20">
      <t>イロ</t>
    </rPh>
    <rPh sb="20" eb="22">
      <t>ハイレツ</t>
    </rPh>
    <rPh sb="26" eb="28">
      <t>イナイ</t>
    </rPh>
    <rPh sb="29" eb="30">
      <t>アイダ</t>
    </rPh>
    <rPh sb="31" eb="33">
      <t>ショリ</t>
    </rPh>
    <rPh sb="34" eb="35">
      <t>オコナ</t>
    </rPh>
    <phoneticPr fontId="2"/>
  </si>
  <si>
    <t xml:space="preserve">      色配列のサイズ-1 以内 かつ</t>
    <rPh sb="6" eb="7">
      <t>イロ</t>
    </rPh>
    <rPh sb="7" eb="9">
      <t>ハイレツ</t>
    </rPh>
    <rPh sb="16" eb="18">
      <t>イナイ</t>
    </rPh>
    <phoneticPr fontId="2"/>
  </si>
  <si>
    <t xml:space="preserve">      色配列[フォワードインデックス]==色配列[フォワードインデックス＋１]</t>
    <rPh sb="6" eb="7">
      <t>イロ</t>
    </rPh>
    <rPh sb="7" eb="9">
      <t>ハイレツ</t>
    </rPh>
    <rPh sb="24" eb="25">
      <t>イロ</t>
    </rPh>
    <rPh sb="25" eb="27">
      <t>ハイレツ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</si>
  <si>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</si>
  <si>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</si>
  <si>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</si>
  <si>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</si>
  <si>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</si>
  <si>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</si>
  <si>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</si>
  <si>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</si>
  <si>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</si>
  <si>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</si>
  <si>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</si>
  <si>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</si>
  <si>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</si>
  <si>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</si>
  <si>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</si>
  <si>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</si>
  <si>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</si>
  <si>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</si>
  <si>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</si>
  <si>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</si>
  <si>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</si>
  <si>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</si>
  <si>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</si>
  <si>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</si>
  <si>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</si>
  <si>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</si>
  <si>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</si>
  <si>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</si>
  <si>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</si>
  <si>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</si>
  <si>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</si>
  <si>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</si>
  <si>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</si>
  <si>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</si>
  <si>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</si>
  <si>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 xml:space="preserve">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</t>
    </r>
    <rPh sb="5" eb="7">
      <t>カカク</t>
    </rPh>
    <rPh sb="16" eb="18">
      <t>コスウ</t>
    </rPh>
    <rPh sb="30" eb="32">
      <t>ドウイツ</t>
    </rPh>
    <rPh sb="32" eb="34">
      <t>カカク</t>
    </rPh>
    <rPh sb="35" eb="37">
      <t>カカク</t>
    </rPh>
    <rPh sb="43" eb="45">
      <t>バアイ</t>
    </rPh>
    <rPh sb="46" eb="48">
      <t>コスウ</t>
    </rPh>
    <rPh sb="49" eb="51">
      <t>コスウ</t>
    </rPh>
    <rPh sb="58" eb="60">
      <t>カサン</t>
    </rPh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</si>
  <si>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</si>
  <si>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</si>
  <si>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</si>
  <si>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</si>
  <si>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</si>
  <si>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</si>
  <si>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</si>
  <si>
    <t>L(i) := A1, A2, ..., Ai−1のGCD</t>
  </si>
  <si>
    <t>R(i) :=  Ai+1, ..., AnのGCD</t>
  </si>
  <si>
    <r>
      <t>・2≦N≦10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10" eb="12">
      <t>コスウ</t>
    </rPh>
    <rPh sb="13" eb="14">
      <t>スウ</t>
    </rPh>
    <rPh sb="19" eb="21">
      <t>サンシュツ</t>
    </rPh>
    <rPh sb="26" eb="28">
      <t>カイホウ</t>
    </rPh>
    <rPh sb="29" eb="30">
      <t>オモ</t>
    </rPh>
    <phoneticPr fontId="2"/>
  </si>
  <si>
    <t>● i 桁目までの和の符号が欲しい符号と同じ場合、i 番目の数を変更する必要はない。</t>
  </si>
  <si>
    <t xml:space="preserve">すでに i 番目までの和の符号が合致しているのに i 番目の数を変更して最適解が得られるなら、i 番目の数に対する変更を </t>
    <phoneticPr fontId="2"/>
  </si>
  <si>
    <t>i + 1 番目の数に持ってくることで同じ最適解が得られるからである</t>
    <phoneticPr fontId="2"/>
  </si>
  <si>
    <t>・文字の変換表がどのように作成されれば、変換可能であるのか解からなかった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</si>
  <si>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・偶数列、奇数列のそれぞれにおいて、最頻値、出現回数と2番目の最頻値、出現回数を取得し、奇数列と偶数列の最頻値が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</si>
  <si>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等しい場合、上記の組合せで、書換回数の最小値を算出することが解からなかった</t>
    <rPh sb="6" eb="8">
      <t>ジョウキ</t>
    </rPh>
    <rPh sb="9" eb="11">
      <t>クミアワ</t>
    </rPh>
    <phoneticPr fontId="2"/>
  </si>
  <si>
    <t>・自分の解法の通り実施したところ、周辺座標の中で、高さ≠０の座標が１個しかないテストケースがあり、そのケースのみ誤解答した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</si>
  <si>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・偶数列、奇数列のそれぞれにおいて、最頻値、出現回数と2番目の最頻値、出現回数を取得し、奇数列と偶数列の最頻値が</t>
    <phoneticPr fontId="2"/>
  </si>
  <si>
    <t>等しい場合、上記の組合せで、書換回数の最小値を算出する</t>
    <phoneticPr fontId="2"/>
  </si>
  <si>
    <t>・周辺座標の中で、高さ＝０の座標も無視せず、｢矛盾しないかチェックする｣という解説を参照し、周辺座標の高さ＝０の場合は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</si>
  <si>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・ソートされた配列内で、検索キー以上の要素の一番左のイテレータを返す lower_ bound を使用する (２分索引)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</si>
  <si>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>・木の高さ配列を小さい順にソート・木の高さ配列を、先頭からK本(選択した本数)ずつ見て行き、高さの差の min を求める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</si>
  <si>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N個のコマがあるため、N-1 箇所の区切りを入れることができる (区切りを入れた区間はコマを移動しない)</t>
    <rPh sb="1" eb="2">
      <t>コ</t>
    </rPh>
    <rPh sb="15" eb="17">
      <t>カショ</t>
    </rPh>
    <rPh sb="18" eb="20">
      <t>クギ</t>
    </rPh>
    <rPh sb="22" eb="23">
      <t>イ</t>
    </rPh>
    <phoneticPr fontId="2"/>
  </si>
  <si>
    <t>・N個のコマが存在し、N-1 箇所の区切りを入れることが可能なため、距離が大きい順に N-1 個を取り除いた、残りの距離の和が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</si>
  <si>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求める解となる (区切りを入れた区間はコマを移動しない)</t>
    <phoneticPr fontId="2"/>
  </si>
  <si>
    <t>・map&lt;価格, 個数&gt;で実装したが、同一の価格が存在し、mapは重複キー許さないため、multimap&lt;価格, 個数&gt; を使用して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</si>
  <si>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実装をし直した</t>
  </si>
  <si>
    <t>なぜならば、価格[n1] == 価格[n2] としたとき、map[ 価格[n1] ] = 個数[n1]; を実行し、次に</t>
    <rPh sb="6" eb="8">
      <t>カカク</t>
    </rPh>
    <rPh sb="16" eb="18">
      <t>カカク</t>
    </rPh>
    <rPh sb="34" eb="36">
      <t>カカク</t>
    </rPh>
    <rPh sb="45" eb="47">
      <t>コスウ</t>
    </rPh>
    <rPh sb="54" eb="56">
      <t>ジッコウ</t>
    </rPh>
    <phoneticPr fontId="2"/>
  </si>
  <si>
    <t xml:space="preserve"> map[ 価格[n2] ] = 個数[n2]; を実行しても、mapに挿入されないため</t>
  </si>
  <si>
    <t>先頭からの "AC" の文字をカウントして配列に持たせ、Q個の質問に対しては計算で算出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</si>
  <si>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最も小さな容量の交通機関に合わせて（すべての交通機関を最小の交通機関にする）計算し（１つの交通機関の使用時間）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</si>
  <si>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そこに４分を加算する（４つ分の交通機関の使用時間）</t>
    <rPh sb="4" eb="5">
      <t>プン</t>
    </rPh>
    <rPh sb="6" eb="8">
      <t>カサン</t>
    </rPh>
    <rPh sb="13" eb="14">
      <t>ブン</t>
    </rPh>
    <rPh sb="15" eb="17">
      <t>コウツウ</t>
    </rPh>
    <rPh sb="17" eb="19">
      <t>キカン</t>
    </rPh>
    <rPh sb="20" eb="22">
      <t>シヨウ</t>
    </rPh>
    <rPh sb="22" eb="24">
      <t>ジカン</t>
    </rPh>
    <phoneticPr fontId="2"/>
  </si>
  <si>
    <t>（ABC123_C_FiveTransportations_TLE.cpp）では移動時間に比例する計算時間がかかり、TLE となる</t>
    <rPh sb="40" eb="42">
      <t>イドウ</t>
    </rPh>
    <rPh sb="42" eb="44">
      <t>ジカン</t>
    </rPh>
    <phoneticPr fontId="2"/>
  </si>
  <si>
    <t>そこで、各交通機関の容量を直前の交通機関の大きさに合わせ、各都市への移動時間を計算し、移動のトータル時間を計算した</t>
  </si>
  <si>
    <t>（各都市間へ同時に移動しているため移動時間の差分を加算）</t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</si>
  <si>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</si>
  <si>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ことを考えると、きれいな 26進法を考えることが出来る</t>
    <rPh sb="3" eb="4">
      <t>カンガ</t>
    </rPh>
    <rPh sb="15" eb="17">
      <t>シンホウ</t>
    </rPh>
    <rPh sb="18" eb="19">
      <t>カンガ</t>
    </rPh>
    <rPh sb="24" eb="26">
      <t>デキ</t>
    </rPh>
    <phoneticPr fontId="2"/>
  </si>
  <si>
    <t>・N を1から考える (1-indexed) のではなく、0 から考える (0-indexed )ため、Nをデクリメントして、0 ～ 25 を "a"～"z" に変換する</t>
    <rPh sb="7" eb="8">
      <t>カンガ</t>
    </rPh>
    <rPh sb="33" eb="34">
      <t>カンガ</t>
    </rPh>
    <phoneticPr fontId="2"/>
  </si>
  <si>
    <t xml:space="preserve">・N を10進法→26進法に変換するとき、26で割った余りが 0 のとき、商をデクリメントして、商から 26 を借りてきて、1～26 を 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</si>
  <si>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"a～"z" に変換した</t>
    <phoneticPr fontId="2"/>
  </si>
  <si>
    <t>・行と列のsizeの和だけ全探索し、その添え字の大きさにより、行と列に分解した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</si>
  <si>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・模範解答の通り、行と列を最初から分離させたら、行の添え字が実際の格納サイズを超えて検索したので、列のサイズに正しくない値が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</si>
  <si>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・選んだ行、列のマスを塗り替えるロジックを作成したが、模範解答では選択した行、列の塗り替えは行わず、黒マス("#")カウントアップを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</si>
  <si>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スキップした</t>
    <phoneticPr fontId="2"/>
  </si>
  <si>
    <t>考えなかったため</t>
    <rPh sb="0" eb="1">
      <t>カンガ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</si>
  <si>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 {an | (n=1～19)} の数列でしか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</si>
  <si>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 を考え、同じ余りが出現したら、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</si>
  <si>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以下循環すると考える</t>
  </si>
  <si>
    <t>同一の余りが出る</t>
    <rPh sb="0" eb="2">
      <t>ドウイツ</t>
    </rPh>
    <rPh sb="3" eb="4">
      <t>アマ</t>
    </rPh>
    <rPh sb="6" eb="7">
      <t>デ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</si>
  <si>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を考え、漸化式 an+1=(7an+7) % K で数列 {an} を作成し、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</si>
  <si>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t>まで、ループを廻し その中で 余り== 0 になった時点で、数列の項番をreturn した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</si>
  <si>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 xml:space="preserve">改善点・修正点 ポイント </t>
    <rPh sb="0" eb="3">
      <t>カイゼンテン</t>
    </rPh>
    <rPh sb="4" eb="6">
      <t>シュウセイ</t>
    </rPh>
    <rPh sb="6" eb="7">
      <t>テン</t>
    </rPh>
    <phoneticPr fontId="2"/>
  </si>
  <si>
    <t>一回、リーダを決定し、全ての向く方向を変える人数をカウントしたら、次はリーダを変更しても、全ての向く方向を変える人数を</t>
    <rPh sb="11" eb="12">
      <t>スベ</t>
    </rPh>
    <phoneticPr fontId="2"/>
  </si>
  <si>
    <t>カウントしなくともよい</t>
    <phoneticPr fontId="2"/>
  </si>
  <si>
    <t>一番左をリーダとして、全ての向く方向を変える人数をカウントする</t>
    <rPh sb="0" eb="2">
      <t>イチバン</t>
    </rPh>
    <rPh sb="2" eb="3">
      <t>ヒダリ</t>
    </rPh>
    <rPh sb="11" eb="12">
      <t>スベ</t>
    </rPh>
    <rPh sb="14" eb="15">
      <t>ム</t>
    </rPh>
    <rPh sb="16" eb="18">
      <t>ホウコウ</t>
    </rPh>
    <rPh sb="19" eb="20">
      <t>カ</t>
    </rPh>
    <rPh sb="22" eb="24">
      <t>ニンズ</t>
    </rPh>
    <phoneticPr fontId="2"/>
  </si>
  <si>
    <t>次に左から二番目をリーダとして、参照すべきは、リーダの左の人の向きと、リーダ自身の向き(リーダはどちらを向いていてもよいため)</t>
    <rPh sb="0" eb="1">
      <t>ツギ</t>
    </rPh>
    <rPh sb="2" eb="3">
      <t>ヒダリ</t>
    </rPh>
    <rPh sb="5" eb="6">
      <t>ニ</t>
    </rPh>
    <rPh sb="6" eb="8">
      <t>バンメ</t>
    </rPh>
    <rPh sb="16" eb="18">
      <t>サンショウ</t>
    </rPh>
    <rPh sb="27" eb="28">
      <t>ヒダリ</t>
    </rPh>
    <rPh sb="29" eb="30">
      <t>ヒト</t>
    </rPh>
    <rPh sb="31" eb="32">
      <t>ム</t>
    </rPh>
    <rPh sb="38" eb="40">
      <t>ジシン</t>
    </rPh>
    <rPh sb="41" eb="42">
      <t>ム</t>
    </rPh>
    <rPh sb="52" eb="53">
      <t>ム</t>
    </rPh>
    <phoneticPr fontId="2"/>
  </si>
  <si>
    <t>・正解者以外全員からポイント 1 引くというのはコストがかかる</t>
    <rPh sb="1" eb="3">
      <t>セイカイ</t>
    </rPh>
    <rPh sb="3" eb="4">
      <t>シャ</t>
    </rPh>
    <rPh sb="4" eb="6">
      <t>イガイ</t>
    </rPh>
    <rPh sb="6" eb="8">
      <t>ゼンイン</t>
    </rPh>
    <rPh sb="17" eb="18">
      <t>ヒ</t>
    </rPh>
    <phoneticPr fontId="2"/>
  </si>
  <si>
    <t xml:space="preserve"> 正解者のみポイント 1 加算するという方法に変更する。そのためには、スタート時に持つべきポイントを計算して、持たせればよい</t>
    <rPh sb="1" eb="4">
      <t>セイカイシャ</t>
    </rPh>
    <rPh sb="13" eb="15">
      <t>カサン</t>
    </rPh>
    <rPh sb="20" eb="22">
      <t>ホウホウ</t>
    </rPh>
    <rPh sb="23" eb="25">
      <t>ヘンコウ</t>
    </rPh>
    <rPh sb="39" eb="40">
      <t>ジ</t>
    </rPh>
    <rPh sb="41" eb="42">
      <t>モ</t>
    </rPh>
    <rPh sb="50" eb="52">
      <t>ケイサン</t>
    </rPh>
    <rPh sb="55" eb="56">
      <t>モ</t>
    </rPh>
    <phoneticPr fontId="2"/>
  </si>
  <si>
    <t xml:space="preserve">  スタート時に持つべきポイントは 最初に持たせるポイント K －問題数 Q となる</t>
    <rPh sb="6" eb="7">
      <t>ジ</t>
    </rPh>
    <rPh sb="8" eb="9">
      <t>モ</t>
    </rPh>
    <rPh sb="18" eb="20">
      <t>サイショ</t>
    </rPh>
    <rPh sb="21" eb="22">
      <t>モ</t>
    </rPh>
    <rPh sb="33" eb="35">
      <t>モンダイ</t>
    </rPh>
    <rPh sb="35" eb="36">
      <t>スウ</t>
    </rPh>
    <phoneticPr fontId="2"/>
  </si>
  <si>
    <t>・B[i]&lt;A[i] のとき A[i] ← B[i]、</t>
    <phoneticPr fontId="2"/>
  </si>
  <si>
    <t xml:space="preserve">  B[i]＜A[i＋1] のとき A[i＋1] ← B[i]  これを B の要素数分行う</t>
    <rPh sb="40" eb="42">
      <t>ヨウソ</t>
    </rPh>
    <rPh sb="42" eb="43">
      <t>スウ</t>
    </rPh>
    <rPh sb="43" eb="44">
      <t>ブン</t>
    </rPh>
    <rPh sb="44" eb="45">
      <t>オコナ</t>
    </rPh>
    <phoneticPr fontId="2"/>
  </si>
  <si>
    <t>・素数判定の数値に対して、２乗根をとり、</t>
    <rPh sb="1" eb="3">
      <t>ソスウ</t>
    </rPh>
    <rPh sb="3" eb="5">
      <t>ハンテイ</t>
    </rPh>
    <rPh sb="6" eb="8">
      <t>スウチ</t>
    </rPh>
    <rPh sb="9" eb="10">
      <t>タイ</t>
    </rPh>
    <rPh sb="14" eb="16">
      <t>ジョウコン</t>
    </rPh>
    <phoneticPr fontId="2"/>
  </si>
  <si>
    <t xml:space="preserve">  素数判定数値を２～２乗根以下の最大正数 までで mod をとって、割り切れなければ素数である</t>
    <phoneticPr fontId="2"/>
  </si>
  <si>
    <t xml:space="preserve">  数列の１回ループで算出可能。そのために現在の要素までで最小の数値を設定し、参照する必要がある</t>
    <rPh sb="2" eb="4">
      <t>スウレツ</t>
    </rPh>
    <rPh sb="6" eb="7">
      <t>カイ</t>
    </rPh>
    <rPh sb="11" eb="13">
      <t>サンシュツ</t>
    </rPh>
    <rPh sb="13" eb="15">
      <t>カノウ</t>
    </rPh>
    <rPh sb="21" eb="23">
      <t>ゲンザイ</t>
    </rPh>
    <rPh sb="24" eb="26">
      <t>ヨウソ</t>
    </rPh>
    <rPh sb="29" eb="31">
      <t>サイショウ</t>
    </rPh>
    <rPh sb="32" eb="34">
      <t>スウチ</t>
    </rPh>
    <rPh sb="35" eb="37">
      <t>セッテイ</t>
    </rPh>
    <rPh sb="39" eb="41">
      <t>サンショウ</t>
    </rPh>
    <rPh sb="43" eb="45">
      <t>ヒツヨウ</t>
    </rPh>
    <phoneticPr fontId="2"/>
  </si>
  <si>
    <t>・数列において、現在の要素が、0番目の要素～現在の1つ前の要素までで、最小であれば、条件を満たした個数となる</t>
    <rPh sb="1" eb="3">
      <t>スウレツ</t>
    </rPh>
    <rPh sb="8" eb="10">
      <t>ゲンザイ</t>
    </rPh>
    <rPh sb="11" eb="13">
      <t>ヨウソ</t>
    </rPh>
    <rPh sb="16" eb="18">
      <t>バンメ</t>
    </rPh>
    <rPh sb="19" eb="21">
      <t>ヨウソ</t>
    </rPh>
    <rPh sb="22" eb="24">
      <t>ゲンザイ</t>
    </rPh>
    <rPh sb="27" eb="28">
      <t>マエ</t>
    </rPh>
    <rPh sb="29" eb="31">
      <t>ヨウソ</t>
    </rPh>
    <rPh sb="35" eb="37">
      <t>サイショウ</t>
    </rPh>
    <rPh sb="42" eb="44">
      <t>ジョウケン</t>
    </rPh>
    <rPh sb="45" eb="46">
      <t>ミ</t>
    </rPh>
    <rPh sb="49" eb="51">
      <t>コスウ</t>
    </rPh>
    <phoneticPr fontId="2"/>
  </si>
  <si>
    <t>・正答数は１回目に "AC" を出した問題数である。２回目以降の "AC" は何もしない</t>
    <rPh sb="1" eb="3">
      <t>セイトウ</t>
    </rPh>
    <rPh sb="3" eb="4">
      <t>スウ</t>
    </rPh>
    <rPh sb="6" eb="8">
      <t>カイメ</t>
    </rPh>
    <rPh sb="16" eb="17">
      <t>ダ</t>
    </rPh>
    <rPh sb="19" eb="21">
      <t>モンダイ</t>
    </rPh>
    <rPh sb="21" eb="22">
      <t>スウ</t>
    </rPh>
    <rPh sb="27" eb="29">
      <t>カイメ</t>
    </rPh>
    <rPh sb="29" eb="31">
      <t>イコウ</t>
    </rPh>
    <rPh sb="39" eb="40">
      <t>ナニ</t>
    </rPh>
    <phoneticPr fontId="2"/>
  </si>
  <si>
    <t>・ペナルティ数は １回目に "AC" を出すまでに出した "WA" の数である</t>
    <rPh sb="6" eb="7">
      <t>スウ</t>
    </rPh>
    <rPh sb="10" eb="12">
      <t>カイメ</t>
    </rPh>
    <rPh sb="20" eb="21">
      <t>ダ</t>
    </rPh>
    <rPh sb="25" eb="26">
      <t>ダ</t>
    </rPh>
    <rPh sb="35" eb="36">
      <t>カズ</t>
    </rPh>
    <phoneticPr fontId="2"/>
  </si>
  <si>
    <t xml:space="preserve">  １回目の "AC" を出した以降の同一問題の "WA" はペナルティ数にならない、かつ</t>
    <rPh sb="3" eb="5">
      <t>カイメ</t>
    </rPh>
    <rPh sb="13" eb="14">
      <t>ダ</t>
    </rPh>
    <rPh sb="16" eb="18">
      <t>イコウ</t>
    </rPh>
    <rPh sb="19" eb="21">
      <t>ドウイツ</t>
    </rPh>
    <rPh sb="21" eb="23">
      <t>モンダイ</t>
    </rPh>
    <rPh sb="36" eb="37">
      <t>スウ</t>
    </rPh>
    <phoneticPr fontId="2"/>
  </si>
  <si>
    <t xml:space="preserve">  １回も "AC" を出さない問題の "WA" はペナルティ数にならない</t>
    <phoneticPr fontId="2"/>
  </si>
  <si>
    <t>・順列を発生させて、P列 と Q列 の辞書順の順番を確定させる</t>
    <rPh sb="1" eb="3">
      <t>ジュンレツ</t>
    </rPh>
    <rPh sb="4" eb="6">
      <t>ハッセイ</t>
    </rPh>
    <rPh sb="11" eb="12">
      <t>レツ</t>
    </rPh>
    <rPh sb="16" eb="17">
      <t>レツ</t>
    </rPh>
    <rPh sb="19" eb="21">
      <t>ジショ</t>
    </rPh>
    <rPh sb="21" eb="22">
      <t>ジュン</t>
    </rPh>
    <rPh sb="23" eb="25">
      <t>ジュンバン</t>
    </rPh>
    <rPh sb="26" eb="28">
      <t>カクテイ</t>
    </rPh>
    <phoneticPr fontId="2"/>
  </si>
  <si>
    <t xml:space="preserve">  P列 と Q列 の辞書順順番が確定したら、順列発生のループを抜け、P、Q列の順番の差分の絶対値を算出する</t>
    <rPh sb="3" eb="4">
      <t>レツ</t>
    </rPh>
    <rPh sb="8" eb="9">
      <t>レツ</t>
    </rPh>
    <rPh sb="11" eb="13">
      <t>ジショ</t>
    </rPh>
    <rPh sb="13" eb="14">
      <t>ジュン</t>
    </rPh>
    <rPh sb="14" eb="16">
      <t>ジュンバン</t>
    </rPh>
    <rPh sb="17" eb="19">
      <t>カクテイ</t>
    </rPh>
    <rPh sb="23" eb="25">
      <t>ジュンレツ</t>
    </rPh>
    <rPh sb="25" eb="27">
      <t>ハッセイ</t>
    </rPh>
    <rPh sb="32" eb="33">
      <t>ヌ</t>
    </rPh>
    <rPh sb="38" eb="39">
      <t>レツ</t>
    </rPh>
    <rPh sb="40" eb="42">
      <t>ジュンバン</t>
    </rPh>
    <rPh sb="43" eb="45">
      <t>サブン</t>
    </rPh>
    <rPh sb="46" eb="49">
      <t>ゼッタイチ</t>
    </rPh>
    <rPh sb="50" eb="52">
      <t>サンシュツ</t>
    </rPh>
    <phoneticPr fontId="2"/>
  </si>
  <si>
    <t>・具材の価値の小さい順に、新たな具材を生成させて行き(価値の平均をとって行き)、最後に、生成された具材と一番価値の大きい具材</t>
    <rPh sb="1" eb="2">
      <t>グ</t>
    </rPh>
    <rPh sb="2" eb="3">
      <t>ザイ</t>
    </rPh>
    <rPh sb="4" eb="6">
      <t>カチ</t>
    </rPh>
    <rPh sb="7" eb="8">
      <t>チイ</t>
    </rPh>
    <rPh sb="10" eb="11">
      <t>ジュン</t>
    </rPh>
    <rPh sb="13" eb="14">
      <t>アラ</t>
    </rPh>
    <rPh sb="16" eb="17">
      <t>グ</t>
    </rPh>
    <rPh sb="17" eb="18">
      <t>ザイ</t>
    </rPh>
    <rPh sb="19" eb="21">
      <t>セイセイ</t>
    </rPh>
    <rPh sb="24" eb="25">
      <t>イ</t>
    </rPh>
    <rPh sb="27" eb="29">
      <t>カチ</t>
    </rPh>
    <rPh sb="30" eb="32">
      <t>ヘイキン</t>
    </rPh>
    <rPh sb="36" eb="37">
      <t>イ</t>
    </rPh>
    <rPh sb="44" eb="46">
      <t>セイセイ</t>
    </rPh>
    <rPh sb="49" eb="50">
      <t>グ</t>
    </rPh>
    <rPh sb="50" eb="51">
      <t>ザイ</t>
    </rPh>
    <rPh sb="52" eb="54">
      <t>イチバン</t>
    </rPh>
    <rPh sb="54" eb="56">
      <t>カチ</t>
    </rPh>
    <rPh sb="57" eb="58">
      <t>オオ</t>
    </rPh>
    <rPh sb="60" eb="61">
      <t>グ</t>
    </rPh>
    <rPh sb="61" eb="62">
      <t>ザイ</t>
    </rPh>
    <phoneticPr fontId="2"/>
  </si>
  <si>
    <t>とを生成する</t>
    <phoneticPr fontId="2"/>
  </si>
  <si>
    <t>・登校順配列を作成する。登校順番をインデックスにして、各要素に出席番号を持たせる</t>
    <rPh sb="1" eb="3">
      <t>トウコウ</t>
    </rPh>
    <rPh sb="3" eb="4">
      <t>ジュン</t>
    </rPh>
    <rPh sb="4" eb="6">
      <t>ハイレツ</t>
    </rPh>
    <rPh sb="7" eb="9">
      <t>サクセイ</t>
    </rPh>
    <phoneticPr fontId="2"/>
  </si>
  <si>
    <t>・順列は next_permutation で作成。最小の並び順は iota で作成</t>
    <rPh sb="1" eb="3">
      <t>ジュンレツ</t>
    </rPh>
    <rPh sb="23" eb="25">
      <t>サクセイ</t>
    </rPh>
    <rPh sb="26" eb="28">
      <t>サイショウ</t>
    </rPh>
    <rPh sb="29" eb="30">
      <t>ナラ</t>
    </rPh>
    <rPh sb="31" eb="32">
      <t>ジュン</t>
    </rPh>
    <rPh sb="40" eb="42">
      <t>サクセイ</t>
    </rPh>
    <phoneticPr fontId="2"/>
  </si>
  <si>
    <t>・順列を作成させながら、隣接する町の距離を算出し、累積する</t>
    <rPh sb="1" eb="3">
      <t>ジュンレツ</t>
    </rPh>
    <rPh sb="4" eb="6">
      <t>サクセイ</t>
    </rPh>
    <rPh sb="12" eb="14">
      <t>リンセツ</t>
    </rPh>
    <rPh sb="16" eb="17">
      <t>マチ</t>
    </rPh>
    <rPh sb="18" eb="20">
      <t>キョリ</t>
    </rPh>
    <rPh sb="21" eb="23">
      <t>サンシュツ</t>
    </rPh>
    <rPh sb="25" eb="27">
      <t>ルイセキ</t>
    </rPh>
    <phoneticPr fontId="2"/>
  </si>
  <si>
    <t xml:space="preserve">  累積した距離を 順列数(n!) で割る</t>
    <rPh sb="2" eb="4">
      <t>ルイセキ</t>
    </rPh>
    <rPh sb="6" eb="8">
      <t>キョリ</t>
    </rPh>
    <rPh sb="10" eb="12">
      <t>ジュンレツ</t>
    </rPh>
    <rPh sb="12" eb="13">
      <t>スウ</t>
    </rPh>
    <rPh sb="19" eb="20">
      <t>ワ</t>
    </rPh>
    <phoneticPr fontId="2"/>
  </si>
  <si>
    <t>・正数列{An} の vector から set に設定して、vector と set の 要素数が等しいか否かを判定する</t>
    <rPh sb="1" eb="3">
      <t>セイスウ</t>
    </rPh>
    <rPh sb="3" eb="4">
      <t>レツ</t>
    </rPh>
    <rPh sb="26" eb="28">
      <t>セッテイ</t>
    </rPh>
    <rPh sb="46" eb="48">
      <t>ヨウソ</t>
    </rPh>
    <rPh sb="48" eb="49">
      <t>スウ</t>
    </rPh>
    <rPh sb="50" eb="51">
      <t>ヒト</t>
    </rPh>
    <rPh sb="54" eb="55">
      <t>イナ</t>
    </rPh>
    <rPh sb="57" eb="59">
      <t>ハンテイ</t>
    </rPh>
    <phoneticPr fontId="2"/>
  </si>
  <si>
    <t>・税率10％ から税抜価格の配列(サイズ10) を作成(税抜価格の下一桁が０～９)し、それぞれについて、税率８％で税額を計算し</t>
    <rPh sb="1" eb="3">
      <t>ゼイリツ</t>
    </rPh>
    <rPh sb="9" eb="10">
      <t>ゼイ</t>
    </rPh>
    <rPh sb="10" eb="11">
      <t>ヌ</t>
    </rPh>
    <rPh sb="11" eb="13">
      <t>カカク</t>
    </rPh>
    <rPh sb="14" eb="16">
      <t>ハイレツ</t>
    </rPh>
    <rPh sb="25" eb="27">
      <t>サクセイ</t>
    </rPh>
    <rPh sb="28" eb="30">
      <t>ゼイヌキ</t>
    </rPh>
    <rPh sb="30" eb="32">
      <t>カカク</t>
    </rPh>
    <rPh sb="33" eb="34">
      <t>シモ</t>
    </rPh>
    <rPh sb="34" eb="36">
      <t>ヒトケタ</t>
    </rPh>
    <rPh sb="52" eb="54">
      <t>ゼイリツ</t>
    </rPh>
    <rPh sb="57" eb="59">
      <t>ゼイガク</t>
    </rPh>
    <rPh sb="60" eb="62">
      <t>ケイサン</t>
    </rPh>
    <phoneticPr fontId="2"/>
  </si>
  <si>
    <t xml:space="preserve">  税率8％の税額が等しいものを探す</t>
    <rPh sb="16" eb="17">
      <t>サガ</t>
    </rPh>
    <phoneticPr fontId="2"/>
  </si>
  <si>
    <t>・正整数Ｌから、立方体の一辺の長さを求め、それを 3乗する</t>
    <rPh sb="1" eb="2">
      <t>セイ</t>
    </rPh>
    <rPh sb="2" eb="4">
      <t>セイスウ</t>
    </rPh>
    <rPh sb="8" eb="11">
      <t>リッポウタイ</t>
    </rPh>
    <rPh sb="12" eb="14">
      <t>イッペン</t>
    </rPh>
    <rPh sb="15" eb="16">
      <t>ナガ</t>
    </rPh>
    <rPh sb="18" eb="19">
      <t>モト</t>
    </rPh>
    <rPh sb="26" eb="27">
      <t>ジョウ</t>
    </rPh>
    <phoneticPr fontId="2"/>
  </si>
  <si>
    <t>・湖の周囲の家々の中で、ある家と隣の家の距離が最大のものを確定し、それを湖の周囲の距離から引く</t>
    <rPh sb="1" eb="2">
      <t>ミズウミ</t>
    </rPh>
    <rPh sb="3" eb="5">
      <t>シュウイ</t>
    </rPh>
    <rPh sb="6" eb="8">
      <t>イエイエ</t>
    </rPh>
    <rPh sb="9" eb="10">
      <t>ナカ</t>
    </rPh>
    <rPh sb="14" eb="15">
      <t>イエ</t>
    </rPh>
    <rPh sb="16" eb="17">
      <t>トナリ</t>
    </rPh>
    <rPh sb="18" eb="19">
      <t>イエ</t>
    </rPh>
    <rPh sb="20" eb="22">
      <t>キョリ</t>
    </rPh>
    <rPh sb="23" eb="25">
      <t>サイダイ</t>
    </rPh>
    <rPh sb="29" eb="31">
      <t>カクテイ</t>
    </rPh>
    <rPh sb="36" eb="37">
      <t>ミズウミ</t>
    </rPh>
    <rPh sb="38" eb="40">
      <t>シュウイ</t>
    </rPh>
    <rPh sb="41" eb="43">
      <t>キョリ</t>
    </rPh>
    <rPh sb="45" eb="46">
      <t>ヒ</t>
    </rPh>
    <phoneticPr fontId="2"/>
  </si>
  <si>
    <t xml:space="preserve">  MAX階段より２段以上低い階段を検知した時点で、単調非減少にできない (”No" を return)</t>
    <rPh sb="5" eb="7">
      <t>カイダン</t>
    </rPh>
    <rPh sb="10" eb="11">
      <t>ダン</t>
    </rPh>
    <rPh sb="11" eb="13">
      <t>イジョウ</t>
    </rPh>
    <rPh sb="13" eb="14">
      <t>ヒク</t>
    </rPh>
    <rPh sb="15" eb="17">
      <t>カイダン</t>
    </rPh>
    <rPh sb="18" eb="20">
      <t>ケンチ</t>
    </rPh>
    <rPh sb="22" eb="24">
      <t>ジテン</t>
    </rPh>
    <phoneticPr fontId="2"/>
  </si>
  <si>
    <t xml:space="preserve">  最終要素まで参照し、MAX階段より２段以上低い階段を検知しなかった場合、単調非減少にできる (”Yes" を return)</t>
    <rPh sb="2" eb="4">
      <t>サイシュウ</t>
    </rPh>
    <rPh sb="4" eb="6">
      <t>ヨウソ</t>
    </rPh>
    <rPh sb="8" eb="10">
      <t>サンショウ</t>
    </rPh>
    <rPh sb="15" eb="17">
      <t>カイダン</t>
    </rPh>
    <rPh sb="20" eb="21">
      <t>ダン</t>
    </rPh>
    <rPh sb="21" eb="23">
      <t>イジョウ</t>
    </rPh>
    <rPh sb="23" eb="24">
      <t>ヒク</t>
    </rPh>
    <rPh sb="25" eb="27">
      <t>カイダン</t>
    </rPh>
    <rPh sb="28" eb="30">
      <t>ケンチ</t>
    </rPh>
    <rPh sb="35" eb="37">
      <t>バアイ</t>
    </rPh>
    <rPh sb="38" eb="40">
      <t>タンチョウ</t>
    </rPh>
    <rPh sb="40" eb="41">
      <t>ヒ</t>
    </rPh>
    <rPh sb="41" eb="43">
      <t>ゲンショウ</t>
    </rPh>
    <phoneticPr fontId="2"/>
  </si>
  <si>
    <t>・階段配列を先頭要素から最終要素まで順に参照し、現在の参照要素までの MAX階段を順次更新していく</t>
    <rPh sb="1" eb="3">
      <t>カイダン</t>
    </rPh>
    <rPh sb="3" eb="5">
      <t>ハイレツ</t>
    </rPh>
    <rPh sb="6" eb="8">
      <t>セントウ</t>
    </rPh>
    <rPh sb="8" eb="10">
      <t>ヨウソ</t>
    </rPh>
    <rPh sb="12" eb="14">
      <t>サイシュウ</t>
    </rPh>
    <rPh sb="14" eb="16">
      <t>ヨウソ</t>
    </rPh>
    <rPh sb="18" eb="19">
      <t>ジュン</t>
    </rPh>
    <rPh sb="20" eb="22">
      <t>サンショウ</t>
    </rPh>
    <rPh sb="24" eb="26">
      <t>ゲンザイ</t>
    </rPh>
    <rPh sb="27" eb="29">
      <t>サンショウ</t>
    </rPh>
    <rPh sb="29" eb="31">
      <t>ヨウソ</t>
    </rPh>
    <rPh sb="38" eb="40">
      <t>カイダン</t>
    </rPh>
    <rPh sb="41" eb="43">
      <t>ジュンジ</t>
    </rPh>
    <rPh sb="43" eb="45">
      <t>コウシン</t>
    </rPh>
    <phoneticPr fontId="2"/>
  </si>
  <si>
    <t>・3重ループで１～上限数までの３数を決定する</t>
    <rPh sb="2" eb="3">
      <t>ジュウ</t>
    </rPh>
    <rPh sb="9" eb="11">
      <t>ジョウゲン</t>
    </rPh>
    <rPh sb="11" eb="12">
      <t>スウ</t>
    </rPh>
    <rPh sb="16" eb="17">
      <t>スウ</t>
    </rPh>
    <rPh sb="18" eb="20">
      <t>ケッテイ</t>
    </rPh>
    <phoneticPr fontId="2"/>
  </si>
  <si>
    <t xml:space="preserve">  その中の２数の GCD を算出し、算出した GCD と残り１数との GCD を算出する</t>
    <rPh sb="4" eb="5">
      <t>ナカ</t>
    </rPh>
    <rPh sb="7" eb="8">
      <t>スウ</t>
    </rPh>
    <rPh sb="15" eb="17">
      <t>サンシュツ</t>
    </rPh>
    <rPh sb="19" eb="21">
      <t>サンシュツ</t>
    </rPh>
    <rPh sb="29" eb="30">
      <t>ノコ</t>
    </rPh>
    <rPh sb="32" eb="33">
      <t>スウ</t>
    </rPh>
    <rPh sb="41" eb="43">
      <t>サンシュツ</t>
    </rPh>
    <phoneticPr fontId="2"/>
  </si>
  <si>
    <t xml:space="preserve">  算出した GCD を３重ループの中で累積する</t>
    <rPh sb="2" eb="4">
      <t>サンシュツ</t>
    </rPh>
    <rPh sb="13" eb="14">
      <t>ジュウ</t>
    </rPh>
    <rPh sb="18" eb="19">
      <t>ナカ</t>
    </rPh>
    <rPh sb="20" eb="22">
      <t>ルイセキ</t>
    </rPh>
    <phoneticPr fontId="2"/>
  </si>
  <si>
    <t>・上司の配下にスタッフが何人いるかを算出するため、入力された上司番号をキーにして、スタッフ人数配列をインクリメントする</t>
    <rPh sb="1" eb="3">
      <t>ジョウシ</t>
    </rPh>
    <rPh sb="4" eb="6">
      <t>ハイカ</t>
    </rPh>
    <rPh sb="12" eb="14">
      <t>ナンニン</t>
    </rPh>
    <rPh sb="18" eb="20">
      <t>サンシュツ</t>
    </rPh>
    <rPh sb="30" eb="32">
      <t>ジョウシ</t>
    </rPh>
    <rPh sb="32" eb="34">
      <t>バンゴウ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</si>
</sst>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1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26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0" fontId="10" fillId="9" borderId="7" xfId="0" applyFont="1" applyFill="1" applyBorder="1" applyAlignment="1">
      <alignment vertical="center"/>
    </xf>
    <xf numFmtId="0" fontId="10" fillId="9" borderId="0" xfId="0" applyFont="1" applyFill="1" applyBorder="1" applyAlignment="1">
      <alignment vertical="center"/>
    </xf>
    <xf numFmtId="0" fontId="10" fillId="9" borderId="8" xfId="0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10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0" fontId="10" fillId="0" borderId="5" xfId="0" applyNumberFormat="1" applyFont="1" applyFill="1" applyBorder="1" applyAlignment="1">
      <alignment horizontal="center" vertical="center"/>
    </xf>
    <xf numFmtId="9" fontId="20" fillId="0" borderId="5" xfId="0" applyNumberFormat="1" applyFont="1" applyFill="1" applyBorder="1" applyAlignment="1">
      <alignment horizontal="center"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305</xdr:row>
      <xdr:rowOff>33337</xdr:rowOff>
    </xdr:from>
    <xdr:to>
      <xdr:col>16</xdr:col>
      <xdr:colOff>38100</xdr:colOff>
      <xdr:row>305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307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306</xdr:row>
      <xdr:rowOff>35719</xdr:rowOff>
    </xdr:from>
    <xdr:to>
      <xdr:col>21</xdr:col>
      <xdr:colOff>133350</xdr:colOff>
      <xdr:row>307</xdr:row>
      <xdr:rowOff>0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2428875</xdr:colOff>
          <xdr:row>2</xdr:row>
          <xdr:rowOff>9525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://satanic0258.hatenablog.com/entry/2016/04/10/104524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9/02/24/2241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drken1215.hatenablog.com/entry/2019/02/24/224100" TargetMode="External"/><Relationship Id="rId4" Type="http://schemas.openxmlformats.org/officeDocument/2006/relationships/hyperlink" Target="https://qiita.com/ganariya/items/33f1326154b85db465c3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DZ344"/>
  <sheetViews>
    <sheetView tabSelected="1" zoomScaleNormal="100" workbookViewId="0">
      <pane xSplit="7" ySplit="4" topLeftCell="H213" activePane="bottomRight" state="frozen"/>
      <selection pane="topRight" activeCell="H1" sqref="H1"/>
      <selection pane="bottomLeft" activeCell="A5" sqref="A5"/>
      <selection pane="bottomRight" activeCell="J237" sqref="J237"/>
    </sheetView>
  </sheetViews>
  <sheetFormatPr defaultColWidth="2.625" defaultRowHeight="14.25" outlineLevelCol="1" x14ac:dyDescent="0.15"/>
  <cols>
    <col min="1" max="1" width="0.5" style="57" customWidth="1"/>
    <col min="2" max="2" width="3.5" style="96" bestFit="1" customWidth="1"/>
    <col min="3" max="4" width="3.25" style="96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7" bestFit="1" customWidth="1"/>
    <col min="9" max="9" width="6.125" style="96" bestFit="1" customWidth="1"/>
    <col min="10" max="79" width="2.625" style="66" customWidth="1"/>
    <col min="80" max="80" width="5.5" style="66" customWidth="1"/>
    <col min="81" max="85" width="2.625" style="66"/>
    <col min="86" max="16384" width="2.625" style="57"/>
  </cols>
  <sheetData>
    <row r="1" spans="1:130" s="46" customFormat="1" ht="3" customHeight="1" x14ac:dyDescent="0.15">
      <c r="A1" s="43"/>
      <c r="B1" s="44"/>
      <c r="C1" s="44"/>
      <c r="D1" s="44"/>
      <c r="E1" s="43"/>
      <c r="F1" s="43"/>
      <c r="G1" s="43"/>
      <c r="H1" s="45"/>
      <c r="I1" s="44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  <c r="CW1" s="43"/>
      <c r="CX1" s="43"/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 s="43"/>
      <c r="DY1" s="43"/>
      <c r="DZ1" s="43"/>
    </row>
    <row r="2" spans="1:130" s="46" customFormat="1" ht="16.5" x14ac:dyDescent="0.15">
      <c r="A2" s="47"/>
      <c r="B2" s="108" t="s">
        <v>8</v>
      </c>
      <c r="C2" s="113" t="s">
        <v>234</v>
      </c>
      <c r="D2" s="113" t="s">
        <v>235</v>
      </c>
      <c r="E2" s="106" t="s">
        <v>141</v>
      </c>
      <c r="F2" s="107"/>
      <c r="G2" s="107"/>
      <c r="H2" s="110" t="s">
        <v>10</v>
      </c>
      <c r="I2" s="112" t="s">
        <v>11</v>
      </c>
      <c r="J2" s="106" t="s">
        <v>236</v>
      </c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5"/>
      <c r="AK2" s="115"/>
      <c r="AL2" s="115"/>
      <c r="AM2" s="115"/>
      <c r="AN2" s="115"/>
      <c r="AO2" s="115"/>
      <c r="AP2" s="115"/>
      <c r="AQ2" s="115"/>
      <c r="AR2" s="116"/>
      <c r="AS2" s="106" t="s">
        <v>418</v>
      </c>
      <c r="AT2" s="121"/>
      <c r="AU2" s="121"/>
      <c r="AV2" s="121"/>
      <c r="AW2" s="121"/>
      <c r="AX2" s="121"/>
      <c r="AY2" s="121"/>
      <c r="AZ2" s="121"/>
      <c r="BA2" s="121"/>
      <c r="BB2" s="121"/>
      <c r="BC2" s="121"/>
      <c r="BD2" s="121"/>
      <c r="BE2" s="121"/>
      <c r="BF2" s="121"/>
      <c r="BG2" s="121"/>
      <c r="BH2" s="121"/>
      <c r="BI2" s="121"/>
      <c r="BJ2" s="121"/>
      <c r="BK2" s="121"/>
      <c r="BL2" s="121"/>
      <c r="BM2" s="121"/>
      <c r="BN2" s="121"/>
      <c r="BO2" s="121"/>
      <c r="BP2" s="121"/>
      <c r="BQ2" s="121"/>
      <c r="BR2" s="121"/>
      <c r="BS2" s="121"/>
      <c r="BT2" s="121"/>
      <c r="BU2" s="121"/>
      <c r="BV2" s="121"/>
      <c r="BW2" s="121"/>
      <c r="BX2" s="121"/>
      <c r="BY2" s="121"/>
      <c r="BZ2" s="121"/>
      <c r="CA2" s="122"/>
      <c r="CB2" s="104" t="s">
        <v>12</v>
      </c>
      <c r="CC2" s="43"/>
      <c r="CD2" s="43"/>
      <c r="CE2" s="43"/>
      <c r="CF2" s="43"/>
      <c r="CG2" s="43"/>
      <c r="CH2" s="43"/>
      <c r="CI2" s="43"/>
      <c r="CJ2" s="43"/>
      <c r="CK2" s="43"/>
      <c r="CL2" s="43"/>
      <c r="CM2" s="43"/>
      <c r="CN2" s="43"/>
      <c r="CO2" s="43"/>
      <c r="CP2" s="43"/>
      <c r="CQ2" s="43"/>
      <c r="CR2" s="43"/>
      <c r="CS2" s="43"/>
      <c r="CT2" s="43"/>
      <c r="CU2" s="43"/>
      <c r="CV2" s="43"/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</row>
    <row r="3" spans="1:130" s="46" customFormat="1" ht="16.5" x14ac:dyDescent="0.15">
      <c r="A3" s="47"/>
      <c r="B3" s="109"/>
      <c r="C3" s="109"/>
      <c r="D3" s="109"/>
      <c r="E3" s="36" t="s">
        <v>137</v>
      </c>
      <c r="F3" s="36" t="s">
        <v>138</v>
      </c>
      <c r="G3" s="36" t="s">
        <v>9</v>
      </c>
      <c r="H3" s="111"/>
      <c r="I3" s="109"/>
      <c r="J3" s="117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118"/>
      <c r="AC3" s="118"/>
      <c r="AD3" s="118"/>
      <c r="AE3" s="118"/>
      <c r="AF3" s="118"/>
      <c r="AG3" s="118"/>
      <c r="AH3" s="118"/>
      <c r="AI3" s="118"/>
      <c r="AJ3" s="119"/>
      <c r="AK3" s="119"/>
      <c r="AL3" s="119"/>
      <c r="AM3" s="119"/>
      <c r="AN3" s="119"/>
      <c r="AO3" s="119"/>
      <c r="AP3" s="119"/>
      <c r="AQ3" s="119"/>
      <c r="AR3" s="120"/>
      <c r="AS3" s="123"/>
      <c r="AT3" s="124"/>
      <c r="AU3" s="124"/>
      <c r="AV3" s="124"/>
      <c r="AW3" s="124"/>
      <c r="AX3" s="124"/>
      <c r="AY3" s="124"/>
      <c r="AZ3" s="124"/>
      <c r="BA3" s="124"/>
      <c r="BB3" s="124"/>
      <c r="BC3" s="124"/>
      <c r="BD3" s="124"/>
      <c r="BE3" s="124"/>
      <c r="BF3" s="124"/>
      <c r="BG3" s="124"/>
      <c r="BH3" s="124"/>
      <c r="BI3" s="124"/>
      <c r="BJ3" s="124"/>
      <c r="BK3" s="124"/>
      <c r="BL3" s="124"/>
      <c r="BM3" s="124"/>
      <c r="BN3" s="124"/>
      <c r="BO3" s="124"/>
      <c r="BP3" s="124"/>
      <c r="BQ3" s="124"/>
      <c r="BR3" s="124"/>
      <c r="BS3" s="124"/>
      <c r="BT3" s="124"/>
      <c r="BU3" s="124"/>
      <c r="BV3" s="124"/>
      <c r="BW3" s="124"/>
      <c r="BX3" s="124"/>
      <c r="BY3" s="124"/>
      <c r="BZ3" s="124"/>
      <c r="CA3" s="125"/>
      <c r="CB3" s="105"/>
      <c r="CC3" s="43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/>
      <c r="CS3" s="43"/>
      <c r="CT3" s="43"/>
      <c r="CU3" s="43"/>
      <c r="CV3" s="4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</row>
    <row r="4" spans="1:130" s="46" customFormat="1" ht="6" customHeight="1" x14ac:dyDescent="0.15">
      <c r="B4" s="48"/>
      <c r="C4" s="48"/>
      <c r="D4" s="48"/>
      <c r="E4" s="49"/>
      <c r="F4" s="49"/>
      <c r="G4" s="49"/>
      <c r="H4" s="50"/>
      <c r="I4" s="48"/>
      <c r="J4" s="51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3"/>
      <c r="AS4" s="54"/>
      <c r="AT4" s="55"/>
      <c r="AU4" s="55"/>
      <c r="AV4" s="55"/>
      <c r="AW4" s="55"/>
      <c r="AX4" s="55"/>
      <c r="AY4" s="55"/>
      <c r="AZ4" s="55"/>
      <c r="BA4" s="55"/>
      <c r="BB4" s="55"/>
      <c r="BC4" s="55"/>
      <c r="BD4" s="55"/>
      <c r="BE4" s="55"/>
      <c r="BF4" s="55"/>
      <c r="BG4" s="55"/>
      <c r="BH4" s="55"/>
      <c r="BI4" s="55"/>
      <c r="BJ4" s="55"/>
      <c r="BK4" s="55"/>
      <c r="BL4" s="55"/>
      <c r="BM4" s="55"/>
      <c r="BN4" s="55"/>
      <c r="BO4" s="55"/>
      <c r="BP4" s="55"/>
      <c r="BQ4" s="55"/>
      <c r="BR4" s="55"/>
      <c r="BS4" s="55"/>
      <c r="BT4" s="55"/>
      <c r="BU4" s="55"/>
      <c r="BV4" s="55"/>
      <c r="BW4" s="55"/>
      <c r="BX4" s="55"/>
      <c r="BY4" s="55"/>
      <c r="BZ4" s="55"/>
      <c r="CA4" s="56"/>
      <c r="CB4" s="49"/>
      <c r="CC4" s="43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/>
      <c r="CS4" s="43"/>
      <c r="CT4" s="43"/>
      <c r="CU4" s="43"/>
      <c r="CV4" s="43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</row>
    <row r="5" spans="1:130" x14ac:dyDescent="0.15">
      <c r="B5" s="58">
        <f>IF(G5&lt;&gt;"",SUBTOTAL(3,$G$5:G5),"")</f>
        <v>1</v>
      </c>
      <c r="C5" s="58"/>
      <c r="D5" s="58"/>
      <c r="E5" s="59" t="s">
        <v>140</v>
      </c>
      <c r="F5" s="59" t="s">
        <v>135</v>
      </c>
      <c r="G5" s="60" t="s">
        <v>143</v>
      </c>
      <c r="H5" s="61">
        <v>43960</v>
      </c>
      <c r="I5" s="62"/>
      <c r="J5" s="63" t="s">
        <v>373</v>
      </c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5"/>
      <c r="AS5" s="63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64"/>
      <c r="BV5" s="64"/>
      <c r="BW5" s="64"/>
      <c r="BX5" s="64"/>
      <c r="BY5" s="64"/>
      <c r="BZ5" s="64"/>
      <c r="CA5" s="65"/>
      <c r="CB5" s="60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4"/>
      <c r="CV5" s="64"/>
      <c r="CW5" s="64"/>
      <c r="CX5" s="64"/>
      <c r="CY5" s="64"/>
      <c r="CZ5" s="64"/>
      <c r="DA5" s="64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  <c r="DV5" s="64"/>
      <c r="DW5" s="64"/>
      <c r="DX5" s="64"/>
      <c r="DY5" s="64"/>
      <c r="DZ5" s="64"/>
    </row>
    <row r="6" spans="1:130" x14ac:dyDescent="0.15">
      <c r="B6" s="58" t="str">
        <f>IF(G6&lt;&gt;"",SUBTOTAL(3,$G$5:G6),"")</f>
        <v/>
      </c>
      <c r="C6" s="58"/>
      <c r="D6" s="58"/>
      <c r="E6" s="59"/>
      <c r="F6" s="59"/>
      <c r="G6" s="60"/>
      <c r="H6" s="61"/>
      <c r="I6" s="62"/>
      <c r="J6" s="63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5"/>
      <c r="AS6" s="63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64"/>
      <c r="BV6" s="64"/>
      <c r="BW6" s="64"/>
      <c r="BX6" s="64"/>
      <c r="BY6" s="64"/>
      <c r="BZ6" s="64"/>
      <c r="CA6" s="65"/>
      <c r="CB6" s="60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4"/>
      <c r="CV6" s="64"/>
      <c r="CW6" s="64"/>
      <c r="CX6" s="64"/>
      <c r="CY6" s="64"/>
      <c r="CZ6" s="64"/>
      <c r="DA6" s="64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</row>
    <row r="7" spans="1:130" x14ac:dyDescent="0.15">
      <c r="B7" s="58">
        <f>IF(G7&lt;&gt;"",SUBTOTAL(3,$G$5:G7),"")</f>
        <v>2</v>
      </c>
      <c r="C7" s="58"/>
      <c r="D7" s="58"/>
      <c r="E7" s="59" t="s">
        <v>139</v>
      </c>
      <c r="F7" s="59" t="s">
        <v>135</v>
      </c>
      <c r="G7" s="60" t="s">
        <v>144</v>
      </c>
      <c r="H7" s="61">
        <v>43871</v>
      </c>
      <c r="I7" s="62"/>
      <c r="J7" s="63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4"/>
      <c r="AN7" s="64"/>
      <c r="AO7" s="64"/>
      <c r="AP7" s="64"/>
      <c r="AQ7" s="64"/>
      <c r="AR7" s="65"/>
      <c r="AS7" s="63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64"/>
      <c r="BV7" s="64"/>
      <c r="BW7" s="64"/>
      <c r="BX7" s="64"/>
      <c r="BY7" s="64"/>
      <c r="BZ7" s="64"/>
      <c r="CA7" s="65"/>
      <c r="CB7" s="60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4"/>
      <c r="CV7" s="64"/>
      <c r="CW7" s="64"/>
      <c r="CX7" s="64"/>
      <c r="CY7" s="64"/>
      <c r="CZ7" s="64"/>
      <c r="DA7" s="64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</row>
    <row r="8" spans="1:130" x14ac:dyDescent="0.15">
      <c r="B8" s="58">
        <f>IF(G8&lt;&gt;"",SUBTOTAL(3,$G$5:G8),"")</f>
        <v>3</v>
      </c>
      <c r="C8" s="58"/>
      <c r="D8" s="58"/>
      <c r="E8" s="59" t="s">
        <v>139</v>
      </c>
      <c r="F8" s="59" t="s">
        <v>135</v>
      </c>
      <c r="G8" s="60" t="s">
        <v>145</v>
      </c>
      <c r="H8" s="61">
        <v>43995</v>
      </c>
      <c r="I8" s="62">
        <v>0.5</v>
      </c>
      <c r="J8" s="63" t="s">
        <v>241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4"/>
      <c r="AN8" s="64"/>
      <c r="AO8" s="64"/>
      <c r="AP8" s="64"/>
      <c r="AQ8" s="64"/>
      <c r="AR8" s="65"/>
      <c r="AS8" s="63" t="s">
        <v>244</v>
      </c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64"/>
      <c r="BV8" s="64"/>
      <c r="BW8" s="64"/>
      <c r="BX8" s="64"/>
      <c r="BY8" s="64"/>
      <c r="BZ8" s="64"/>
      <c r="CA8" s="65"/>
      <c r="CB8" s="67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4"/>
      <c r="CV8" s="64"/>
      <c r="CW8" s="64"/>
      <c r="CX8" s="64"/>
      <c r="CY8" s="64"/>
      <c r="CZ8" s="64"/>
      <c r="DA8" s="64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</row>
    <row r="9" spans="1:130" x14ac:dyDescent="0.15">
      <c r="B9" s="58" t="str">
        <f>IF(G9&lt;&gt;"",SUBTOTAL(3,$G$5:G9),"")</f>
        <v/>
      </c>
      <c r="C9" s="58"/>
      <c r="D9" s="58"/>
      <c r="E9" s="59"/>
      <c r="F9" s="59"/>
      <c r="G9" s="60"/>
      <c r="H9" s="61"/>
      <c r="I9" s="68">
        <v>0.5</v>
      </c>
      <c r="J9" s="63" t="s">
        <v>243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5"/>
      <c r="AS9" s="63" t="s">
        <v>377</v>
      </c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64"/>
      <c r="BV9" s="64"/>
      <c r="BW9" s="64"/>
      <c r="BX9" s="64"/>
      <c r="BY9" s="64"/>
      <c r="BZ9" s="64"/>
      <c r="CA9" s="65"/>
      <c r="CB9" s="67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4"/>
      <c r="CV9" s="64"/>
      <c r="CW9" s="64"/>
      <c r="CX9" s="64"/>
      <c r="CY9" s="64"/>
      <c r="CZ9" s="64"/>
      <c r="DA9" s="64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</row>
    <row r="10" spans="1:130" x14ac:dyDescent="0.15">
      <c r="B10" s="58" t="str">
        <f>IF(G10&lt;&gt;"",SUBTOTAL(3,$G$5:G10),"")</f>
        <v/>
      </c>
      <c r="C10" s="58"/>
      <c r="D10" s="58"/>
      <c r="E10" s="59"/>
      <c r="F10" s="59"/>
      <c r="G10" s="60"/>
      <c r="H10" s="61"/>
      <c r="I10" s="68">
        <v>0.5</v>
      </c>
      <c r="J10" s="63" t="s">
        <v>242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5"/>
      <c r="AS10" s="63" t="s">
        <v>378</v>
      </c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5"/>
      <c r="CB10" s="67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4"/>
      <c r="CV10" s="64"/>
      <c r="CW10" s="64"/>
      <c r="CX10" s="64"/>
      <c r="CY10" s="64"/>
      <c r="CZ10" s="64"/>
      <c r="DA10" s="64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</row>
    <row r="11" spans="1:130" x14ac:dyDescent="0.15">
      <c r="B11" s="58" t="str">
        <f>IF(G11&lt;&gt;"",SUBTOTAL(3,$G$5:G11),"")</f>
        <v/>
      </c>
      <c r="C11" s="58"/>
      <c r="D11" s="58"/>
      <c r="E11" s="59"/>
      <c r="F11" s="59"/>
      <c r="G11" s="60"/>
      <c r="H11" s="61"/>
      <c r="I11" s="68">
        <v>0.5</v>
      </c>
      <c r="J11" s="63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5"/>
      <c r="AS11" s="63" t="s">
        <v>379</v>
      </c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5"/>
      <c r="CB11" s="67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4"/>
      <c r="CV11" s="64"/>
      <c r="CW11" s="64"/>
      <c r="CX11" s="64"/>
      <c r="CY11" s="64"/>
      <c r="CZ11" s="64"/>
      <c r="DA11" s="64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</row>
    <row r="12" spans="1:130" x14ac:dyDescent="0.15">
      <c r="B12" s="58" t="str">
        <f>IF(G12&lt;&gt;"",SUBTOTAL(3,$G$5:G12),"")</f>
        <v/>
      </c>
      <c r="C12" s="58"/>
      <c r="D12" s="58"/>
      <c r="E12" s="59"/>
      <c r="F12" s="59"/>
      <c r="G12" s="60"/>
      <c r="H12" s="61"/>
      <c r="I12" s="68">
        <v>0.5</v>
      </c>
      <c r="J12" s="63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5"/>
      <c r="AS12" s="63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5"/>
      <c r="CB12" s="67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4"/>
      <c r="CV12" s="64"/>
      <c r="CW12" s="64"/>
      <c r="CX12" s="64"/>
      <c r="CY12" s="64"/>
      <c r="CZ12" s="64"/>
      <c r="DA12" s="64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</row>
    <row r="13" spans="1:130" x14ac:dyDescent="0.15">
      <c r="B13" s="58" t="str">
        <f>IF(G13&lt;&gt;"",SUBTOTAL(3,$G$5:G13),"")</f>
        <v/>
      </c>
      <c r="C13" s="58"/>
      <c r="D13" s="58"/>
      <c r="E13" s="59"/>
      <c r="F13" s="59"/>
      <c r="G13" s="60"/>
      <c r="H13" s="61"/>
      <c r="I13" s="68">
        <v>0.5</v>
      </c>
      <c r="J13" s="63"/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5"/>
      <c r="AS13" s="63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5"/>
      <c r="CB13" s="67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4"/>
      <c r="CV13" s="64"/>
      <c r="CW13" s="64"/>
      <c r="CX13" s="64"/>
      <c r="CY13" s="64"/>
      <c r="CZ13" s="64"/>
      <c r="DA13" s="64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</row>
    <row r="14" spans="1:130" x14ac:dyDescent="0.15">
      <c r="B14" s="58">
        <f>IF(G14&lt;&gt;"",SUBTOTAL(3,$G$5:G14),"")</f>
        <v>4</v>
      </c>
      <c r="C14" s="58"/>
      <c r="D14" s="58"/>
      <c r="E14" s="59" t="s">
        <v>139</v>
      </c>
      <c r="F14" s="59" t="s">
        <v>135</v>
      </c>
      <c r="G14" s="60" t="s">
        <v>146</v>
      </c>
      <c r="H14" s="61">
        <v>43995</v>
      </c>
      <c r="I14" s="62"/>
      <c r="J14" s="63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5"/>
      <c r="AS14" s="63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5"/>
      <c r="CB14" s="60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4"/>
      <c r="CV14" s="64"/>
      <c r="CW14" s="64"/>
      <c r="CX14" s="64"/>
      <c r="CY14" s="64"/>
      <c r="CZ14" s="64"/>
      <c r="DA14" s="64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</row>
    <row r="15" spans="1:130" x14ac:dyDescent="0.15">
      <c r="B15" s="58">
        <f>IF(G15&lt;&gt;"",SUBTOTAL(3,$G$5:G15),"")</f>
        <v>5</v>
      </c>
      <c r="C15" s="58"/>
      <c r="D15" s="58"/>
      <c r="E15" s="59" t="s">
        <v>139</v>
      </c>
      <c r="F15" s="59" t="s">
        <v>135</v>
      </c>
      <c r="G15" s="60" t="s">
        <v>147</v>
      </c>
      <c r="H15" s="61">
        <v>43869</v>
      </c>
      <c r="I15" s="62"/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4"/>
      <c r="AN15" s="64"/>
      <c r="AO15" s="64"/>
      <c r="AP15" s="64"/>
      <c r="AQ15" s="64"/>
      <c r="AR15" s="65"/>
      <c r="AS15" s="63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4"/>
      <c r="BR15" s="64"/>
      <c r="BS15" s="64"/>
      <c r="BT15" s="64"/>
      <c r="BU15" s="64"/>
      <c r="BV15" s="64"/>
      <c r="BW15" s="64"/>
      <c r="BX15" s="64"/>
      <c r="BY15" s="64"/>
      <c r="BZ15" s="64"/>
      <c r="CA15" s="65"/>
      <c r="CB15" s="60"/>
      <c r="CH15" s="64"/>
      <c r="CI15" s="64"/>
      <c r="CJ15" s="69"/>
      <c r="CK15" s="69"/>
      <c r="CL15" s="69"/>
      <c r="CM15" s="69"/>
      <c r="CN15" s="69"/>
      <c r="CO15" s="69"/>
      <c r="CP15" s="69"/>
      <c r="CQ15" s="69"/>
      <c r="CR15" s="69"/>
      <c r="CS15" s="69"/>
      <c r="CT15" s="64"/>
      <c r="CU15" s="64"/>
      <c r="CV15" s="64"/>
      <c r="CW15" s="64"/>
      <c r="CX15" s="64"/>
      <c r="CY15" s="64"/>
      <c r="CZ15" s="64"/>
      <c r="DA15" s="64"/>
      <c r="DB15" s="64"/>
      <c r="DC15" s="64"/>
      <c r="DD15" s="64"/>
      <c r="DE15" s="64"/>
      <c r="DF15" s="64"/>
      <c r="DG15" s="69"/>
      <c r="DH15" s="69"/>
      <c r="DI15" s="69"/>
      <c r="DJ15" s="69"/>
      <c r="DK15" s="69"/>
      <c r="DL15" s="69"/>
      <c r="DM15" s="69"/>
      <c r="DN15" s="69"/>
      <c r="DO15" s="69"/>
      <c r="DP15" s="69"/>
      <c r="DQ15" s="64"/>
      <c r="DR15" s="64"/>
      <c r="DS15" s="64"/>
      <c r="DT15" s="64"/>
      <c r="DU15" s="64"/>
      <c r="DV15" s="64"/>
      <c r="DW15" s="64"/>
      <c r="DX15" s="64"/>
      <c r="DY15" s="64"/>
      <c r="DZ15" s="64"/>
    </row>
    <row r="16" spans="1:130" x14ac:dyDescent="0.15">
      <c r="B16" s="58">
        <f>IF(G16&lt;&gt;"",SUBTOTAL(3,$G$5:G16),"")</f>
        <v>6</v>
      </c>
      <c r="C16" s="58"/>
      <c r="D16" s="58"/>
      <c r="E16" s="59" t="s">
        <v>139</v>
      </c>
      <c r="F16" s="59" t="s">
        <v>135</v>
      </c>
      <c r="G16" s="60" t="s">
        <v>148</v>
      </c>
      <c r="H16" s="61">
        <v>43871</v>
      </c>
      <c r="I16" s="62"/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4"/>
      <c r="AN16" s="64"/>
      <c r="AO16" s="64"/>
      <c r="AP16" s="64"/>
      <c r="AQ16" s="64"/>
      <c r="AR16" s="65"/>
      <c r="AS16" s="63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4"/>
      <c r="BR16" s="64"/>
      <c r="BS16" s="64"/>
      <c r="BT16" s="64"/>
      <c r="BU16" s="64"/>
      <c r="BV16" s="64"/>
      <c r="BW16" s="64"/>
      <c r="BX16" s="64"/>
      <c r="BY16" s="64"/>
      <c r="BZ16" s="64"/>
      <c r="CA16" s="65"/>
      <c r="CB16" s="60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4"/>
      <c r="CV16" s="64"/>
      <c r="CW16" s="64"/>
      <c r="CX16" s="64"/>
      <c r="CY16" s="64"/>
      <c r="CZ16" s="64"/>
      <c r="DA16" s="64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</row>
    <row r="17" spans="2:130" x14ac:dyDescent="0.15">
      <c r="B17" s="58">
        <f>IF(G17&lt;&gt;"",SUBTOTAL(3,$G$5:G17),"")</f>
        <v>7</v>
      </c>
      <c r="C17" s="58"/>
      <c r="D17" s="58"/>
      <c r="E17" s="59" t="s">
        <v>139</v>
      </c>
      <c r="F17" s="59" t="s">
        <v>135</v>
      </c>
      <c r="G17" s="60" t="s">
        <v>149</v>
      </c>
      <c r="H17" s="61">
        <v>44006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4"/>
      <c r="AN17" s="64"/>
      <c r="AO17" s="64"/>
      <c r="AP17" s="64"/>
      <c r="AQ17" s="64"/>
      <c r="AR17" s="65"/>
      <c r="AS17" s="63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4"/>
      <c r="BR17" s="64"/>
      <c r="BS17" s="64"/>
      <c r="BT17" s="64"/>
      <c r="BU17" s="64"/>
      <c r="BV17" s="64"/>
      <c r="BW17" s="64"/>
      <c r="BX17" s="64"/>
      <c r="BY17" s="64"/>
      <c r="BZ17" s="64"/>
      <c r="CA17" s="65"/>
      <c r="CB17" s="60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4"/>
      <c r="CV17" s="64"/>
      <c r="CW17" s="64"/>
      <c r="CX17" s="64"/>
      <c r="CY17" s="64"/>
      <c r="CZ17" s="64"/>
      <c r="DA17" s="64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</row>
    <row r="18" spans="2:130" x14ac:dyDescent="0.15">
      <c r="B18" s="58">
        <f>IF(G18&lt;&gt;"",SUBTOTAL(3,$G$5:G18),"")</f>
        <v>8</v>
      </c>
      <c r="C18" s="58"/>
      <c r="D18" s="58"/>
      <c r="E18" s="59" t="s">
        <v>139</v>
      </c>
      <c r="F18" s="59" t="s">
        <v>135</v>
      </c>
      <c r="G18" s="60" t="s">
        <v>150</v>
      </c>
      <c r="H18" s="61">
        <v>43869</v>
      </c>
      <c r="I18" s="70">
        <v>1</v>
      </c>
      <c r="J18" s="63" t="s">
        <v>245</v>
      </c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4"/>
      <c r="AN18" s="64"/>
      <c r="AO18" s="64"/>
      <c r="AP18" s="64"/>
      <c r="AQ18" s="64"/>
      <c r="AR18" s="65"/>
      <c r="AS18" s="63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4"/>
      <c r="BR18" s="64"/>
      <c r="BS18" s="64"/>
      <c r="BT18" s="64"/>
      <c r="BU18" s="64"/>
      <c r="BV18" s="64"/>
      <c r="BW18" s="64"/>
      <c r="BX18" s="64"/>
      <c r="BY18" s="64"/>
      <c r="BZ18" s="64"/>
      <c r="CA18" s="65"/>
      <c r="CB18" s="60"/>
      <c r="CH18" s="64"/>
      <c r="CI18" s="64"/>
      <c r="CJ18" s="64"/>
      <c r="CK18" s="64"/>
      <c r="CL18" s="64"/>
      <c r="CM18" s="64"/>
      <c r="CN18" s="64"/>
      <c r="CO18" s="64"/>
      <c r="CP18" s="64"/>
      <c r="CQ18" s="64"/>
      <c r="CR18" s="64"/>
      <c r="CS18" s="64"/>
      <c r="CT18" s="64"/>
      <c r="CU18" s="64"/>
      <c r="CV18" s="64"/>
      <c r="CW18" s="64"/>
      <c r="CX18" s="64"/>
      <c r="CY18" s="64"/>
      <c r="CZ18" s="64"/>
      <c r="DA18" s="64"/>
      <c r="DB18" s="64"/>
      <c r="DC18" s="64"/>
      <c r="DD18" s="64"/>
      <c r="DE18" s="64"/>
      <c r="DF18" s="64"/>
      <c r="DG18" s="64"/>
      <c r="DH18" s="64"/>
      <c r="DI18" s="64"/>
      <c r="DJ18" s="64"/>
      <c r="DK18" s="64"/>
      <c r="DL18" s="64"/>
      <c r="DM18" s="64"/>
      <c r="DN18" s="64"/>
      <c r="DO18" s="64"/>
      <c r="DP18" s="64"/>
      <c r="DQ18" s="64"/>
      <c r="DR18" s="64"/>
      <c r="DS18" s="64"/>
      <c r="DT18" s="64"/>
      <c r="DU18" s="64"/>
      <c r="DV18" s="64"/>
      <c r="DW18" s="64"/>
      <c r="DX18" s="64"/>
      <c r="DY18" s="64"/>
      <c r="DZ18" s="64"/>
    </row>
    <row r="19" spans="2:130" x14ac:dyDescent="0.15">
      <c r="B19" s="58" t="str">
        <f>IF(G19&lt;&gt;"",SUBTOTAL(3,$G$5:G19),"")</f>
        <v/>
      </c>
      <c r="C19" s="58"/>
      <c r="D19" s="58"/>
      <c r="E19" s="59"/>
      <c r="F19" s="59"/>
      <c r="G19" s="60"/>
      <c r="H19" s="61"/>
      <c r="I19" s="70">
        <v>1</v>
      </c>
      <c r="J19" s="63" t="s">
        <v>246</v>
      </c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4"/>
      <c r="AN19" s="64"/>
      <c r="AO19" s="64"/>
      <c r="AP19" s="64"/>
      <c r="AQ19" s="64"/>
      <c r="AR19" s="65"/>
      <c r="AS19" s="63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4"/>
      <c r="BR19" s="64"/>
      <c r="BS19" s="64"/>
      <c r="BT19" s="64"/>
      <c r="BU19" s="64"/>
      <c r="BV19" s="64"/>
      <c r="BW19" s="64"/>
      <c r="BX19" s="64"/>
      <c r="BY19" s="64"/>
      <c r="BZ19" s="64"/>
      <c r="CA19" s="65"/>
      <c r="CB19" s="60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4"/>
      <c r="CV19" s="64"/>
      <c r="CW19" s="64"/>
      <c r="CX19" s="64"/>
      <c r="CY19" s="64"/>
      <c r="CZ19" s="64"/>
      <c r="DA19" s="64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</row>
    <row r="20" spans="2:130" x14ac:dyDescent="0.15">
      <c r="B20" s="58" t="str">
        <f>IF(G20&lt;&gt;"",SUBTOTAL(3,$G$5:G20),"")</f>
        <v/>
      </c>
      <c r="C20" s="58"/>
      <c r="D20" s="58"/>
      <c r="E20" s="59"/>
      <c r="F20" s="59"/>
      <c r="G20" s="60"/>
      <c r="H20" s="61"/>
      <c r="I20" s="70">
        <v>1</v>
      </c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4"/>
      <c r="AN20" s="64"/>
      <c r="AO20" s="64"/>
      <c r="AP20" s="64"/>
      <c r="AQ20" s="64"/>
      <c r="AR20" s="65"/>
      <c r="AS20" s="63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4"/>
      <c r="BR20" s="64"/>
      <c r="BS20" s="64"/>
      <c r="BT20" s="64"/>
      <c r="BU20" s="64"/>
      <c r="BV20" s="64"/>
      <c r="BW20" s="64"/>
      <c r="BX20" s="64"/>
      <c r="BY20" s="64"/>
      <c r="BZ20" s="64"/>
      <c r="CA20" s="65"/>
      <c r="CB20" s="60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4"/>
      <c r="CV20" s="64"/>
      <c r="CW20" s="64"/>
      <c r="CX20" s="64"/>
      <c r="CY20" s="64"/>
      <c r="CZ20" s="64"/>
      <c r="DA20" s="64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</row>
    <row r="21" spans="2:130" x14ac:dyDescent="0.15">
      <c r="B21" s="58">
        <f>IF(G21&lt;&gt;"",SUBTOTAL(3,$G$5:G21),"")</f>
        <v>9</v>
      </c>
      <c r="C21" s="58"/>
      <c r="D21" s="58"/>
      <c r="E21" s="59" t="s">
        <v>139</v>
      </c>
      <c r="F21" s="59" t="s">
        <v>135</v>
      </c>
      <c r="G21" s="60" t="s">
        <v>151</v>
      </c>
      <c r="H21" s="61">
        <v>43869</v>
      </c>
      <c r="I21" s="62"/>
      <c r="J21" s="63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4"/>
      <c r="AN21" s="64"/>
      <c r="AO21" s="64"/>
      <c r="AP21" s="64"/>
      <c r="AQ21" s="64"/>
      <c r="AR21" s="65"/>
      <c r="AS21" s="63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4"/>
      <c r="BR21" s="64"/>
      <c r="BS21" s="64"/>
      <c r="BT21" s="64"/>
      <c r="BU21" s="64"/>
      <c r="BV21" s="64"/>
      <c r="BW21" s="64"/>
      <c r="BX21" s="64"/>
      <c r="BY21" s="64"/>
      <c r="BZ21" s="64"/>
      <c r="CA21" s="65"/>
      <c r="CB21" s="60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4"/>
      <c r="CV21" s="64"/>
      <c r="CW21" s="64"/>
      <c r="CX21" s="64"/>
      <c r="CY21" s="64"/>
      <c r="CZ21" s="64"/>
      <c r="DA21" s="64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</row>
    <row r="22" spans="2:130" x14ac:dyDescent="0.15">
      <c r="B22" s="58">
        <f>IF(G22&lt;&gt;"",SUBTOTAL(3,$G$5:G22),"")</f>
        <v>10</v>
      </c>
      <c r="C22" s="58"/>
      <c r="D22" s="58"/>
      <c r="E22" s="59" t="s">
        <v>139</v>
      </c>
      <c r="F22" s="59" t="s">
        <v>135</v>
      </c>
      <c r="G22" s="60" t="s">
        <v>152</v>
      </c>
      <c r="H22" s="61">
        <v>43869</v>
      </c>
      <c r="I22" s="62"/>
      <c r="J22" s="63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4"/>
      <c r="AN22" s="64"/>
      <c r="AO22" s="64"/>
      <c r="AP22" s="64"/>
      <c r="AQ22" s="64"/>
      <c r="AR22" s="65"/>
      <c r="AS22" s="63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4"/>
      <c r="BR22" s="64"/>
      <c r="BS22" s="64"/>
      <c r="BT22" s="64"/>
      <c r="BU22" s="64"/>
      <c r="BV22" s="64"/>
      <c r="BW22" s="64"/>
      <c r="BX22" s="64"/>
      <c r="BY22" s="64"/>
      <c r="BZ22" s="64"/>
      <c r="CA22" s="65"/>
      <c r="CB22" s="60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4"/>
      <c r="CV22" s="64"/>
      <c r="CW22" s="64"/>
      <c r="CX22" s="64"/>
      <c r="CY22" s="64"/>
      <c r="CZ22" s="64"/>
      <c r="DA22" s="64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</row>
    <row r="23" spans="2:130" x14ac:dyDescent="0.15">
      <c r="B23" s="58">
        <f>IF(G23&lt;&gt;"",SUBTOTAL(3,$G$5:G23),"")</f>
        <v>11</v>
      </c>
      <c r="C23" s="58"/>
      <c r="D23" s="58"/>
      <c r="E23" s="59" t="s">
        <v>139</v>
      </c>
      <c r="F23" s="59" t="s">
        <v>135</v>
      </c>
      <c r="G23" s="60" t="s">
        <v>153</v>
      </c>
      <c r="H23" s="61">
        <v>43869</v>
      </c>
      <c r="I23" s="62"/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5"/>
      <c r="AS23" s="63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4"/>
      <c r="BR23" s="64"/>
      <c r="BS23" s="64"/>
      <c r="BT23" s="64"/>
      <c r="BU23" s="64"/>
      <c r="BV23" s="64"/>
      <c r="BW23" s="64"/>
      <c r="BX23" s="64"/>
      <c r="BY23" s="64"/>
      <c r="BZ23" s="64"/>
      <c r="CA23" s="65"/>
      <c r="CB23" s="60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4"/>
      <c r="CV23" s="64"/>
      <c r="CW23" s="64"/>
      <c r="CX23" s="64"/>
      <c r="CY23" s="64"/>
      <c r="CZ23" s="64"/>
      <c r="DA23" s="64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</row>
    <row r="24" spans="2:130" x14ac:dyDescent="0.15">
      <c r="B24" s="58">
        <f>IF(G24&lt;&gt;"",SUBTOTAL(3,$G$5:G24),"")</f>
        <v>12</v>
      </c>
      <c r="C24" s="58"/>
      <c r="D24" s="58"/>
      <c r="E24" s="59" t="s">
        <v>139</v>
      </c>
      <c r="F24" s="59" t="s">
        <v>135</v>
      </c>
      <c r="G24" s="60" t="s">
        <v>154</v>
      </c>
      <c r="H24" s="61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5"/>
      <c r="AS24" s="63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4"/>
      <c r="BR24" s="64"/>
      <c r="BS24" s="64"/>
      <c r="BT24" s="64"/>
      <c r="BU24" s="64"/>
      <c r="BV24" s="64"/>
      <c r="BW24" s="64"/>
      <c r="BX24" s="64"/>
      <c r="BY24" s="64"/>
      <c r="BZ24" s="64"/>
      <c r="CA24" s="65"/>
      <c r="CB24" s="60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4"/>
      <c r="CV24" s="64"/>
      <c r="CW24" s="64"/>
      <c r="CX24" s="64"/>
      <c r="CY24" s="64"/>
      <c r="CZ24" s="64"/>
      <c r="DA24" s="64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</row>
    <row r="25" spans="2:130" x14ac:dyDescent="0.15">
      <c r="B25" s="58">
        <f>IF(G25&lt;&gt;"",SUBTOTAL(3,$G$5:G25),"")</f>
        <v>13</v>
      </c>
      <c r="C25" s="58"/>
      <c r="D25" s="58"/>
      <c r="E25" s="59" t="s">
        <v>139</v>
      </c>
      <c r="F25" s="59" t="s">
        <v>135</v>
      </c>
      <c r="G25" s="60" t="s">
        <v>155</v>
      </c>
      <c r="H25" s="61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5"/>
      <c r="AS25" s="63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4"/>
      <c r="BR25" s="64"/>
      <c r="BS25" s="64"/>
      <c r="BT25" s="64"/>
      <c r="BU25" s="64"/>
      <c r="BV25" s="64"/>
      <c r="BW25" s="64"/>
      <c r="BX25" s="64"/>
      <c r="BY25" s="64"/>
      <c r="BZ25" s="64"/>
      <c r="CA25" s="65"/>
      <c r="CB25" s="60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4"/>
      <c r="CV25" s="64"/>
      <c r="CW25" s="64"/>
      <c r="CX25" s="64"/>
      <c r="CY25" s="64"/>
      <c r="CZ25" s="64"/>
      <c r="DA25" s="64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</row>
    <row r="26" spans="2:130" x14ac:dyDescent="0.15">
      <c r="B26" s="58">
        <f>IF(G26&lt;&gt;"",SUBTOTAL(3,$G$5:G26),"")</f>
        <v>14</v>
      </c>
      <c r="C26" s="58"/>
      <c r="D26" s="58"/>
      <c r="E26" s="59" t="s">
        <v>139</v>
      </c>
      <c r="F26" s="59" t="s">
        <v>135</v>
      </c>
      <c r="G26" s="60" t="s">
        <v>156</v>
      </c>
      <c r="H26" s="61">
        <v>43871</v>
      </c>
      <c r="I26" s="62">
        <v>0.5</v>
      </c>
      <c r="J26" s="63" t="s">
        <v>1</v>
      </c>
      <c r="K26" s="64" t="s">
        <v>419</v>
      </c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4"/>
      <c r="AN26" s="64"/>
      <c r="AO26" s="64"/>
      <c r="AP26" s="64"/>
      <c r="AQ26" s="64"/>
      <c r="AR26" s="65"/>
      <c r="AS26" s="63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4"/>
      <c r="BR26" s="64"/>
      <c r="BS26" s="64"/>
      <c r="BT26" s="64"/>
      <c r="BU26" s="64"/>
      <c r="BV26" s="64"/>
      <c r="BW26" s="64"/>
      <c r="BX26" s="64"/>
      <c r="BY26" s="64"/>
      <c r="BZ26" s="64"/>
      <c r="CA26" s="65"/>
      <c r="CB26" s="60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4"/>
      <c r="CV26" s="64"/>
      <c r="CW26" s="64"/>
      <c r="CX26" s="64"/>
      <c r="CY26" s="64"/>
      <c r="CZ26" s="64"/>
      <c r="DA26" s="64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</row>
    <row r="27" spans="2:130" x14ac:dyDescent="0.15">
      <c r="B27" s="58" t="str">
        <f>IF(G27&lt;&gt;"",SUBTOTAL(3,$G$5:G27),"")</f>
        <v/>
      </c>
      <c r="C27" s="58"/>
      <c r="D27" s="58"/>
      <c r="E27" s="59"/>
      <c r="F27" s="59"/>
      <c r="G27" s="60"/>
      <c r="H27" s="61"/>
      <c r="I27" s="68">
        <v>0.5</v>
      </c>
      <c r="J27" s="63" t="s">
        <v>420</v>
      </c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4"/>
      <c r="AN27" s="64"/>
      <c r="AO27" s="64"/>
      <c r="AP27" s="64"/>
      <c r="AQ27" s="64"/>
      <c r="AR27" s="65"/>
      <c r="AS27" s="63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4"/>
      <c r="BR27" s="64"/>
      <c r="BS27" s="64"/>
      <c r="BT27" s="64"/>
      <c r="BU27" s="64"/>
      <c r="BV27" s="64"/>
      <c r="BW27" s="64"/>
      <c r="BX27" s="64"/>
      <c r="BY27" s="64"/>
      <c r="BZ27" s="64"/>
      <c r="CA27" s="65"/>
      <c r="CB27" s="60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4"/>
      <c r="CV27" s="64"/>
      <c r="CW27" s="64"/>
      <c r="CX27" s="64"/>
      <c r="CY27" s="64"/>
      <c r="CZ27" s="64"/>
      <c r="DA27" s="64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</row>
    <row r="28" spans="2:130" x14ac:dyDescent="0.15">
      <c r="B28" s="58" t="str">
        <f>IF(G28&lt;&gt;"",SUBTOTAL(3,$G$5:G28),"")</f>
        <v/>
      </c>
      <c r="C28" s="58"/>
      <c r="D28" s="58"/>
      <c r="E28" s="59"/>
      <c r="F28" s="59"/>
      <c r="G28" s="60"/>
      <c r="H28" s="61"/>
      <c r="I28" s="68">
        <v>0.5</v>
      </c>
      <c r="J28" s="63" t="s">
        <v>1</v>
      </c>
      <c r="K28" s="64" t="s">
        <v>421</v>
      </c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4"/>
      <c r="AN28" s="64"/>
      <c r="AO28" s="64"/>
      <c r="AP28" s="64"/>
      <c r="AQ28" s="64"/>
      <c r="AR28" s="65"/>
      <c r="AS28" s="63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4"/>
      <c r="BR28" s="64"/>
      <c r="BS28" s="64"/>
      <c r="BT28" s="64"/>
      <c r="BU28" s="64"/>
      <c r="BV28" s="64"/>
      <c r="BW28" s="64"/>
      <c r="BX28" s="64"/>
      <c r="BY28" s="64"/>
      <c r="BZ28" s="64"/>
      <c r="CA28" s="65"/>
      <c r="CB28" s="60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4"/>
      <c r="CV28" s="64"/>
      <c r="CW28" s="64"/>
      <c r="CX28" s="64"/>
      <c r="CY28" s="64"/>
      <c r="CZ28" s="64"/>
      <c r="DA28" s="64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</row>
    <row r="29" spans="2:130" x14ac:dyDescent="0.15">
      <c r="B29" s="58" t="str">
        <f>IF(G29&lt;&gt;"",SUBTOTAL(3,$G$5:G29),"")</f>
        <v/>
      </c>
      <c r="C29" s="58"/>
      <c r="D29" s="58"/>
      <c r="E29" s="59"/>
      <c r="F29" s="59"/>
      <c r="G29" s="60"/>
      <c r="H29" s="61"/>
      <c r="I29" s="68">
        <v>0.5</v>
      </c>
      <c r="J29" s="63"/>
      <c r="K29" s="64" t="s">
        <v>422</v>
      </c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4"/>
      <c r="AN29" s="64"/>
      <c r="AO29" s="64"/>
      <c r="AP29" s="64"/>
      <c r="AQ29" s="64"/>
      <c r="AR29" s="65"/>
      <c r="AS29" s="63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4"/>
      <c r="BR29" s="64"/>
      <c r="BS29" s="64"/>
      <c r="BT29" s="64"/>
      <c r="BU29" s="64"/>
      <c r="BV29" s="64"/>
      <c r="BW29" s="64"/>
      <c r="BX29" s="64"/>
      <c r="BY29" s="64"/>
      <c r="BZ29" s="64"/>
      <c r="CA29" s="65"/>
      <c r="CB29" s="60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4"/>
      <c r="CV29" s="64"/>
      <c r="CW29" s="64"/>
      <c r="CX29" s="64"/>
      <c r="CY29" s="64"/>
      <c r="CZ29" s="64"/>
      <c r="DA29" s="64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</row>
    <row r="30" spans="2:130" x14ac:dyDescent="0.15">
      <c r="B30" s="58" t="str">
        <f>IF(G30&lt;&gt;"",SUBTOTAL(3,$G$5:G30),"")</f>
        <v/>
      </c>
      <c r="C30" s="58"/>
      <c r="D30" s="58"/>
      <c r="E30" s="59"/>
      <c r="F30" s="59"/>
      <c r="G30" s="60"/>
      <c r="H30" s="61"/>
      <c r="I30" s="68">
        <v>0.5</v>
      </c>
      <c r="J30" s="63"/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4"/>
      <c r="AN30" s="64"/>
      <c r="AO30" s="64"/>
      <c r="AP30" s="64"/>
      <c r="AQ30" s="64"/>
      <c r="AR30" s="65"/>
      <c r="AS30" s="63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4"/>
      <c r="BR30" s="64"/>
      <c r="BS30" s="64"/>
      <c r="BT30" s="64"/>
      <c r="BU30" s="64"/>
      <c r="BV30" s="64"/>
      <c r="BW30" s="64"/>
      <c r="BX30" s="64"/>
      <c r="BY30" s="64"/>
      <c r="BZ30" s="64"/>
      <c r="CA30" s="65"/>
      <c r="CB30" s="60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4"/>
      <c r="CV30" s="64"/>
      <c r="CW30" s="64"/>
      <c r="CX30" s="64"/>
      <c r="CY30" s="64"/>
      <c r="CZ30" s="64"/>
      <c r="DA30" s="64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</row>
    <row r="31" spans="2:130" x14ac:dyDescent="0.15">
      <c r="B31" s="58">
        <f>IF(G31&lt;&gt;"",SUBTOTAL(3,$G$5:G31),"")</f>
        <v>15</v>
      </c>
      <c r="C31" s="58"/>
      <c r="D31" s="58"/>
      <c r="E31" s="59" t="s">
        <v>139</v>
      </c>
      <c r="F31" s="59" t="s">
        <v>142</v>
      </c>
      <c r="G31" s="60" t="s">
        <v>233</v>
      </c>
      <c r="H31" s="61">
        <v>44087</v>
      </c>
      <c r="I31" s="62">
        <v>1</v>
      </c>
      <c r="J31" s="63" t="s">
        <v>247</v>
      </c>
      <c r="K31" s="64"/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4"/>
      <c r="AN31" s="64"/>
      <c r="AO31" s="64"/>
      <c r="AP31" s="64"/>
      <c r="AQ31" s="64"/>
      <c r="AR31" s="65"/>
      <c r="AS31" s="63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4"/>
      <c r="BR31" s="64"/>
      <c r="BS31" s="64"/>
      <c r="BT31" s="64"/>
      <c r="BU31" s="64"/>
      <c r="BV31" s="64"/>
      <c r="BW31" s="64"/>
      <c r="BX31" s="64"/>
      <c r="BY31" s="64"/>
      <c r="BZ31" s="64"/>
      <c r="CA31" s="65"/>
      <c r="CB31" s="60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4"/>
      <c r="CV31" s="64"/>
      <c r="CW31" s="64"/>
      <c r="CX31" s="64"/>
      <c r="CY31" s="64"/>
      <c r="CZ31" s="64"/>
      <c r="DA31" s="64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</row>
    <row r="32" spans="2:130" x14ac:dyDescent="0.15">
      <c r="B32" s="58" t="str">
        <f>IF(G32&lt;&gt;"",SUBTOTAL(3,$G$5:G32),"")</f>
        <v/>
      </c>
      <c r="C32" s="58"/>
      <c r="D32" s="58"/>
      <c r="E32" s="59"/>
      <c r="F32" s="59"/>
      <c r="G32" s="60"/>
      <c r="H32" s="61"/>
      <c r="I32" s="70">
        <v>1</v>
      </c>
      <c r="J32" s="63" t="s">
        <v>248</v>
      </c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4"/>
      <c r="AN32" s="64"/>
      <c r="AO32" s="64"/>
      <c r="AP32" s="64"/>
      <c r="AQ32" s="64"/>
      <c r="AR32" s="65"/>
      <c r="AS32" s="63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4"/>
      <c r="BR32" s="64"/>
      <c r="BS32" s="64"/>
      <c r="BT32" s="64"/>
      <c r="BU32" s="64"/>
      <c r="BV32" s="64"/>
      <c r="BW32" s="64"/>
      <c r="BX32" s="64"/>
      <c r="BY32" s="64"/>
      <c r="BZ32" s="64"/>
      <c r="CA32" s="65"/>
      <c r="CB32" s="60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4"/>
      <c r="CV32" s="64"/>
      <c r="CW32" s="64"/>
      <c r="CX32" s="64"/>
      <c r="CY32" s="64"/>
      <c r="CZ32" s="64"/>
      <c r="DA32" s="64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</row>
    <row r="33" spans="2:130" x14ac:dyDescent="0.15">
      <c r="B33" s="58" t="str">
        <f>IF(G33&lt;&gt;"",SUBTOTAL(3,$G$5:G33),"")</f>
        <v/>
      </c>
      <c r="C33" s="58"/>
      <c r="D33" s="58"/>
      <c r="E33" s="59"/>
      <c r="F33" s="59"/>
      <c r="G33" s="60"/>
      <c r="H33" s="61"/>
      <c r="I33" s="70">
        <v>1</v>
      </c>
      <c r="J33" s="63" t="s">
        <v>249</v>
      </c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4"/>
      <c r="AR33" s="65"/>
      <c r="AS33" s="63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4"/>
      <c r="BR33" s="64"/>
      <c r="BS33" s="64"/>
      <c r="BT33" s="64"/>
      <c r="BU33" s="64"/>
      <c r="BV33" s="64"/>
      <c r="BW33" s="64"/>
      <c r="BX33" s="64"/>
      <c r="BY33" s="64"/>
      <c r="BZ33" s="64"/>
      <c r="CA33" s="65"/>
      <c r="CB33" s="60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4"/>
      <c r="CV33" s="64"/>
      <c r="CW33" s="64"/>
      <c r="CX33" s="64"/>
      <c r="CY33" s="64"/>
      <c r="CZ33" s="64"/>
      <c r="DA33" s="64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</row>
    <row r="34" spans="2:130" x14ac:dyDescent="0.15">
      <c r="B34" s="58" t="str">
        <f>IF(G34&lt;&gt;"",SUBTOTAL(3,$G$5:G34),"")</f>
        <v/>
      </c>
      <c r="C34" s="58"/>
      <c r="D34" s="58"/>
      <c r="E34" s="59"/>
      <c r="F34" s="59"/>
      <c r="G34" s="60"/>
      <c r="H34" s="61"/>
      <c r="I34" s="70">
        <v>1</v>
      </c>
      <c r="J34" s="63" t="s">
        <v>250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4"/>
      <c r="AN34" s="64"/>
      <c r="AO34" s="64"/>
      <c r="AP34" s="64"/>
      <c r="AQ34" s="64"/>
      <c r="AR34" s="65"/>
      <c r="AS34" s="63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4"/>
      <c r="BR34" s="64"/>
      <c r="BS34" s="64"/>
      <c r="BT34" s="64"/>
      <c r="BU34" s="64"/>
      <c r="BV34" s="64"/>
      <c r="BW34" s="64"/>
      <c r="BX34" s="64"/>
      <c r="BY34" s="64"/>
      <c r="BZ34" s="64"/>
      <c r="CA34" s="65"/>
      <c r="CB34" s="60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4"/>
      <c r="CV34" s="64"/>
      <c r="CW34" s="64"/>
      <c r="CX34" s="64"/>
      <c r="CY34" s="64"/>
      <c r="CZ34" s="64"/>
      <c r="DA34" s="64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</row>
    <row r="35" spans="2:130" x14ac:dyDescent="0.15">
      <c r="B35" s="58" t="str">
        <f>IF(G35&lt;&gt;"",SUBTOTAL(3,$G$5:G35),"")</f>
        <v/>
      </c>
      <c r="C35" s="58"/>
      <c r="D35" s="58"/>
      <c r="E35" s="59"/>
      <c r="F35" s="59"/>
      <c r="G35" s="60"/>
      <c r="H35" s="61"/>
      <c r="I35" s="70">
        <v>1</v>
      </c>
      <c r="J35" s="63"/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4"/>
      <c r="AN35" s="64"/>
      <c r="AO35" s="64"/>
      <c r="AP35" s="64"/>
      <c r="AQ35" s="64"/>
      <c r="AR35" s="65"/>
      <c r="AS35" s="63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4"/>
      <c r="BR35" s="64"/>
      <c r="BS35" s="64"/>
      <c r="BT35" s="64"/>
      <c r="BU35" s="64"/>
      <c r="BV35" s="64"/>
      <c r="BW35" s="64"/>
      <c r="BX35" s="64"/>
      <c r="BY35" s="64"/>
      <c r="BZ35" s="64"/>
      <c r="CA35" s="65"/>
      <c r="CB35" s="60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4"/>
      <c r="CV35" s="64"/>
      <c r="CW35" s="64"/>
      <c r="CX35" s="64"/>
      <c r="CY35" s="64"/>
      <c r="CZ35" s="64"/>
      <c r="DA35" s="64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</row>
    <row r="36" spans="2:130" x14ac:dyDescent="0.15">
      <c r="B36" s="58">
        <f>IF(G36&lt;&gt;"",SUBTOTAL(3,$G$5:G36),"")</f>
        <v>16</v>
      </c>
      <c r="C36" s="58"/>
      <c r="D36" s="58"/>
      <c r="E36" s="59" t="s">
        <v>139</v>
      </c>
      <c r="F36" s="59" t="s">
        <v>142</v>
      </c>
      <c r="G36" s="60" t="s">
        <v>232</v>
      </c>
      <c r="H36" s="61">
        <v>44076</v>
      </c>
      <c r="I36" s="62">
        <v>1</v>
      </c>
      <c r="J36" s="63" t="s">
        <v>251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4"/>
      <c r="AN36" s="64"/>
      <c r="AO36" s="64"/>
      <c r="AP36" s="64"/>
      <c r="AQ36" s="64"/>
      <c r="AR36" s="65"/>
      <c r="AS36" s="63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4"/>
      <c r="BR36" s="64"/>
      <c r="BS36" s="64"/>
      <c r="BT36" s="64"/>
      <c r="BU36" s="64"/>
      <c r="BV36" s="64"/>
      <c r="BW36" s="64"/>
      <c r="BX36" s="64"/>
      <c r="BY36" s="64"/>
      <c r="BZ36" s="64"/>
      <c r="CA36" s="65"/>
      <c r="CB36" s="60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4"/>
      <c r="CV36" s="64"/>
      <c r="CW36" s="64"/>
      <c r="CX36" s="64"/>
      <c r="CY36" s="64"/>
      <c r="CZ36" s="64"/>
      <c r="DA36" s="64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</row>
    <row r="37" spans="2:130" x14ac:dyDescent="0.15">
      <c r="B37" s="58" t="str">
        <f>IF(G37&lt;&gt;"",SUBTOTAL(3,$G$5:G37),"")</f>
        <v/>
      </c>
      <c r="C37" s="58"/>
      <c r="D37" s="58"/>
      <c r="E37" s="59"/>
      <c r="F37" s="59"/>
      <c r="G37" s="60"/>
      <c r="H37" s="61"/>
      <c r="I37" s="70">
        <v>1</v>
      </c>
      <c r="J37" s="63" t="s">
        <v>252</v>
      </c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4"/>
      <c r="AN37" s="64"/>
      <c r="AO37" s="64"/>
      <c r="AP37" s="64"/>
      <c r="AQ37" s="64"/>
      <c r="AR37" s="65"/>
      <c r="AS37" s="63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4"/>
      <c r="BR37" s="64"/>
      <c r="BS37" s="64"/>
      <c r="BT37" s="64"/>
      <c r="BU37" s="64"/>
      <c r="BV37" s="64"/>
      <c r="BW37" s="64"/>
      <c r="BX37" s="64"/>
      <c r="BY37" s="64"/>
      <c r="BZ37" s="64"/>
      <c r="CA37" s="65"/>
      <c r="CB37" s="60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4"/>
      <c r="CV37" s="64"/>
      <c r="CW37" s="64"/>
      <c r="CX37" s="64"/>
      <c r="CY37" s="64"/>
      <c r="CZ37" s="64"/>
      <c r="DA37" s="64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</row>
    <row r="38" spans="2:130" x14ac:dyDescent="0.15">
      <c r="B38" s="58" t="str">
        <f>IF(G38&lt;&gt;"",SUBTOTAL(3,$G$5:G38),"")</f>
        <v/>
      </c>
      <c r="C38" s="58"/>
      <c r="D38" s="58"/>
      <c r="E38" s="59"/>
      <c r="F38" s="59"/>
      <c r="G38" s="60"/>
      <c r="H38" s="61"/>
      <c r="I38" s="70">
        <v>1</v>
      </c>
      <c r="J38" s="63" t="s">
        <v>253</v>
      </c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4"/>
      <c r="AN38" s="64"/>
      <c r="AO38" s="64"/>
      <c r="AP38" s="64"/>
      <c r="AQ38" s="64"/>
      <c r="AR38" s="65"/>
      <c r="AS38" s="63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4"/>
      <c r="BR38" s="64"/>
      <c r="BS38" s="64"/>
      <c r="BT38" s="64"/>
      <c r="BU38" s="64"/>
      <c r="BV38" s="64"/>
      <c r="BW38" s="64"/>
      <c r="BX38" s="64"/>
      <c r="BY38" s="64"/>
      <c r="BZ38" s="64"/>
      <c r="CA38" s="65"/>
      <c r="CB38" s="60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4"/>
      <c r="CV38" s="64"/>
      <c r="CW38" s="64"/>
      <c r="CX38" s="64"/>
      <c r="CY38" s="64"/>
      <c r="CZ38" s="64"/>
      <c r="DA38" s="64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</row>
    <row r="39" spans="2:130" x14ac:dyDescent="0.15">
      <c r="B39" s="58" t="str">
        <f>IF(G39&lt;&gt;"",SUBTOTAL(3,$G$5:G39),"")</f>
        <v/>
      </c>
      <c r="C39" s="58"/>
      <c r="D39" s="58"/>
      <c r="E39" s="59"/>
      <c r="F39" s="59"/>
      <c r="G39" s="60"/>
      <c r="H39" s="61"/>
      <c r="I39" s="70">
        <v>1</v>
      </c>
      <c r="J39" s="63" t="s">
        <v>254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4"/>
      <c r="AN39" s="64"/>
      <c r="AO39" s="64"/>
      <c r="AP39" s="64"/>
      <c r="AQ39" s="64"/>
      <c r="AR39" s="65"/>
      <c r="AS39" s="63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4"/>
      <c r="BR39" s="64"/>
      <c r="BS39" s="64"/>
      <c r="BT39" s="64"/>
      <c r="BU39" s="64"/>
      <c r="BV39" s="64"/>
      <c r="BW39" s="64"/>
      <c r="BX39" s="64"/>
      <c r="BY39" s="64"/>
      <c r="BZ39" s="64"/>
      <c r="CA39" s="65"/>
      <c r="CB39" s="60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4"/>
      <c r="CV39" s="64"/>
      <c r="CW39" s="64"/>
      <c r="CX39" s="64"/>
      <c r="CY39" s="64"/>
      <c r="CZ39" s="64"/>
      <c r="DA39" s="64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</row>
    <row r="40" spans="2:130" x14ac:dyDescent="0.15">
      <c r="B40" s="58" t="str">
        <f>IF(G40&lt;&gt;"",SUBTOTAL(3,$G$5:G40),"")</f>
        <v/>
      </c>
      <c r="C40" s="58"/>
      <c r="D40" s="58"/>
      <c r="E40" s="59"/>
      <c r="F40" s="59"/>
      <c r="G40" s="60"/>
      <c r="H40" s="61"/>
      <c r="I40" s="70">
        <v>1</v>
      </c>
      <c r="J40" s="63" t="s">
        <v>255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4"/>
      <c r="AN40" s="64"/>
      <c r="AO40" s="64"/>
      <c r="AP40" s="64"/>
      <c r="AQ40" s="64"/>
      <c r="AR40" s="65"/>
      <c r="AS40" s="63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4"/>
      <c r="BR40" s="64"/>
      <c r="BS40" s="64"/>
      <c r="BT40" s="64"/>
      <c r="BU40" s="64"/>
      <c r="BV40" s="64"/>
      <c r="BW40" s="64"/>
      <c r="BX40" s="64"/>
      <c r="BY40" s="64"/>
      <c r="BZ40" s="64"/>
      <c r="CA40" s="65"/>
      <c r="CB40" s="60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4"/>
      <c r="CV40" s="64"/>
      <c r="CW40" s="64"/>
      <c r="CX40" s="64"/>
      <c r="CY40" s="64"/>
      <c r="CZ40" s="64"/>
      <c r="DA40" s="64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</row>
    <row r="41" spans="2:130" x14ac:dyDescent="0.15">
      <c r="B41" s="58" t="str">
        <f>IF(G41&lt;&gt;"",SUBTOTAL(3,$G$5:G41),"")</f>
        <v/>
      </c>
      <c r="C41" s="58"/>
      <c r="D41" s="58"/>
      <c r="E41" s="59"/>
      <c r="F41" s="59"/>
      <c r="G41" s="60"/>
      <c r="H41" s="61"/>
      <c r="I41" s="70">
        <v>1</v>
      </c>
      <c r="J41" s="63"/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4"/>
      <c r="AN41" s="64"/>
      <c r="AO41" s="64"/>
      <c r="AP41" s="64"/>
      <c r="AQ41" s="64"/>
      <c r="AR41" s="65"/>
      <c r="AS41" s="63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4"/>
      <c r="BR41" s="64"/>
      <c r="BS41" s="64"/>
      <c r="BT41" s="64"/>
      <c r="BU41" s="64"/>
      <c r="BV41" s="64"/>
      <c r="BW41" s="64"/>
      <c r="BX41" s="64"/>
      <c r="BY41" s="64"/>
      <c r="BZ41" s="64"/>
      <c r="CA41" s="65"/>
      <c r="CB41" s="60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4"/>
      <c r="CV41" s="64"/>
      <c r="CW41" s="64"/>
      <c r="CX41" s="64"/>
      <c r="CY41" s="64"/>
      <c r="CZ41" s="64"/>
      <c r="DA41" s="64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</row>
    <row r="42" spans="2:130" x14ac:dyDescent="0.15">
      <c r="B42" s="58">
        <f>IF(G42&lt;&gt;"",SUBTOTAL(3,$G$5:G42),"")</f>
        <v>17</v>
      </c>
      <c r="C42" s="58"/>
      <c r="D42" s="58"/>
      <c r="E42" s="59" t="s">
        <v>139</v>
      </c>
      <c r="F42" s="59" t="s">
        <v>142</v>
      </c>
      <c r="G42" s="60" t="s">
        <v>231</v>
      </c>
      <c r="H42" s="61">
        <v>44080</v>
      </c>
      <c r="I42" s="62">
        <v>1</v>
      </c>
      <c r="J42" s="63" t="s">
        <v>237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4"/>
      <c r="AN42" s="64"/>
      <c r="AO42" s="64"/>
      <c r="AP42" s="64"/>
      <c r="AQ42" s="64"/>
      <c r="AR42" s="65"/>
      <c r="AS42" s="63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4"/>
      <c r="BR42" s="64"/>
      <c r="BS42" s="64"/>
      <c r="BT42" s="64"/>
      <c r="BU42" s="64"/>
      <c r="BV42" s="64"/>
      <c r="BW42" s="64"/>
      <c r="BX42" s="64"/>
      <c r="BY42" s="64"/>
      <c r="BZ42" s="64"/>
      <c r="CA42" s="65"/>
      <c r="CB42" s="60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4"/>
      <c r="CV42" s="64"/>
      <c r="CW42" s="64"/>
      <c r="CX42" s="64"/>
      <c r="CY42" s="64"/>
      <c r="CZ42" s="64"/>
      <c r="DA42" s="64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</row>
    <row r="43" spans="2:130" x14ac:dyDescent="0.15">
      <c r="B43" s="58" t="str">
        <f>IF(G43&lt;&gt;"",SUBTOTAL(3,$G$5:G43),"")</f>
        <v/>
      </c>
      <c r="C43" s="58"/>
      <c r="D43" s="58"/>
      <c r="E43" s="59"/>
      <c r="F43" s="59"/>
      <c r="G43" s="60"/>
      <c r="H43" s="61"/>
      <c r="I43" s="70">
        <v>1</v>
      </c>
      <c r="J43" s="63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4"/>
      <c r="AN43" s="64"/>
      <c r="AO43" s="64"/>
      <c r="AP43" s="64"/>
      <c r="AQ43" s="64"/>
      <c r="AR43" s="65"/>
      <c r="AS43" s="63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4"/>
      <c r="BR43" s="64"/>
      <c r="BS43" s="64"/>
      <c r="BT43" s="64"/>
      <c r="BU43" s="64"/>
      <c r="BV43" s="64"/>
      <c r="BW43" s="64"/>
      <c r="BX43" s="64"/>
      <c r="BY43" s="64"/>
      <c r="BZ43" s="64"/>
      <c r="CA43" s="65"/>
      <c r="CB43" s="60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4"/>
      <c r="CV43" s="64"/>
      <c r="CW43" s="64"/>
      <c r="CX43" s="64"/>
      <c r="CY43" s="64"/>
      <c r="CZ43" s="64"/>
      <c r="DA43" s="64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</row>
    <row r="44" spans="2:130" x14ac:dyDescent="0.15">
      <c r="B44" s="58">
        <f>IF(G44&lt;&gt;"",SUBTOTAL(3,$G$5:G44),"")</f>
        <v>18</v>
      </c>
      <c r="C44" s="58"/>
      <c r="D44" s="58"/>
      <c r="E44" s="59" t="s">
        <v>139</v>
      </c>
      <c r="F44" s="59" t="s">
        <v>142</v>
      </c>
      <c r="G44" s="60" t="s">
        <v>229</v>
      </c>
      <c r="H44" s="61">
        <v>43871</v>
      </c>
      <c r="I44" s="62">
        <v>0.3</v>
      </c>
      <c r="J44" s="63" t="s">
        <v>256</v>
      </c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64"/>
      <c r="AF44" s="64"/>
      <c r="AG44" s="64"/>
      <c r="AH44" s="64"/>
      <c r="AI44" s="64"/>
      <c r="AJ44" s="64"/>
      <c r="AK44" s="64"/>
      <c r="AL44" s="64"/>
      <c r="AM44" s="64"/>
      <c r="AN44" s="64"/>
      <c r="AO44" s="64"/>
      <c r="AP44" s="64"/>
      <c r="AQ44" s="64"/>
      <c r="AR44" s="65"/>
      <c r="AS44" s="63" t="s">
        <v>380</v>
      </c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4"/>
      <c r="BR44" s="64"/>
      <c r="BS44" s="64"/>
      <c r="BT44" s="64"/>
      <c r="BU44" s="64"/>
      <c r="BV44" s="64"/>
      <c r="BW44" s="64"/>
      <c r="BX44" s="64"/>
      <c r="BY44" s="64"/>
      <c r="BZ44" s="64"/>
      <c r="CA44" s="65"/>
      <c r="CB44" s="60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4"/>
      <c r="CV44" s="64"/>
      <c r="CW44" s="64"/>
      <c r="CX44" s="64"/>
      <c r="CY44" s="64"/>
      <c r="CZ44" s="64"/>
      <c r="DA44" s="64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</row>
    <row r="45" spans="2:130" x14ac:dyDescent="0.15">
      <c r="B45" s="58" t="str">
        <f>IF(G45&lt;&gt;"",SUBTOTAL(3,$G$5:G45),"")</f>
        <v/>
      </c>
      <c r="C45" s="58"/>
      <c r="D45" s="58"/>
      <c r="E45" s="59"/>
      <c r="F45" s="59"/>
      <c r="G45" s="60"/>
      <c r="H45" s="61"/>
      <c r="I45" s="68">
        <v>0.3</v>
      </c>
      <c r="J45" s="63" t="s">
        <v>364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64"/>
      <c r="AN45" s="64"/>
      <c r="AO45" s="64"/>
      <c r="AP45" s="64"/>
      <c r="AQ45" s="64"/>
      <c r="AR45" s="65"/>
      <c r="AS45" s="63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4"/>
      <c r="BR45" s="64"/>
      <c r="BS45" s="64"/>
      <c r="BT45" s="64"/>
      <c r="BU45" s="64"/>
      <c r="BV45" s="64"/>
      <c r="BW45" s="64"/>
      <c r="BX45" s="64"/>
      <c r="BY45" s="64"/>
      <c r="BZ45" s="64"/>
      <c r="CA45" s="65"/>
      <c r="CB45" s="60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4"/>
      <c r="CV45" s="64"/>
      <c r="CW45" s="64"/>
      <c r="CX45" s="64"/>
      <c r="CY45" s="64"/>
      <c r="CZ45" s="64"/>
      <c r="DA45" s="64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</row>
    <row r="46" spans="2:130" x14ac:dyDescent="0.15">
      <c r="B46" s="58" t="str">
        <f>IF(G46&lt;&gt;"",SUBTOTAL(3,$G$5:G46),"")</f>
        <v/>
      </c>
      <c r="C46" s="58"/>
      <c r="D46" s="58"/>
      <c r="E46" s="59"/>
      <c r="F46" s="59"/>
      <c r="G46" s="60"/>
      <c r="H46" s="61"/>
      <c r="I46" s="68">
        <v>0.3</v>
      </c>
      <c r="J46" s="63" t="s">
        <v>365</v>
      </c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5"/>
      <c r="AS46" s="63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4"/>
      <c r="BR46" s="64"/>
      <c r="BS46" s="64"/>
      <c r="BT46" s="64"/>
      <c r="BU46" s="64"/>
      <c r="BV46" s="64"/>
      <c r="BW46" s="64"/>
      <c r="BX46" s="64"/>
      <c r="BY46" s="64"/>
      <c r="BZ46" s="64"/>
      <c r="CA46" s="65"/>
      <c r="CB46" s="60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4"/>
      <c r="CV46" s="64"/>
      <c r="CW46" s="64"/>
      <c r="CX46" s="64"/>
      <c r="CY46" s="64"/>
      <c r="CZ46" s="64"/>
      <c r="DA46" s="64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</row>
    <row r="47" spans="2:130" x14ac:dyDescent="0.15">
      <c r="B47" s="58" t="str">
        <f>IF(G47&lt;&gt;"",SUBTOTAL(3,$G$5:G47),"")</f>
        <v/>
      </c>
      <c r="C47" s="58"/>
      <c r="D47" s="58"/>
      <c r="E47" s="59"/>
      <c r="F47" s="59"/>
      <c r="G47" s="60"/>
      <c r="H47" s="61"/>
      <c r="I47" s="68">
        <v>0.3</v>
      </c>
      <c r="J47" s="63" t="s">
        <v>257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5"/>
      <c r="AS47" s="63"/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4"/>
      <c r="BR47" s="64"/>
      <c r="BS47" s="64"/>
      <c r="BT47" s="64"/>
      <c r="BU47" s="64"/>
      <c r="BV47" s="64"/>
      <c r="BW47" s="64"/>
      <c r="BX47" s="64"/>
      <c r="BY47" s="64"/>
      <c r="BZ47" s="64"/>
      <c r="CA47" s="65"/>
      <c r="CB47" s="60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4"/>
      <c r="CV47" s="64"/>
      <c r="CW47" s="64"/>
      <c r="CX47" s="64"/>
      <c r="CY47" s="64"/>
      <c r="CZ47" s="64"/>
      <c r="DA47" s="64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</row>
    <row r="48" spans="2:130" x14ac:dyDescent="0.15">
      <c r="B48" s="58"/>
      <c r="C48" s="58"/>
      <c r="D48" s="58"/>
      <c r="E48" s="59"/>
      <c r="F48" s="59"/>
      <c r="G48" s="60"/>
      <c r="H48" s="61"/>
      <c r="I48" s="68">
        <v>0.3</v>
      </c>
      <c r="J48" s="71" t="s">
        <v>230</v>
      </c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  <c r="AO48" s="72"/>
      <c r="AP48" s="72"/>
      <c r="AQ48" s="72"/>
      <c r="AR48" s="73"/>
      <c r="AS48" s="63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4"/>
      <c r="BR48" s="64"/>
      <c r="BS48" s="64"/>
      <c r="BT48" s="64"/>
      <c r="BU48" s="64"/>
      <c r="BV48" s="64"/>
      <c r="BW48" s="64"/>
      <c r="BX48" s="64"/>
      <c r="BY48" s="64"/>
      <c r="BZ48" s="64"/>
      <c r="CA48" s="65"/>
      <c r="CB48" s="60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4"/>
      <c r="CV48" s="64"/>
      <c r="CW48" s="64"/>
      <c r="CX48" s="64"/>
      <c r="CY48" s="64"/>
      <c r="CZ48" s="64"/>
      <c r="DA48" s="64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</row>
    <row r="49" spans="2:130" x14ac:dyDescent="0.15">
      <c r="B49" s="58"/>
      <c r="C49" s="58"/>
      <c r="D49" s="58"/>
      <c r="E49" s="59"/>
      <c r="F49" s="59"/>
      <c r="G49" s="60"/>
      <c r="H49" s="61"/>
      <c r="I49" s="68">
        <v>0.3</v>
      </c>
      <c r="J49" s="71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3"/>
      <c r="AS49" s="63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4"/>
      <c r="BR49" s="64"/>
      <c r="BS49" s="64"/>
      <c r="BT49" s="64"/>
      <c r="BU49" s="64"/>
      <c r="BV49" s="64"/>
      <c r="BW49" s="64"/>
      <c r="BX49" s="64"/>
      <c r="BY49" s="64"/>
      <c r="BZ49" s="64"/>
      <c r="CA49" s="65"/>
      <c r="CB49" s="60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4"/>
      <c r="CV49" s="64"/>
      <c r="CW49" s="64"/>
      <c r="CX49" s="64"/>
      <c r="CY49" s="64"/>
      <c r="CZ49" s="64"/>
      <c r="DA49" s="64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</row>
    <row r="50" spans="2:130" x14ac:dyDescent="0.15">
      <c r="B50" s="58">
        <f>IF(G50&lt;&gt;"",SUBTOTAL(3,$G$5:G50),"")</f>
        <v>19</v>
      </c>
      <c r="C50" s="58"/>
      <c r="D50" s="58"/>
      <c r="E50" s="59" t="s">
        <v>139</v>
      </c>
      <c r="F50" s="59" t="s">
        <v>135</v>
      </c>
      <c r="G50" s="60" t="s">
        <v>227</v>
      </c>
      <c r="H50" s="61">
        <v>44072</v>
      </c>
      <c r="I50" s="62">
        <v>0.8</v>
      </c>
      <c r="J50" s="63" t="s">
        <v>384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5"/>
      <c r="AS50" s="63" t="s">
        <v>381</v>
      </c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4"/>
      <c r="BR50" s="64"/>
      <c r="BS50" s="64"/>
      <c r="BT50" s="64"/>
      <c r="BU50" s="64"/>
      <c r="BV50" s="64"/>
      <c r="BW50" s="64"/>
      <c r="BX50" s="64"/>
      <c r="BY50" s="64"/>
      <c r="BZ50" s="64"/>
      <c r="CA50" s="65"/>
      <c r="CB50" s="60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4"/>
      <c r="CV50" s="64"/>
      <c r="CW50" s="64"/>
      <c r="CX50" s="64"/>
      <c r="CY50" s="64"/>
      <c r="CZ50" s="64"/>
      <c r="DA50" s="64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</row>
    <row r="51" spans="2:130" x14ac:dyDescent="0.15">
      <c r="B51" s="58" t="str">
        <f>IF(G51&lt;&gt;"",SUBTOTAL(3,$G$5:G51),"")</f>
        <v/>
      </c>
      <c r="C51" s="58"/>
      <c r="D51" s="58"/>
      <c r="E51" s="59"/>
      <c r="F51" s="59"/>
      <c r="G51" s="60"/>
      <c r="H51" s="61"/>
      <c r="I51" s="68">
        <v>0.8</v>
      </c>
      <c r="J51" s="63" t="s">
        <v>385</v>
      </c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64"/>
      <c r="AF51" s="64"/>
      <c r="AG51" s="64"/>
      <c r="AH51" s="64"/>
      <c r="AI51" s="64"/>
      <c r="AJ51" s="64"/>
      <c r="AK51" s="64"/>
      <c r="AL51" s="64"/>
      <c r="AM51" s="64"/>
      <c r="AN51" s="64"/>
      <c r="AO51" s="64"/>
      <c r="AP51" s="64"/>
      <c r="AQ51" s="64"/>
      <c r="AR51" s="65"/>
      <c r="AS51" s="63" t="s">
        <v>382</v>
      </c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4"/>
      <c r="BR51" s="64"/>
      <c r="BS51" s="64"/>
      <c r="BT51" s="64"/>
      <c r="BU51" s="64"/>
      <c r="BV51" s="64"/>
      <c r="BW51" s="64"/>
      <c r="BX51" s="64"/>
      <c r="BY51" s="64"/>
      <c r="BZ51" s="64"/>
      <c r="CA51" s="65"/>
      <c r="CB51" s="60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4"/>
      <c r="CV51" s="64"/>
      <c r="CW51" s="64"/>
      <c r="CX51" s="64"/>
      <c r="CY51" s="64"/>
      <c r="CZ51" s="64"/>
      <c r="DA51" s="64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</row>
    <row r="52" spans="2:130" x14ac:dyDescent="0.15">
      <c r="B52" s="58" t="str">
        <f>IF(G52&lt;&gt;"",SUBTOTAL(3,$G$5:G52),"")</f>
        <v/>
      </c>
      <c r="C52" s="58"/>
      <c r="D52" s="58"/>
      <c r="E52" s="59"/>
      <c r="F52" s="59"/>
      <c r="G52" s="60"/>
      <c r="H52" s="61"/>
      <c r="I52" s="68">
        <v>0.8</v>
      </c>
      <c r="J52" s="63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64"/>
      <c r="AF52" s="64"/>
      <c r="AG52" s="64"/>
      <c r="AH52" s="64"/>
      <c r="AI52" s="64"/>
      <c r="AJ52" s="64"/>
      <c r="AK52" s="64"/>
      <c r="AL52" s="64"/>
      <c r="AM52" s="64"/>
      <c r="AN52" s="64"/>
      <c r="AO52" s="64"/>
      <c r="AP52" s="64"/>
      <c r="AQ52" s="64"/>
      <c r="AR52" s="65"/>
      <c r="AS52" s="63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4"/>
      <c r="BR52" s="64"/>
      <c r="BS52" s="64"/>
      <c r="BT52" s="64"/>
      <c r="BU52" s="64"/>
      <c r="BV52" s="64"/>
      <c r="BW52" s="64"/>
      <c r="BX52" s="64"/>
      <c r="BY52" s="64"/>
      <c r="BZ52" s="64"/>
      <c r="CA52" s="65"/>
      <c r="CB52" s="60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4"/>
      <c r="CV52" s="64"/>
      <c r="CW52" s="64"/>
      <c r="CX52" s="64"/>
      <c r="CY52" s="64"/>
      <c r="CZ52" s="64"/>
      <c r="DA52" s="64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</row>
    <row r="53" spans="2:130" x14ac:dyDescent="0.15">
      <c r="B53" s="58">
        <f>IF(G53&lt;&gt;"",SUBTOTAL(3,$G$5:G53),"")</f>
        <v>20</v>
      </c>
      <c r="C53" s="58"/>
      <c r="D53" s="58"/>
      <c r="E53" s="59" t="s">
        <v>139</v>
      </c>
      <c r="F53" s="59" t="s">
        <v>135</v>
      </c>
      <c r="G53" s="60" t="s">
        <v>225</v>
      </c>
      <c r="H53" s="61">
        <v>44070</v>
      </c>
      <c r="I53" s="62">
        <v>0.8</v>
      </c>
      <c r="J53" s="63" t="s">
        <v>386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5"/>
      <c r="AS53" s="63" t="s">
        <v>383</v>
      </c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4"/>
      <c r="BR53" s="64"/>
      <c r="BS53" s="64"/>
      <c r="BT53" s="64"/>
      <c r="BU53" s="64"/>
      <c r="BV53" s="64"/>
      <c r="BW53" s="64"/>
      <c r="BX53" s="64"/>
      <c r="BY53" s="64"/>
      <c r="BZ53" s="64"/>
      <c r="CA53" s="65"/>
      <c r="CB53" s="60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4"/>
      <c r="CV53" s="64"/>
      <c r="CW53" s="64"/>
      <c r="CX53" s="64"/>
      <c r="CY53" s="64"/>
      <c r="CZ53" s="64"/>
      <c r="DA53" s="64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</row>
    <row r="54" spans="2:130" x14ac:dyDescent="0.15">
      <c r="B54" s="58" t="str">
        <f>IF(G54&lt;&gt;"",SUBTOTAL(3,$G$5:G54),"")</f>
        <v/>
      </c>
      <c r="C54" s="58"/>
      <c r="D54" s="58"/>
      <c r="E54" s="59"/>
      <c r="F54" s="59"/>
      <c r="G54" s="60"/>
      <c r="H54" s="61"/>
      <c r="I54" s="68">
        <v>0.8</v>
      </c>
      <c r="J54" s="63" t="s">
        <v>258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4"/>
      <c r="AN54" s="64"/>
      <c r="AO54" s="64"/>
      <c r="AP54" s="64"/>
      <c r="AQ54" s="64"/>
      <c r="AR54" s="65"/>
      <c r="AS54" s="63"/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4"/>
      <c r="BR54" s="64"/>
      <c r="BS54" s="64"/>
      <c r="BT54" s="64"/>
      <c r="BU54" s="64"/>
      <c r="BV54" s="64"/>
      <c r="BW54" s="64"/>
      <c r="BX54" s="64"/>
      <c r="BY54" s="64"/>
      <c r="BZ54" s="64"/>
      <c r="CA54" s="65"/>
      <c r="CB54" s="60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4"/>
      <c r="CV54" s="64"/>
      <c r="CW54" s="64"/>
      <c r="CX54" s="64"/>
      <c r="CY54" s="64"/>
      <c r="CZ54" s="64"/>
      <c r="DA54" s="64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</row>
    <row r="55" spans="2:130" x14ac:dyDescent="0.15">
      <c r="B55" s="58" t="str">
        <f>IF(G55&lt;&gt;"",SUBTOTAL(3,$G$5:G55),"")</f>
        <v/>
      </c>
      <c r="C55" s="58"/>
      <c r="D55" s="58"/>
      <c r="E55" s="59"/>
      <c r="F55" s="59"/>
      <c r="G55" s="60"/>
      <c r="H55" s="61"/>
      <c r="I55" s="68">
        <v>0.8</v>
      </c>
      <c r="J55" s="63" t="s">
        <v>259</v>
      </c>
      <c r="K55" s="64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/>
      <c r="AB55" s="64"/>
      <c r="AC55" s="64"/>
      <c r="AD55" s="64"/>
      <c r="AE55" s="64"/>
      <c r="AF55" s="64"/>
      <c r="AG55" s="64"/>
      <c r="AH55" s="64"/>
      <c r="AI55" s="64"/>
      <c r="AJ55" s="64"/>
      <c r="AK55" s="64"/>
      <c r="AL55" s="64"/>
      <c r="AM55" s="64"/>
      <c r="AN55" s="64"/>
      <c r="AO55" s="64"/>
      <c r="AP55" s="64"/>
      <c r="AQ55" s="64"/>
      <c r="AR55" s="65"/>
      <c r="AS55" s="63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4"/>
      <c r="BR55" s="64"/>
      <c r="BS55" s="64"/>
      <c r="BT55" s="64"/>
      <c r="BU55" s="64"/>
      <c r="BV55" s="64"/>
      <c r="BW55" s="64"/>
      <c r="BX55" s="64"/>
      <c r="BY55" s="64"/>
      <c r="BZ55" s="64"/>
      <c r="CA55" s="65"/>
      <c r="CB55" s="60"/>
      <c r="CH55" s="64"/>
      <c r="CI55" s="64"/>
      <c r="CJ55" s="64"/>
      <c r="CK55" s="64"/>
      <c r="CL55" s="64"/>
      <c r="CM55" s="64"/>
      <c r="CN55" s="64"/>
      <c r="CO55" s="64"/>
      <c r="CP55" s="64"/>
      <c r="CQ55" s="64"/>
      <c r="CR55" s="64"/>
      <c r="CS55" s="64"/>
      <c r="CT55" s="64"/>
      <c r="CU55" s="64"/>
      <c r="CV55" s="64"/>
      <c r="CW55" s="64"/>
      <c r="CX55" s="64"/>
      <c r="CY55" s="64"/>
      <c r="CZ55" s="64"/>
      <c r="DA55" s="64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</row>
    <row r="56" spans="2:130" x14ac:dyDescent="0.15">
      <c r="B56" s="58" t="str">
        <f>IF(G56&lt;&gt;"",SUBTOTAL(3,$G$5:G56),"")</f>
        <v/>
      </c>
      <c r="C56" s="58"/>
      <c r="D56" s="58"/>
      <c r="E56" s="59"/>
      <c r="F56" s="59"/>
      <c r="G56" s="60"/>
      <c r="H56" s="61"/>
      <c r="I56" s="68">
        <v>0.8</v>
      </c>
      <c r="J56" s="71" t="s">
        <v>226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4"/>
      <c r="AN56" s="64"/>
      <c r="AO56" s="64"/>
      <c r="AP56" s="64"/>
      <c r="AQ56" s="64"/>
      <c r="AR56" s="65"/>
      <c r="AS56" s="63"/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4"/>
      <c r="BR56" s="64"/>
      <c r="BS56" s="64"/>
      <c r="BT56" s="64"/>
      <c r="BU56" s="64"/>
      <c r="BV56" s="64"/>
      <c r="BW56" s="64"/>
      <c r="BX56" s="64"/>
      <c r="BY56" s="64"/>
      <c r="BZ56" s="64"/>
      <c r="CA56" s="65"/>
      <c r="CB56" s="60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4"/>
      <c r="CV56" s="64"/>
      <c r="CW56" s="64"/>
      <c r="CX56" s="64"/>
      <c r="CY56" s="64"/>
      <c r="CZ56" s="64"/>
      <c r="DA56" s="64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</row>
    <row r="57" spans="2:130" x14ac:dyDescent="0.15">
      <c r="B57" s="58" t="str">
        <f>IF(G57&lt;&gt;"",SUBTOTAL(3,$G$5:G57),"")</f>
        <v/>
      </c>
      <c r="C57" s="58"/>
      <c r="D57" s="58"/>
      <c r="E57" s="59"/>
      <c r="F57" s="59"/>
      <c r="G57" s="60"/>
      <c r="H57" s="61"/>
      <c r="I57" s="68">
        <v>0.8</v>
      </c>
      <c r="J57" s="71"/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4"/>
      <c r="AN57" s="64"/>
      <c r="AO57" s="64"/>
      <c r="AP57" s="64"/>
      <c r="AQ57" s="64"/>
      <c r="AR57" s="65"/>
      <c r="AS57" s="63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4"/>
      <c r="BR57" s="64"/>
      <c r="BS57" s="64"/>
      <c r="BT57" s="64"/>
      <c r="BU57" s="64"/>
      <c r="BV57" s="64"/>
      <c r="BW57" s="64"/>
      <c r="BX57" s="64"/>
      <c r="BY57" s="64"/>
      <c r="BZ57" s="64"/>
      <c r="CA57" s="65"/>
      <c r="CB57" s="60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4"/>
      <c r="CV57" s="64"/>
      <c r="CW57" s="64"/>
      <c r="CX57" s="64"/>
      <c r="CY57" s="64"/>
      <c r="CZ57" s="64"/>
      <c r="DA57" s="64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</row>
    <row r="58" spans="2:130" x14ac:dyDescent="0.15">
      <c r="B58" s="58" t="str">
        <f>IF(G58&lt;&gt;"",SUBTOTAL(3,$G$5:G58),"")</f>
        <v/>
      </c>
      <c r="C58" s="58"/>
      <c r="D58" s="58"/>
      <c r="E58" s="59"/>
      <c r="F58" s="59"/>
      <c r="G58" s="60"/>
      <c r="H58" s="61"/>
      <c r="I58" s="68">
        <v>0.8</v>
      </c>
      <c r="J58" s="71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72"/>
      <c r="AG58" s="72"/>
      <c r="AH58" s="72"/>
      <c r="AI58" s="72"/>
      <c r="AJ58" s="72"/>
      <c r="AK58" s="72"/>
      <c r="AL58" s="72"/>
      <c r="AM58" s="72"/>
      <c r="AN58" s="72"/>
      <c r="AO58" s="72"/>
      <c r="AP58" s="72"/>
      <c r="AQ58" s="72"/>
      <c r="AR58" s="73"/>
      <c r="AS58" s="71"/>
      <c r="AT58" s="72"/>
      <c r="AU58" s="72"/>
      <c r="AV58" s="72"/>
      <c r="AW58" s="72"/>
      <c r="AX58" s="72"/>
      <c r="AY58" s="72"/>
      <c r="AZ58" s="72"/>
      <c r="BA58" s="72"/>
      <c r="BB58" s="72"/>
      <c r="BC58" s="72"/>
      <c r="BD58" s="72"/>
      <c r="BE58" s="72"/>
      <c r="BF58" s="72"/>
      <c r="BG58" s="72"/>
      <c r="BH58" s="72"/>
      <c r="BI58" s="72"/>
      <c r="BJ58" s="72"/>
      <c r="BK58" s="72"/>
      <c r="BL58" s="72"/>
      <c r="BM58" s="72"/>
      <c r="BN58" s="72"/>
      <c r="BO58" s="72"/>
      <c r="BP58" s="72"/>
      <c r="BQ58" s="72"/>
      <c r="BR58" s="72"/>
      <c r="BS58" s="72"/>
      <c r="BT58" s="72"/>
      <c r="BU58" s="72"/>
      <c r="BV58" s="72"/>
      <c r="BW58" s="72"/>
      <c r="BX58" s="72"/>
      <c r="BY58" s="72"/>
      <c r="BZ58" s="72"/>
      <c r="CA58" s="73"/>
      <c r="CB58" s="60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4"/>
      <c r="CV58" s="64"/>
      <c r="CW58" s="64"/>
      <c r="CX58" s="64"/>
      <c r="CY58" s="64"/>
      <c r="CZ58" s="64"/>
      <c r="DA58" s="64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</row>
    <row r="59" spans="2:130" x14ac:dyDescent="0.15">
      <c r="B59" s="58">
        <f>IF(G59&lt;&gt;"",SUBTOTAL(3,$G$5:G59),"")</f>
        <v>21</v>
      </c>
      <c r="C59" s="58"/>
      <c r="D59" s="58"/>
      <c r="E59" s="59" t="s">
        <v>139</v>
      </c>
      <c r="F59" s="59" t="s">
        <v>135</v>
      </c>
      <c r="G59" s="60" t="s">
        <v>221</v>
      </c>
      <c r="H59" s="61">
        <v>44066</v>
      </c>
      <c r="I59" s="62">
        <v>0</v>
      </c>
      <c r="J59" s="63" t="s">
        <v>260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64"/>
      <c r="AN59" s="64"/>
      <c r="AO59" s="64"/>
      <c r="AP59" s="64"/>
      <c r="AQ59" s="64"/>
      <c r="AR59" s="65"/>
      <c r="AS59" s="63" t="s">
        <v>222</v>
      </c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4"/>
      <c r="BR59" s="64"/>
      <c r="BS59" s="64"/>
      <c r="BT59" s="64"/>
      <c r="BU59" s="64"/>
      <c r="BV59" s="64"/>
      <c r="BW59" s="64"/>
      <c r="BX59" s="64"/>
      <c r="BY59" s="64"/>
      <c r="BZ59" s="64"/>
      <c r="CA59" s="65"/>
      <c r="CB59" s="60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4"/>
      <c r="CV59" s="64"/>
      <c r="CW59" s="64"/>
      <c r="CX59" s="64"/>
      <c r="CY59" s="64"/>
      <c r="CZ59" s="64"/>
      <c r="DA59" s="64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</row>
    <row r="60" spans="2:130" x14ac:dyDescent="0.15">
      <c r="B60" s="58" t="str">
        <f>IF(G60&lt;&gt;"",SUBTOTAL(3,$G$5:G60),"")</f>
        <v/>
      </c>
      <c r="C60" s="58"/>
      <c r="D60" s="58"/>
      <c r="E60" s="59"/>
      <c r="F60" s="59"/>
      <c r="G60" s="60"/>
      <c r="H60" s="61"/>
      <c r="I60" s="68">
        <v>0</v>
      </c>
      <c r="J60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64"/>
      <c r="AN60" s="64"/>
      <c r="AO60" s="64"/>
      <c r="AP60" s="64"/>
      <c r="AQ60" s="64"/>
      <c r="AR60" s="65"/>
      <c r="AS60" s="63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4"/>
      <c r="BR60" s="64"/>
      <c r="BS60" s="64"/>
      <c r="BT60" s="64"/>
      <c r="BU60" s="64"/>
      <c r="BV60" s="64"/>
      <c r="BW60" s="64"/>
      <c r="BX60" s="64"/>
      <c r="BY60" s="64"/>
      <c r="BZ60" s="64"/>
      <c r="CA60" s="65"/>
      <c r="CB60" s="60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4"/>
      <c r="CV60" s="64"/>
      <c r="CW60" s="64"/>
      <c r="CX60" s="64"/>
      <c r="CY60" s="64"/>
      <c r="CZ60" s="64"/>
      <c r="DA60" s="64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</row>
    <row r="61" spans="2:130" x14ac:dyDescent="0.15">
      <c r="B61" s="58" t="str">
        <f>IF(G61&lt;&gt;"",SUBTOTAL(3,$G$5:G61),"")</f>
        <v/>
      </c>
      <c r="C61" s="58"/>
      <c r="D61" s="58"/>
      <c r="E61" s="59"/>
      <c r="F61" s="59"/>
      <c r="G61" s="60"/>
      <c r="H61" s="61"/>
      <c r="I61" s="68">
        <v>0</v>
      </c>
      <c r="J61" s="100" t="s">
        <v>387</v>
      </c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3"/>
      <c r="AS61" s="63"/>
      <c r="AT61" s="64"/>
      <c r="AU61" s="64"/>
      <c r="AV61" s="64"/>
      <c r="AW61" s="64"/>
      <c r="AX61" s="64"/>
      <c r="AY61" s="64"/>
      <c r="AZ61" s="64"/>
      <c r="BA61" s="64"/>
      <c r="BB61" s="64"/>
      <c r="BC61" s="64"/>
      <c r="BD61" s="64"/>
      <c r="BE61" s="64"/>
      <c r="BF61" s="64"/>
      <c r="BG61" s="64"/>
      <c r="BH61" s="64"/>
      <c r="BI61" s="64"/>
      <c r="BJ61" s="64"/>
      <c r="BK61" s="64"/>
      <c r="BL61" s="64"/>
      <c r="BM61" s="64"/>
      <c r="BN61" s="64"/>
      <c r="BO61" s="64"/>
      <c r="BP61" s="64"/>
      <c r="BQ61" s="64"/>
      <c r="BR61" s="64"/>
      <c r="BS61" s="64"/>
      <c r="BT61" s="64"/>
      <c r="BU61" s="64"/>
      <c r="BV61" s="64"/>
      <c r="BW61" s="64"/>
      <c r="BX61" s="64"/>
      <c r="BY61" s="64"/>
      <c r="BZ61" s="64"/>
      <c r="CA61" s="65"/>
      <c r="CB61" s="60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4"/>
      <c r="CV61" s="64"/>
      <c r="CW61" s="64"/>
      <c r="CX61" s="64"/>
      <c r="CY61" s="64"/>
      <c r="CZ61" s="64"/>
      <c r="DA61" s="64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</row>
    <row r="62" spans="2:130" x14ac:dyDescent="0.15">
      <c r="B62" s="58" t="str">
        <f>IF(G62&lt;&gt;"",SUBTOTAL(3,$G$5:G62),"")</f>
        <v/>
      </c>
      <c r="C62" s="58"/>
      <c r="D62" s="58"/>
      <c r="E62" s="59"/>
      <c r="F62" s="59"/>
      <c r="G62" s="60"/>
      <c r="H62" s="61"/>
      <c r="I62" s="68">
        <v>0</v>
      </c>
      <c r="J62" s="101" t="s">
        <v>372</v>
      </c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  <c r="AA62" s="72"/>
      <c r="AB62" s="72"/>
      <c r="AC62" s="72"/>
      <c r="AD62" s="72"/>
      <c r="AE62" s="72"/>
      <c r="AF62" s="72"/>
      <c r="AG62" s="72"/>
      <c r="AH62" s="72"/>
      <c r="AI62" s="72"/>
      <c r="AJ62" s="72"/>
      <c r="AK62" s="72"/>
      <c r="AL62" s="72"/>
      <c r="AM62" s="72"/>
      <c r="AN62" s="72"/>
      <c r="AO62" s="72"/>
      <c r="AP62" s="72"/>
      <c r="AQ62" s="72"/>
      <c r="AR62" s="73"/>
      <c r="AS62" s="63"/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4"/>
      <c r="BR62" s="64"/>
      <c r="BS62" s="64"/>
      <c r="BT62" s="64"/>
      <c r="BU62" s="64"/>
      <c r="BV62" s="64"/>
      <c r="BW62" s="64"/>
      <c r="BX62" s="64"/>
      <c r="BY62" s="64"/>
      <c r="BZ62" s="64"/>
      <c r="CA62" s="65"/>
      <c r="CB62" s="60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4"/>
      <c r="CV62" s="64"/>
      <c r="CW62" s="64"/>
      <c r="CX62" s="64"/>
      <c r="CY62" s="64"/>
      <c r="CZ62" s="64"/>
      <c r="DA62" s="64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</row>
    <row r="63" spans="2:130" x14ac:dyDescent="0.15">
      <c r="B63" s="58" t="str">
        <f>IF(G63&lt;&gt;"",SUBTOTAL(3,$G$5:G63),"")</f>
        <v/>
      </c>
      <c r="C63" s="58"/>
      <c r="D63" s="58"/>
      <c r="E63" s="59"/>
      <c r="F63" s="59"/>
      <c r="G63" s="60"/>
      <c r="H63" s="61"/>
      <c r="I63" s="68">
        <v>0</v>
      </c>
      <c r="J63" s="100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  <c r="AA63" s="72"/>
      <c r="AB63" s="72"/>
      <c r="AC63" s="72"/>
      <c r="AD63" s="72"/>
      <c r="AE63" s="72"/>
      <c r="AF63" s="72"/>
      <c r="AG63" s="72"/>
      <c r="AH63" s="72"/>
      <c r="AI63" s="72"/>
      <c r="AJ63" s="72"/>
      <c r="AK63" s="72"/>
      <c r="AL63" s="72"/>
      <c r="AM63" s="72"/>
      <c r="AN63" s="72"/>
      <c r="AO63" s="72"/>
      <c r="AP63" s="72"/>
      <c r="AQ63" s="72"/>
      <c r="AR63" s="73"/>
      <c r="AS63" s="63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4"/>
      <c r="BR63" s="64"/>
      <c r="BS63" s="64"/>
      <c r="BT63" s="64"/>
      <c r="BU63" s="64"/>
      <c r="BV63" s="64"/>
      <c r="BW63" s="64"/>
      <c r="BX63" s="64"/>
      <c r="BY63" s="64"/>
      <c r="BZ63" s="64"/>
      <c r="CA63" s="65"/>
      <c r="CB63" s="60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4"/>
      <c r="CV63" s="64"/>
      <c r="CW63" s="64"/>
      <c r="CX63" s="64"/>
      <c r="CY63" s="64"/>
      <c r="CZ63" s="64"/>
      <c r="DA63" s="64"/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</row>
    <row r="64" spans="2:130" x14ac:dyDescent="0.15">
      <c r="B64" s="58">
        <f>IF(G64&lt;&gt;"",SUBTOTAL(3,$G$5:G64),"")</f>
        <v>22</v>
      </c>
      <c r="C64" s="58"/>
      <c r="D64" s="58"/>
      <c r="E64" s="59" t="s">
        <v>139</v>
      </c>
      <c r="F64" s="59" t="s">
        <v>135</v>
      </c>
      <c r="G64" s="60" t="s">
        <v>116</v>
      </c>
      <c r="H64" s="61">
        <v>43869</v>
      </c>
      <c r="I64" s="62"/>
      <c r="J64" s="63"/>
      <c r="K64" s="64"/>
      <c r="L64" s="64"/>
      <c r="M64" s="64"/>
      <c r="N64" s="64"/>
      <c r="O64" s="64"/>
      <c r="P64" s="64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4"/>
      <c r="AH64" s="64"/>
      <c r="AI64" s="64"/>
      <c r="AJ64" s="64"/>
      <c r="AK64" s="64"/>
      <c r="AL64" s="64"/>
      <c r="AM64" s="64"/>
      <c r="AN64" s="64"/>
      <c r="AO64" s="64"/>
      <c r="AP64" s="64"/>
      <c r="AQ64" s="64"/>
      <c r="AR64" s="65"/>
      <c r="AS64" s="63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4"/>
      <c r="BR64" s="64"/>
      <c r="BS64" s="64"/>
      <c r="BT64" s="64"/>
      <c r="BU64" s="64"/>
      <c r="BV64" s="64"/>
      <c r="BW64" s="64"/>
      <c r="BX64" s="64"/>
      <c r="BY64" s="64"/>
      <c r="BZ64" s="64"/>
      <c r="CA64" s="65"/>
      <c r="CB64" s="60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4"/>
      <c r="CV64" s="64"/>
      <c r="CW64" s="64"/>
      <c r="CX64" s="64"/>
      <c r="CY64" s="64"/>
      <c r="CZ64" s="64"/>
      <c r="DA64" s="64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</row>
    <row r="65" spans="2:130" x14ac:dyDescent="0.15">
      <c r="B65" s="58">
        <f>IF(G65&lt;&gt;"",SUBTOTAL(3,$G$5:G65),"")</f>
        <v>23</v>
      </c>
      <c r="C65" s="58"/>
      <c r="D65" s="58"/>
      <c r="E65" s="59" t="s">
        <v>139</v>
      </c>
      <c r="F65" s="59" t="s">
        <v>135</v>
      </c>
      <c r="G65" s="60" t="s">
        <v>157</v>
      </c>
      <c r="H65" s="61">
        <v>43995</v>
      </c>
      <c r="I65" s="62"/>
      <c r="J65" s="63"/>
      <c r="K65" s="64"/>
      <c r="L65" s="64"/>
      <c r="M65" s="64"/>
      <c r="N65" s="64"/>
      <c r="O65" s="64"/>
      <c r="P65" s="64"/>
      <c r="Q65" s="64"/>
      <c r="R65" s="64"/>
      <c r="S65" s="64"/>
      <c r="T65" s="64"/>
      <c r="U65" s="64"/>
      <c r="V65" s="64"/>
      <c r="W65" s="64"/>
      <c r="X65" s="64"/>
      <c r="Y65" s="64"/>
      <c r="Z65" s="64"/>
      <c r="AA65" s="64"/>
      <c r="AB65" s="64"/>
      <c r="AC65" s="64"/>
      <c r="AD65" s="64"/>
      <c r="AE65" s="64"/>
      <c r="AF65" s="64"/>
      <c r="AG65" s="64"/>
      <c r="AH65" s="64"/>
      <c r="AI65" s="64"/>
      <c r="AJ65" s="64"/>
      <c r="AK65" s="64"/>
      <c r="AL65" s="64"/>
      <c r="AM65" s="64"/>
      <c r="AN65" s="64"/>
      <c r="AO65" s="64"/>
      <c r="AP65" s="64"/>
      <c r="AQ65" s="64"/>
      <c r="AR65" s="65"/>
      <c r="AS65" s="63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4"/>
      <c r="BR65" s="64"/>
      <c r="BS65" s="64"/>
      <c r="BT65" s="64"/>
      <c r="BU65" s="64"/>
      <c r="BV65" s="64"/>
      <c r="BW65" s="64"/>
      <c r="BX65" s="64"/>
      <c r="BY65" s="64"/>
      <c r="BZ65" s="64"/>
      <c r="CA65" s="65"/>
      <c r="CB65" s="67" t="s">
        <v>13</v>
      </c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4"/>
      <c r="CV65" s="64"/>
      <c r="CW65" s="64"/>
      <c r="CX65" s="64"/>
      <c r="CY65" s="64"/>
      <c r="CZ65" s="64"/>
      <c r="DA65" s="64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</row>
    <row r="66" spans="2:130" x14ac:dyDescent="0.15">
      <c r="B66" s="58">
        <f>IF(G66&lt;&gt;"",SUBTOTAL(3,$G$5:G66),"")</f>
        <v>24</v>
      </c>
      <c r="C66" s="58"/>
      <c r="D66" s="58"/>
      <c r="E66" s="59" t="s">
        <v>139</v>
      </c>
      <c r="F66" s="59" t="s">
        <v>135</v>
      </c>
      <c r="G66" s="60" t="s">
        <v>158</v>
      </c>
      <c r="H66" s="61">
        <v>43961</v>
      </c>
      <c r="I66" s="62"/>
      <c r="J66" s="63"/>
      <c r="K66" s="64"/>
      <c r="L66" s="64"/>
      <c r="M66" s="64"/>
      <c r="N66" s="64"/>
      <c r="O66" s="64"/>
      <c r="P66" s="64"/>
      <c r="Q66" s="64"/>
      <c r="R66" s="64"/>
      <c r="S66" s="64"/>
      <c r="T66" s="64"/>
      <c r="U66" s="64"/>
      <c r="V66" s="64"/>
      <c r="W66" s="64"/>
      <c r="X66" s="64"/>
      <c r="Y66" s="64"/>
      <c r="Z66" s="64"/>
      <c r="AA66" s="64"/>
      <c r="AB66" s="64"/>
      <c r="AC66" s="64"/>
      <c r="AD66" s="64"/>
      <c r="AE66" s="64"/>
      <c r="AF66" s="64"/>
      <c r="AG66" s="64"/>
      <c r="AH66" s="64"/>
      <c r="AI66" s="64"/>
      <c r="AJ66" s="64"/>
      <c r="AK66" s="64"/>
      <c r="AL66" s="64"/>
      <c r="AM66" s="64"/>
      <c r="AN66" s="64"/>
      <c r="AO66" s="64"/>
      <c r="AP66" s="64"/>
      <c r="AQ66" s="64"/>
      <c r="AR66" s="65"/>
      <c r="AS66" s="63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4"/>
      <c r="BR66" s="64"/>
      <c r="BS66" s="64"/>
      <c r="BT66" s="64"/>
      <c r="BU66" s="64"/>
      <c r="BV66" s="64"/>
      <c r="BW66" s="64"/>
      <c r="BX66" s="64"/>
      <c r="BY66" s="64"/>
      <c r="BZ66" s="64"/>
      <c r="CA66" s="65"/>
      <c r="CB66" s="60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4"/>
      <c r="CV66" s="64"/>
      <c r="CW66" s="64"/>
      <c r="CX66" s="64"/>
      <c r="CY66" s="64"/>
      <c r="CZ66" s="64"/>
      <c r="DA66" s="64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</row>
    <row r="67" spans="2:130" x14ac:dyDescent="0.15">
      <c r="B67" s="58">
        <f>IF(G67&lt;&gt;"",SUBTOTAL(3,$G$5:G67),"")</f>
        <v>25</v>
      </c>
      <c r="C67" s="58"/>
      <c r="D67" s="58"/>
      <c r="E67" s="59" t="s">
        <v>139</v>
      </c>
      <c r="F67" s="59" t="s">
        <v>135</v>
      </c>
      <c r="G67" s="60" t="s">
        <v>159</v>
      </c>
      <c r="H67" s="61">
        <v>43995</v>
      </c>
      <c r="I67" s="62"/>
      <c r="J67" s="63"/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4"/>
      <c r="AN67" s="64"/>
      <c r="AO67" s="64"/>
      <c r="AP67" s="64"/>
      <c r="AQ67" s="64"/>
      <c r="AR67" s="65"/>
      <c r="AS67" s="63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4"/>
      <c r="BR67" s="64"/>
      <c r="BS67" s="64"/>
      <c r="BT67" s="64"/>
      <c r="BU67" s="64"/>
      <c r="BV67" s="64"/>
      <c r="BW67" s="64"/>
      <c r="BX67" s="64"/>
      <c r="BY67" s="64"/>
      <c r="BZ67" s="64"/>
      <c r="CA67" s="65"/>
      <c r="CB67" s="60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4"/>
      <c r="CV67" s="64"/>
      <c r="CW67" s="64"/>
      <c r="CX67" s="64"/>
      <c r="CY67" s="64"/>
      <c r="CZ67" s="64"/>
      <c r="DA67" s="64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</row>
    <row r="68" spans="2:130" x14ac:dyDescent="0.15">
      <c r="B68" s="58">
        <f>IF(G68&lt;&gt;"",SUBTOTAL(3,$G$5:G68),"")</f>
        <v>26</v>
      </c>
      <c r="C68" s="58"/>
      <c r="D68" s="58"/>
      <c r="E68" s="59" t="s">
        <v>139</v>
      </c>
      <c r="F68" s="59" t="s">
        <v>135</v>
      </c>
      <c r="G68" s="60" t="s">
        <v>220</v>
      </c>
      <c r="H68" s="61">
        <v>44058</v>
      </c>
      <c r="I68" s="62">
        <v>1</v>
      </c>
      <c r="J68" s="63" t="s">
        <v>388</v>
      </c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4"/>
      <c r="AN68" s="64"/>
      <c r="AO68" s="64"/>
      <c r="AP68" s="64"/>
      <c r="AQ68" s="64"/>
      <c r="AR68" s="65"/>
      <c r="AS68" s="63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4"/>
      <c r="BR68" s="64"/>
      <c r="BS68" s="64"/>
      <c r="BT68" s="64"/>
      <c r="BU68" s="64"/>
      <c r="BV68" s="64"/>
      <c r="BW68" s="64"/>
      <c r="BX68" s="64"/>
      <c r="BY68" s="64"/>
      <c r="BZ68" s="64"/>
      <c r="CA68" s="65"/>
      <c r="CB68" s="60"/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4"/>
      <c r="CV68" s="64"/>
      <c r="CW68" s="64"/>
      <c r="CX68" s="64"/>
      <c r="CY68" s="64"/>
      <c r="CZ68" s="64"/>
      <c r="DA68" s="64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</row>
    <row r="69" spans="2:130" x14ac:dyDescent="0.15">
      <c r="B69" s="58" t="str">
        <f>IF(G69&lt;&gt;"",SUBTOTAL(3,$G$5:G69),"")</f>
        <v/>
      </c>
      <c r="C69" s="58"/>
      <c r="D69" s="58"/>
      <c r="E69" s="59"/>
      <c r="F69" s="59"/>
      <c r="G69" s="60"/>
      <c r="H69" s="61"/>
      <c r="I69" s="70">
        <v>1</v>
      </c>
      <c r="J69" s="63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4"/>
      <c r="AN69" s="64"/>
      <c r="AO69" s="64"/>
      <c r="AP69" s="64"/>
      <c r="AQ69" s="64"/>
      <c r="AR69" s="65"/>
      <c r="AS69" s="63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4"/>
      <c r="BR69" s="64"/>
      <c r="BS69" s="64"/>
      <c r="BT69" s="64"/>
      <c r="BU69" s="64"/>
      <c r="BV69" s="64"/>
      <c r="BW69" s="64"/>
      <c r="BX69" s="64"/>
      <c r="BY69" s="64"/>
      <c r="BZ69" s="64"/>
      <c r="CA69" s="65"/>
      <c r="CB69" s="60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4"/>
      <c r="CV69" s="64"/>
      <c r="CW69" s="64"/>
      <c r="CX69" s="64"/>
      <c r="CY69" s="64"/>
      <c r="CZ69" s="64"/>
      <c r="DA69" s="64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</row>
    <row r="70" spans="2:130" x14ac:dyDescent="0.15">
      <c r="B70" s="58">
        <f>IF(G70&lt;&gt;"",SUBTOTAL(3,$G$5:G70),"")</f>
        <v>27</v>
      </c>
      <c r="C70" s="58"/>
      <c r="D70" s="58"/>
      <c r="E70" s="59" t="s">
        <v>139</v>
      </c>
      <c r="F70" s="59" t="s">
        <v>135</v>
      </c>
      <c r="G70" s="60" t="s">
        <v>219</v>
      </c>
      <c r="H70" s="61">
        <v>44057</v>
      </c>
      <c r="I70" s="62">
        <v>1</v>
      </c>
      <c r="J70" s="63" t="s">
        <v>261</v>
      </c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4"/>
      <c r="AN70" s="64"/>
      <c r="AO70" s="64"/>
      <c r="AP70" s="64"/>
      <c r="AQ70" s="64"/>
      <c r="AR70" s="65"/>
      <c r="AS70" s="63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4"/>
      <c r="BR70" s="64"/>
      <c r="BS70" s="64"/>
      <c r="BT70" s="64"/>
      <c r="BU70" s="64"/>
      <c r="BV70" s="64"/>
      <c r="BW70" s="64"/>
      <c r="BX70" s="64"/>
      <c r="BY70" s="64"/>
      <c r="BZ70" s="64"/>
      <c r="CA70" s="65"/>
      <c r="CB70" s="60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4"/>
      <c r="CV70" s="64"/>
      <c r="CW70" s="64"/>
      <c r="CX70" s="64"/>
      <c r="CY70" s="64"/>
      <c r="CZ70" s="64"/>
      <c r="DA70" s="64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</row>
    <row r="71" spans="2:130" x14ac:dyDescent="0.15">
      <c r="B71" s="58" t="str">
        <f>IF(G71&lt;&gt;"",SUBTOTAL(3,$G$5:G71),"")</f>
        <v/>
      </c>
      <c r="C71" s="58"/>
      <c r="D71" s="58"/>
      <c r="E71" s="59"/>
      <c r="F71" s="59"/>
      <c r="G71" s="60"/>
      <c r="H71" s="61"/>
      <c r="I71" s="70">
        <v>1</v>
      </c>
      <c r="J71" s="63" t="s">
        <v>262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4"/>
      <c r="AN71" s="64"/>
      <c r="AO71" s="64"/>
      <c r="AP71" s="64"/>
      <c r="AQ71" s="64"/>
      <c r="AR71" s="65"/>
      <c r="AS71" s="63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4"/>
      <c r="BR71" s="64"/>
      <c r="BS71" s="64"/>
      <c r="BT71" s="64"/>
      <c r="BU71" s="64"/>
      <c r="BV71" s="64"/>
      <c r="BW71" s="64"/>
      <c r="BX71" s="64"/>
      <c r="BY71" s="64"/>
      <c r="BZ71" s="64"/>
      <c r="CA71" s="65"/>
      <c r="CB71" s="60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4"/>
      <c r="CV71" s="64"/>
      <c r="CW71" s="64"/>
      <c r="CX71" s="64"/>
      <c r="CY71" s="64"/>
      <c r="CZ71" s="64"/>
      <c r="DA71" s="64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</row>
    <row r="72" spans="2:130" x14ac:dyDescent="0.15">
      <c r="B72" s="58" t="str">
        <f>IF(G72&lt;&gt;"",SUBTOTAL(3,$G$5:G72),"")</f>
        <v/>
      </c>
      <c r="C72" s="58"/>
      <c r="D72" s="58"/>
      <c r="E72" s="59"/>
      <c r="F72" s="59"/>
      <c r="G72" s="60"/>
      <c r="H72" s="61"/>
      <c r="I72" s="70">
        <v>1</v>
      </c>
      <c r="J72" s="63" t="s">
        <v>263</v>
      </c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4"/>
      <c r="AN72" s="64"/>
      <c r="AO72" s="64"/>
      <c r="AP72" s="64"/>
      <c r="AQ72" s="64"/>
      <c r="AR72" s="65"/>
      <c r="AS72" s="63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4"/>
      <c r="BR72" s="64"/>
      <c r="BS72" s="64"/>
      <c r="BT72" s="64"/>
      <c r="BU72" s="64"/>
      <c r="BV72" s="64"/>
      <c r="BW72" s="64"/>
      <c r="BX72" s="64"/>
      <c r="BY72" s="64"/>
      <c r="BZ72" s="64"/>
      <c r="CA72" s="65"/>
      <c r="CB72" s="60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4"/>
      <c r="CV72" s="64"/>
      <c r="CW72" s="64"/>
      <c r="CX72" s="64"/>
      <c r="CY72" s="64"/>
      <c r="CZ72" s="64"/>
      <c r="DA72" s="64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</row>
    <row r="73" spans="2:130" x14ac:dyDescent="0.15">
      <c r="B73" s="58" t="str">
        <f>IF(G73&lt;&gt;"",SUBTOTAL(3,$G$5:G73),"")</f>
        <v/>
      </c>
      <c r="C73" s="58"/>
      <c r="D73" s="58"/>
      <c r="E73" s="59"/>
      <c r="F73" s="59"/>
      <c r="G73" s="60"/>
      <c r="H73" s="61"/>
      <c r="I73" s="70">
        <v>1</v>
      </c>
      <c r="J73" s="63" t="s">
        <v>264</v>
      </c>
      <c r="K73" s="64"/>
      <c r="L73" s="64"/>
      <c r="M73" s="64"/>
      <c r="N73" s="64"/>
      <c r="O73" s="64"/>
      <c r="P73" s="64"/>
      <c r="Q73" s="64"/>
      <c r="R73" s="64"/>
      <c r="S73" s="64"/>
      <c r="T73" s="64"/>
      <c r="U73" s="64"/>
      <c r="V73" s="64"/>
      <c r="W73" s="64"/>
      <c r="X73" s="64"/>
      <c r="Y73" s="64"/>
      <c r="Z73" s="64"/>
      <c r="AA73" s="64"/>
      <c r="AB73" s="64"/>
      <c r="AC73" s="64"/>
      <c r="AD73" s="64"/>
      <c r="AE73" s="64"/>
      <c r="AF73" s="64"/>
      <c r="AG73" s="64"/>
      <c r="AH73" s="64"/>
      <c r="AI73" s="64"/>
      <c r="AJ73" s="64"/>
      <c r="AK73" s="64"/>
      <c r="AL73" s="64"/>
      <c r="AM73" s="64"/>
      <c r="AN73" s="64"/>
      <c r="AO73" s="64"/>
      <c r="AP73" s="64"/>
      <c r="AQ73" s="64"/>
      <c r="AR73" s="65"/>
      <c r="AS73" s="63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4"/>
      <c r="BR73" s="64"/>
      <c r="BS73" s="64"/>
      <c r="BT73" s="64"/>
      <c r="BU73" s="64"/>
      <c r="BV73" s="64"/>
      <c r="BW73" s="64"/>
      <c r="BX73" s="64"/>
      <c r="BY73" s="64"/>
      <c r="BZ73" s="64"/>
      <c r="CA73" s="65"/>
      <c r="CB73" s="60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4"/>
      <c r="CV73" s="64"/>
      <c r="CW73" s="64"/>
      <c r="CX73" s="64"/>
      <c r="CY73" s="64"/>
      <c r="CZ73" s="64"/>
      <c r="DA73" s="64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</row>
    <row r="74" spans="2:130" x14ac:dyDescent="0.15">
      <c r="B74" s="58" t="str">
        <f>IF(G74&lt;&gt;"",SUBTOTAL(3,$G$5:G74),"")</f>
        <v/>
      </c>
      <c r="C74" s="58"/>
      <c r="D74" s="58"/>
      <c r="E74" s="59"/>
      <c r="F74" s="59"/>
      <c r="G74" s="60"/>
      <c r="H74" s="61"/>
      <c r="I74" s="70">
        <v>1</v>
      </c>
      <c r="J74" s="63" t="s">
        <v>265</v>
      </c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64"/>
      <c r="AH74" s="64"/>
      <c r="AI74" s="64"/>
      <c r="AJ74" s="64"/>
      <c r="AK74" s="64"/>
      <c r="AL74" s="64"/>
      <c r="AM74" s="64"/>
      <c r="AN74" s="64"/>
      <c r="AO74" s="64"/>
      <c r="AP74" s="64"/>
      <c r="AQ74" s="64"/>
      <c r="AR74" s="65"/>
      <c r="AS74" s="63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4"/>
      <c r="BR74" s="64"/>
      <c r="BS74" s="64"/>
      <c r="BT74" s="64"/>
      <c r="BU74" s="64"/>
      <c r="BV74" s="64"/>
      <c r="BW74" s="64"/>
      <c r="BX74" s="64"/>
      <c r="BY74" s="64"/>
      <c r="BZ74" s="64"/>
      <c r="CA74" s="65"/>
      <c r="CB74" s="60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4"/>
      <c r="CV74" s="64"/>
      <c r="CW74" s="64"/>
      <c r="CX74" s="64"/>
      <c r="CY74" s="64"/>
      <c r="CZ74" s="64"/>
      <c r="DA74" s="64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</row>
    <row r="75" spans="2:130" x14ac:dyDescent="0.15">
      <c r="B75" s="58" t="str">
        <f>IF(G75&lt;&gt;"",SUBTOTAL(3,$G$5:G75),"")</f>
        <v/>
      </c>
      <c r="C75" s="58"/>
      <c r="D75" s="58"/>
      <c r="E75" s="59"/>
      <c r="F75" s="59"/>
      <c r="G75" s="60"/>
      <c r="H75" s="61"/>
      <c r="I75" s="70">
        <v>1</v>
      </c>
      <c r="J75" s="63" t="s">
        <v>266</v>
      </c>
      <c r="K75" s="64"/>
      <c r="L75" s="64"/>
      <c r="M75" s="64"/>
      <c r="N75" s="64"/>
      <c r="O75" s="64"/>
      <c r="P75" s="64"/>
      <c r="Q75" s="64"/>
      <c r="R75" s="64"/>
      <c r="S75" s="64"/>
      <c r="T75" s="64"/>
      <c r="U75" s="64"/>
      <c r="V75" s="64"/>
      <c r="W75" s="64"/>
      <c r="X75" s="64"/>
      <c r="Y75" s="64"/>
      <c r="Z75" s="64"/>
      <c r="AA75" s="64"/>
      <c r="AB75" s="64"/>
      <c r="AC75" s="64"/>
      <c r="AD75" s="64"/>
      <c r="AE75" s="64"/>
      <c r="AF75" s="64"/>
      <c r="AG75" s="64"/>
      <c r="AH75" s="64"/>
      <c r="AI75" s="64"/>
      <c r="AJ75" s="64"/>
      <c r="AK75" s="64"/>
      <c r="AL75" s="64"/>
      <c r="AM75" s="64"/>
      <c r="AN75" s="64"/>
      <c r="AO75" s="64"/>
      <c r="AP75" s="64"/>
      <c r="AQ75" s="64"/>
      <c r="AR75" s="65"/>
      <c r="AS75" s="63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4"/>
      <c r="BR75" s="64"/>
      <c r="BS75" s="64"/>
      <c r="BT75" s="64"/>
      <c r="BU75" s="64"/>
      <c r="BV75" s="64"/>
      <c r="BW75" s="64"/>
      <c r="BX75" s="64"/>
      <c r="BY75" s="64"/>
      <c r="BZ75" s="64"/>
      <c r="CA75" s="65"/>
      <c r="CB75" s="60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4"/>
      <c r="CV75" s="64"/>
      <c r="CW75" s="64"/>
      <c r="CX75" s="64"/>
      <c r="CY75" s="64"/>
      <c r="CZ75" s="64"/>
      <c r="DA75" s="64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</row>
    <row r="76" spans="2:130" x14ac:dyDescent="0.15">
      <c r="B76" s="58" t="str">
        <f>IF(G76&lt;&gt;"",SUBTOTAL(3,$G$5:G76),"")</f>
        <v/>
      </c>
      <c r="C76" s="58"/>
      <c r="D76" s="58"/>
      <c r="E76" s="59"/>
      <c r="F76" s="59"/>
      <c r="G76" s="60"/>
      <c r="H76" s="61"/>
      <c r="I76" s="70">
        <v>1</v>
      </c>
      <c r="J76" s="63" t="s">
        <v>267</v>
      </c>
      <c r="K76" s="64"/>
      <c r="L76" s="64"/>
      <c r="M76" s="64"/>
      <c r="N76" s="64"/>
      <c r="O76" s="64"/>
      <c r="P76" s="64"/>
      <c r="Q76" s="64"/>
      <c r="R76" s="64"/>
      <c r="S76" s="64"/>
      <c r="T76" s="64"/>
      <c r="U76" s="64"/>
      <c r="V76" s="64"/>
      <c r="W76" s="64"/>
      <c r="X76" s="64"/>
      <c r="Y76" s="64"/>
      <c r="Z76" s="64"/>
      <c r="AA76" s="64"/>
      <c r="AB76" s="64"/>
      <c r="AC76" s="64"/>
      <c r="AD76" s="64"/>
      <c r="AE76" s="64"/>
      <c r="AF76" s="64"/>
      <c r="AG76" s="64"/>
      <c r="AH76" s="64"/>
      <c r="AI76" s="64"/>
      <c r="AJ76" s="64"/>
      <c r="AK76" s="64"/>
      <c r="AL76" s="64"/>
      <c r="AM76" s="64"/>
      <c r="AN76" s="64"/>
      <c r="AO76" s="64"/>
      <c r="AP76" s="64"/>
      <c r="AQ76" s="64"/>
      <c r="AR76" s="65"/>
      <c r="AS76" s="63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4"/>
      <c r="BR76" s="64"/>
      <c r="BS76" s="64"/>
      <c r="BT76" s="64"/>
      <c r="BU76" s="64"/>
      <c r="BV76" s="64"/>
      <c r="BW76" s="64"/>
      <c r="BX76" s="64"/>
      <c r="BY76" s="64"/>
      <c r="BZ76" s="64"/>
      <c r="CA76" s="65"/>
      <c r="CB76" s="60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4"/>
      <c r="CV76" s="64"/>
      <c r="CW76" s="64"/>
      <c r="CX76" s="64"/>
      <c r="CY76" s="64"/>
      <c r="CZ76" s="64"/>
      <c r="DA76" s="64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</row>
    <row r="77" spans="2:130" x14ac:dyDescent="0.15">
      <c r="B77" s="58" t="str">
        <f>IF(G77&lt;&gt;"",SUBTOTAL(3,$G$5:G77),"")</f>
        <v/>
      </c>
      <c r="C77" s="58"/>
      <c r="D77" s="58"/>
      <c r="E77" s="59"/>
      <c r="F77" s="59"/>
      <c r="G77" s="60"/>
      <c r="H77" s="61"/>
      <c r="I77" s="70">
        <v>1</v>
      </c>
      <c r="J77" s="63" t="s">
        <v>268</v>
      </c>
      <c r="K77" s="64"/>
      <c r="L77" s="64"/>
      <c r="M77" s="64"/>
      <c r="N77" s="64"/>
      <c r="O77" s="64"/>
      <c r="P77" s="64"/>
      <c r="Q77" s="64"/>
      <c r="R77" s="64"/>
      <c r="S77" s="64"/>
      <c r="T77" s="64"/>
      <c r="U77" s="64"/>
      <c r="V77" s="64"/>
      <c r="W77" s="64"/>
      <c r="X77" s="64"/>
      <c r="Y77" s="64"/>
      <c r="Z77" s="64"/>
      <c r="AA77" s="64"/>
      <c r="AB77" s="64"/>
      <c r="AC77" s="64"/>
      <c r="AD77" s="64"/>
      <c r="AE77" s="64"/>
      <c r="AF77" s="64"/>
      <c r="AG77" s="64"/>
      <c r="AH77" s="64"/>
      <c r="AI77" s="64"/>
      <c r="AJ77" s="64"/>
      <c r="AK77" s="64"/>
      <c r="AL77" s="64"/>
      <c r="AM77" s="64"/>
      <c r="AN77" s="64"/>
      <c r="AO77" s="64"/>
      <c r="AP77" s="64"/>
      <c r="AQ77" s="64"/>
      <c r="AR77" s="65"/>
      <c r="AS77" s="63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4"/>
      <c r="BR77" s="64"/>
      <c r="BS77" s="64"/>
      <c r="BT77" s="64"/>
      <c r="BU77" s="64"/>
      <c r="BV77" s="64"/>
      <c r="BW77" s="64"/>
      <c r="BX77" s="64"/>
      <c r="BY77" s="64"/>
      <c r="BZ77" s="64"/>
      <c r="CA77" s="65"/>
      <c r="CB77" s="60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4"/>
      <c r="CV77" s="64"/>
      <c r="CW77" s="64"/>
      <c r="CX77" s="64"/>
      <c r="CY77" s="64"/>
      <c r="CZ77" s="64"/>
      <c r="DA77" s="64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</row>
    <row r="78" spans="2:130" x14ac:dyDescent="0.15">
      <c r="B78" s="58" t="str">
        <f>IF(G78&lt;&gt;"",SUBTOTAL(3,$G$5:G78),"")</f>
        <v/>
      </c>
      <c r="C78" s="58"/>
      <c r="D78" s="58"/>
      <c r="E78" s="59"/>
      <c r="F78" s="59"/>
      <c r="G78" s="60"/>
      <c r="H78" s="61"/>
      <c r="I78" s="70">
        <v>1</v>
      </c>
      <c r="J78" s="63" t="s">
        <v>269</v>
      </c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4"/>
      <c r="W78" s="64"/>
      <c r="X78" s="64"/>
      <c r="Y78" s="64"/>
      <c r="Z78" s="64"/>
      <c r="AA78" s="64"/>
      <c r="AB78" s="64"/>
      <c r="AC78" s="64"/>
      <c r="AD78" s="64"/>
      <c r="AE78" s="64"/>
      <c r="AF78" s="64"/>
      <c r="AG78" s="64"/>
      <c r="AH78" s="64"/>
      <c r="AI78" s="64"/>
      <c r="AJ78" s="64"/>
      <c r="AK78" s="64"/>
      <c r="AL78" s="64"/>
      <c r="AM78" s="64"/>
      <c r="AN78" s="64"/>
      <c r="AO78" s="64"/>
      <c r="AP78" s="64"/>
      <c r="AQ78" s="64"/>
      <c r="AR78" s="65"/>
      <c r="AS78" s="63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4"/>
      <c r="BR78" s="64"/>
      <c r="BS78" s="64"/>
      <c r="BT78" s="64"/>
      <c r="BU78" s="64"/>
      <c r="BV78" s="64"/>
      <c r="BW78" s="64"/>
      <c r="BX78" s="64"/>
      <c r="BY78" s="64"/>
      <c r="BZ78" s="64"/>
      <c r="CA78" s="65"/>
      <c r="CB78" s="60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4"/>
      <c r="CV78" s="64"/>
      <c r="CW78" s="64"/>
      <c r="CX78" s="64"/>
      <c r="CY78" s="64"/>
      <c r="CZ78" s="64"/>
      <c r="DA78" s="64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</row>
    <row r="79" spans="2:130" x14ac:dyDescent="0.15">
      <c r="B79" s="58" t="str">
        <f>IF(G79&lt;&gt;"",SUBTOTAL(3,$G$5:G79),"")</f>
        <v/>
      </c>
      <c r="C79" s="58"/>
      <c r="D79" s="58"/>
      <c r="E79" s="59"/>
      <c r="F79" s="59"/>
      <c r="G79" s="60"/>
      <c r="H79" s="61"/>
      <c r="I79" s="70">
        <v>1</v>
      </c>
      <c r="J79" s="63" t="s">
        <v>270</v>
      </c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4"/>
      <c r="W79" s="64"/>
      <c r="X79" s="64"/>
      <c r="Y79" s="64"/>
      <c r="Z79" s="64"/>
      <c r="AA79" s="64"/>
      <c r="AB79" s="64"/>
      <c r="AC79" s="64"/>
      <c r="AD79" s="64"/>
      <c r="AE79" s="64"/>
      <c r="AF79" s="64"/>
      <c r="AG79" s="64"/>
      <c r="AH79" s="64"/>
      <c r="AI79" s="64"/>
      <c r="AJ79" s="64"/>
      <c r="AK79" s="64"/>
      <c r="AL79" s="64"/>
      <c r="AM79" s="64"/>
      <c r="AN79" s="64"/>
      <c r="AO79" s="64"/>
      <c r="AP79" s="64"/>
      <c r="AQ79" s="64"/>
      <c r="AR79" s="65"/>
      <c r="AS79" s="63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4"/>
      <c r="BR79" s="64"/>
      <c r="BS79" s="64"/>
      <c r="BT79" s="64"/>
      <c r="BU79" s="64"/>
      <c r="BV79" s="64"/>
      <c r="BW79" s="64"/>
      <c r="BX79" s="64"/>
      <c r="BY79" s="64"/>
      <c r="BZ79" s="64"/>
      <c r="CA79" s="65"/>
      <c r="CB79" s="60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4"/>
      <c r="CV79" s="64"/>
      <c r="CW79" s="64"/>
      <c r="CX79" s="64"/>
      <c r="CY79" s="64"/>
      <c r="CZ79" s="64"/>
      <c r="DA79" s="64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</row>
    <row r="80" spans="2:130" x14ac:dyDescent="0.15">
      <c r="B80" s="58" t="str">
        <f>IF(G80&lt;&gt;"",SUBTOTAL(3,$G$5:G80),"")</f>
        <v/>
      </c>
      <c r="C80" s="58"/>
      <c r="D80" s="58"/>
      <c r="E80" s="59"/>
      <c r="F80" s="59"/>
      <c r="G80" s="60"/>
      <c r="H80" s="61"/>
      <c r="I80" s="70">
        <v>1</v>
      </c>
      <c r="J80" s="63" t="s">
        <v>271</v>
      </c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4"/>
      <c r="W80" s="64"/>
      <c r="X80" s="64"/>
      <c r="Y80" s="64"/>
      <c r="Z80" s="64"/>
      <c r="AA80" s="64"/>
      <c r="AB80" s="64"/>
      <c r="AC80" s="64"/>
      <c r="AD80" s="64"/>
      <c r="AE80" s="64"/>
      <c r="AF80" s="64"/>
      <c r="AG80" s="64"/>
      <c r="AH80" s="64"/>
      <c r="AI80" s="64"/>
      <c r="AJ80" s="64"/>
      <c r="AK80" s="64"/>
      <c r="AL80" s="64"/>
      <c r="AM80" s="64"/>
      <c r="AN80" s="64"/>
      <c r="AO80" s="64"/>
      <c r="AP80" s="64"/>
      <c r="AQ80" s="64"/>
      <c r="AR80" s="65"/>
      <c r="AS80" s="63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4"/>
      <c r="BR80" s="64"/>
      <c r="BS80" s="64"/>
      <c r="BT80" s="64"/>
      <c r="BU80" s="64"/>
      <c r="BV80" s="64"/>
      <c r="BW80" s="64"/>
      <c r="BX80" s="64"/>
      <c r="BY80" s="64"/>
      <c r="BZ80" s="64"/>
      <c r="CA80" s="65"/>
      <c r="CB80" s="60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4"/>
      <c r="CV80" s="64"/>
      <c r="CW80" s="64"/>
      <c r="CX80" s="64"/>
      <c r="CY80" s="64"/>
      <c r="CZ80" s="64"/>
      <c r="DA80" s="64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</row>
    <row r="81" spans="2:130" x14ac:dyDescent="0.15">
      <c r="B81" s="58" t="str">
        <f>IF(G81&lt;&gt;"",SUBTOTAL(3,$G$5:G81),"")</f>
        <v/>
      </c>
      <c r="C81" s="58"/>
      <c r="D81" s="58"/>
      <c r="E81" s="59"/>
      <c r="F81" s="59"/>
      <c r="G81" s="60"/>
      <c r="H81" s="61"/>
      <c r="I81" s="70">
        <v>1</v>
      </c>
      <c r="J81" s="63" t="s">
        <v>272</v>
      </c>
      <c r="K81" s="64"/>
      <c r="L81" s="64"/>
      <c r="M81" s="64"/>
      <c r="N81" s="64"/>
      <c r="O81" s="64"/>
      <c r="P81" s="64"/>
      <c r="Q81" s="64"/>
      <c r="R81" s="64"/>
      <c r="S81" s="64"/>
      <c r="T81" s="64"/>
      <c r="U81" s="64"/>
      <c r="V81" s="64"/>
      <c r="W81" s="64"/>
      <c r="X81" s="64"/>
      <c r="Y81" s="64"/>
      <c r="Z81" s="64"/>
      <c r="AA81" s="64"/>
      <c r="AB81" s="64"/>
      <c r="AC81" s="64"/>
      <c r="AD81" s="64"/>
      <c r="AE81" s="64"/>
      <c r="AF81" s="64"/>
      <c r="AG81" s="64"/>
      <c r="AH81" s="64"/>
      <c r="AI81" s="64"/>
      <c r="AJ81" s="64"/>
      <c r="AK81" s="64"/>
      <c r="AL81" s="64"/>
      <c r="AM81" s="64"/>
      <c r="AN81" s="64"/>
      <c r="AO81" s="64"/>
      <c r="AP81" s="64"/>
      <c r="AQ81" s="64"/>
      <c r="AR81" s="65"/>
      <c r="AS81" s="63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4"/>
      <c r="BR81" s="64"/>
      <c r="BS81" s="64"/>
      <c r="BT81" s="64"/>
      <c r="BU81" s="64"/>
      <c r="BV81" s="64"/>
      <c r="BW81" s="64"/>
      <c r="BX81" s="64"/>
      <c r="BY81" s="64"/>
      <c r="BZ81" s="64"/>
      <c r="CA81" s="65"/>
      <c r="CB81" s="60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4"/>
      <c r="CV81" s="64"/>
      <c r="CW81" s="64"/>
      <c r="CX81" s="64"/>
      <c r="CY81" s="64"/>
      <c r="CZ81" s="64"/>
      <c r="DA81" s="64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</row>
    <row r="82" spans="2:130" x14ac:dyDescent="0.15">
      <c r="B82" s="58" t="str">
        <f>IF(G82&lt;&gt;"",SUBTOTAL(3,$G$5:G82),"")</f>
        <v/>
      </c>
      <c r="C82" s="58"/>
      <c r="D82" s="58"/>
      <c r="E82" s="59"/>
      <c r="F82" s="59"/>
      <c r="G82" s="60"/>
      <c r="H82" s="61"/>
      <c r="I82" s="70">
        <v>1</v>
      </c>
      <c r="J82" s="63" t="s">
        <v>273</v>
      </c>
      <c r="K82" s="64"/>
      <c r="L82" s="64"/>
      <c r="M82" s="64"/>
      <c r="N82" s="64"/>
      <c r="O82" s="64"/>
      <c r="P82" s="64"/>
      <c r="Q82" s="64"/>
      <c r="R82" s="64"/>
      <c r="S82" s="64"/>
      <c r="T82" s="64"/>
      <c r="U82" s="64"/>
      <c r="V82" s="64"/>
      <c r="W82" s="64"/>
      <c r="X82" s="64"/>
      <c r="Y82" s="64"/>
      <c r="Z82" s="64"/>
      <c r="AA82" s="64"/>
      <c r="AB82" s="64"/>
      <c r="AC82" s="64"/>
      <c r="AD82" s="64"/>
      <c r="AE82" s="64"/>
      <c r="AF82" s="64"/>
      <c r="AG82" s="64"/>
      <c r="AH82" s="64"/>
      <c r="AI82" s="64"/>
      <c r="AJ82" s="64"/>
      <c r="AK82" s="64"/>
      <c r="AL82" s="64"/>
      <c r="AM82" s="64"/>
      <c r="AN82" s="64"/>
      <c r="AO82" s="64"/>
      <c r="AP82" s="64"/>
      <c r="AQ82" s="64"/>
      <c r="AR82" s="65"/>
      <c r="AS82" s="63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4"/>
      <c r="BR82" s="64"/>
      <c r="BS82" s="64"/>
      <c r="BT82" s="64"/>
      <c r="BU82" s="64"/>
      <c r="BV82" s="64"/>
      <c r="BW82" s="64"/>
      <c r="BX82" s="64"/>
      <c r="BY82" s="64"/>
      <c r="BZ82" s="64"/>
      <c r="CA82" s="65"/>
      <c r="CB82" s="60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4"/>
      <c r="CV82" s="64"/>
      <c r="CW82" s="64"/>
      <c r="CX82" s="64"/>
      <c r="CY82" s="64"/>
      <c r="CZ82" s="64"/>
      <c r="DA82" s="64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</row>
    <row r="83" spans="2:130" x14ac:dyDescent="0.15">
      <c r="B83" s="58" t="str">
        <f>IF(G83&lt;&gt;"",SUBTOTAL(3,$G$5:G83),"")</f>
        <v/>
      </c>
      <c r="C83" s="58"/>
      <c r="D83" s="58"/>
      <c r="E83" s="59"/>
      <c r="F83" s="59"/>
      <c r="G83" s="60"/>
      <c r="H83" s="61"/>
      <c r="I83" s="70">
        <v>1</v>
      </c>
      <c r="J83" s="63"/>
      <c r="K83" s="64"/>
      <c r="L83" s="64"/>
      <c r="M83" s="64"/>
      <c r="N83" s="64"/>
      <c r="O83" s="64"/>
      <c r="P83" s="64"/>
      <c r="Q83" s="64"/>
      <c r="R83" s="64"/>
      <c r="S83" s="64"/>
      <c r="T83" s="64"/>
      <c r="U83" s="64"/>
      <c r="V83" s="64"/>
      <c r="W83" s="64"/>
      <c r="X83" s="64"/>
      <c r="Y83" s="64"/>
      <c r="Z83" s="64"/>
      <c r="AA83" s="64"/>
      <c r="AB83" s="64"/>
      <c r="AC83" s="64"/>
      <c r="AD83" s="64"/>
      <c r="AE83" s="64"/>
      <c r="AF83" s="64"/>
      <c r="AG83" s="64"/>
      <c r="AH83" s="64"/>
      <c r="AI83" s="64"/>
      <c r="AJ83" s="64"/>
      <c r="AK83" s="64"/>
      <c r="AL83" s="64"/>
      <c r="AM83" s="64"/>
      <c r="AN83" s="64"/>
      <c r="AO83" s="64"/>
      <c r="AP83" s="64"/>
      <c r="AQ83" s="64"/>
      <c r="AR83" s="65"/>
      <c r="AS83" s="63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4"/>
      <c r="BR83" s="64"/>
      <c r="BS83" s="64"/>
      <c r="BT83" s="64"/>
      <c r="BU83" s="64"/>
      <c r="BV83" s="64"/>
      <c r="BW83" s="64"/>
      <c r="BX83" s="64"/>
      <c r="BY83" s="64"/>
      <c r="BZ83" s="64"/>
      <c r="CA83" s="65"/>
      <c r="CB83" s="60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4"/>
      <c r="CV83" s="64"/>
      <c r="CW83" s="64"/>
      <c r="CX83" s="64"/>
      <c r="CY83" s="64"/>
      <c r="CZ83" s="64"/>
      <c r="DA83" s="64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</row>
    <row r="84" spans="2:130" x14ac:dyDescent="0.15">
      <c r="B84" s="58">
        <f>IF(G84&lt;&gt;"",SUBTOTAL(3,$G$5:G84),"")</f>
        <v>28</v>
      </c>
      <c r="C84" s="58"/>
      <c r="D84" s="58"/>
      <c r="E84" s="59" t="s">
        <v>139</v>
      </c>
      <c r="F84" s="59" t="s">
        <v>135</v>
      </c>
      <c r="G84" s="60" t="s">
        <v>218</v>
      </c>
      <c r="H84" s="61">
        <v>44053</v>
      </c>
      <c r="I84" s="62">
        <v>0.3</v>
      </c>
      <c r="J84" s="63" t="s">
        <v>274</v>
      </c>
      <c r="K84" s="64"/>
      <c r="L84" s="64"/>
      <c r="M84" s="64"/>
      <c r="N84" s="64"/>
      <c r="O84" s="64"/>
      <c r="P84" s="64"/>
      <c r="Q84" s="64"/>
      <c r="R84" s="64"/>
      <c r="S84" s="64"/>
      <c r="T84" s="64"/>
      <c r="U84" s="64"/>
      <c r="V84" s="64"/>
      <c r="W84" s="64"/>
      <c r="X84" s="64"/>
      <c r="Y84" s="64"/>
      <c r="Z84" s="64"/>
      <c r="AA84" s="64"/>
      <c r="AB84" s="64"/>
      <c r="AC84" s="64"/>
      <c r="AD84" s="64"/>
      <c r="AE84" s="64"/>
      <c r="AF84" s="64"/>
      <c r="AG84" s="64"/>
      <c r="AH84" s="64"/>
      <c r="AI84" s="64"/>
      <c r="AJ84" s="64"/>
      <c r="AK84" s="64"/>
      <c r="AL84" s="64"/>
      <c r="AM84" s="64"/>
      <c r="AN84" s="64"/>
      <c r="AO84" s="64"/>
      <c r="AP84" s="64"/>
      <c r="AQ84" s="64"/>
      <c r="AR84" s="65"/>
      <c r="AS84" s="63" t="s">
        <v>389</v>
      </c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4"/>
      <c r="BR84" s="64"/>
      <c r="BS84" s="64"/>
      <c r="BT84" s="64"/>
      <c r="BU84" s="64"/>
      <c r="BV84" s="64"/>
      <c r="BW84" s="64"/>
      <c r="BX84" s="64"/>
      <c r="BY84" s="64"/>
      <c r="BZ84" s="64"/>
      <c r="CA84" s="65"/>
      <c r="CB84" s="60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4"/>
      <c r="CV84" s="64"/>
      <c r="CW84" s="64"/>
      <c r="CX84" s="64"/>
      <c r="CY84" s="64"/>
      <c r="CZ84" s="64"/>
      <c r="DA84" s="64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</row>
    <row r="85" spans="2:130" x14ac:dyDescent="0.15">
      <c r="B85" s="58" t="str">
        <f>IF(G85&lt;&gt;"",SUBTOTAL(3,$G$5:G85),"")</f>
        <v/>
      </c>
      <c r="C85" s="58"/>
      <c r="D85" s="58"/>
      <c r="E85" s="59"/>
      <c r="F85" s="59"/>
      <c r="G85" s="60"/>
      <c r="H85" s="61"/>
      <c r="I85" s="68">
        <v>0.3</v>
      </c>
      <c r="J85" s="63" t="s">
        <v>390</v>
      </c>
      <c r="K85" s="64"/>
      <c r="L85" s="64"/>
      <c r="M85" s="64"/>
      <c r="N85" s="64"/>
      <c r="O85" s="64"/>
      <c r="P85" s="64"/>
      <c r="Q85" s="64"/>
      <c r="R85" s="64"/>
      <c r="S85" s="64"/>
      <c r="T85" s="64"/>
      <c r="U85" s="64"/>
      <c r="V85" s="64"/>
      <c r="W85" s="64"/>
      <c r="X85" s="64"/>
      <c r="Y85" s="64"/>
      <c r="Z85" s="64"/>
      <c r="AA85" s="64"/>
      <c r="AB85" s="64"/>
      <c r="AC85" s="64"/>
      <c r="AD85" s="64"/>
      <c r="AE85" s="64"/>
      <c r="AF85" s="64"/>
      <c r="AG85" s="64"/>
      <c r="AH85" s="64"/>
      <c r="AI85" s="64"/>
      <c r="AJ85" s="64"/>
      <c r="AK85" s="64"/>
      <c r="AL85" s="64"/>
      <c r="AM85" s="64"/>
      <c r="AN85" s="64"/>
      <c r="AO85" s="64"/>
      <c r="AP85" s="64"/>
      <c r="AQ85" s="64"/>
      <c r="AR85" s="65"/>
      <c r="AS85" s="63" t="s">
        <v>275</v>
      </c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4"/>
      <c r="BR85" s="64"/>
      <c r="BS85" s="64"/>
      <c r="BT85" s="64"/>
      <c r="BU85" s="64"/>
      <c r="BV85" s="64"/>
      <c r="BW85" s="64"/>
      <c r="BX85" s="64"/>
      <c r="BY85" s="64"/>
      <c r="BZ85" s="64"/>
      <c r="CA85" s="65"/>
      <c r="CB85" s="60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4"/>
      <c r="CV85" s="64"/>
      <c r="CW85" s="64"/>
      <c r="CX85" s="64"/>
      <c r="CY85" s="64"/>
      <c r="CZ85" s="64"/>
      <c r="DA85" s="64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</row>
    <row r="86" spans="2:130" x14ac:dyDescent="0.15">
      <c r="B86" s="58" t="str">
        <f>IF(G86&lt;&gt;"",SUBTOTAL(3,$G$5:G86),"")</f>
        <v/>
      </c>
      <c r="C86" s="58"/>
      <c r="D86" s="58"/>
      <c r="E86" s="59"/>
      <c r="F86" s="59"/>
      <c r="G86" s="60"/>
      <c r="H86" s="61"/>
      <c r="I86" s="68">
        <v>0.3</v>
      </c>
      <c r="J86" s="63" t="s">
        <v>391</v>
      </c>
      <c r="K86" s="64"/>
      <c r="L86" s="64"/>
      <c r="M86" s="64"/>
      <c r="N86" s="64"/>
      <c r="O86" s="64"/>
      <c r="P86" s="64"/>
      <c r="Q86" s="64"/>
      <c r="R86" s="64"/>
      <c r="S86" s="64"/>
      <c r="T86" s="64"/>
      <c r="U86" s="64"/>
      <c r="V86" s="64"/>
      <c r="W86" s="64"/>
      <c r="X86" s="64"/>
      <c r="Y86" s="64"/>
      <c r="Z86" s="64"/>
      <c r="AA86" s="64"/>
      <c r="AB86" s="64"/>
      <c r="AC86" s="64"/>
      <c r="AD86" s="64"/>
      <c r="AE86" s="64"/>
      <c r="AF86" s="64"/>
      <c r="AG86" s="64"/>
      <c r="AH86" s="64"/>
      <c r="AI86" s="64"/>
      <c r="AJ86" s="64"/>
      <c r="AK86" s="64"/>
      <c r="AL86" s="64"/>
      <c r="AM86" s="64"/>
      <c r="AN86" s="64"/>
      <c r="AO86" s="64"/>
      <c r="AP86" s="64"/>
      <c r="AQ86" s="64"/>
      <c r="AR86" s="65"/>
      <c r="AS86" s="63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4"/>
      <c r="BR86" s="64"/>
      <c r="BS86" s="64"/>
      <c r="BT86" s="64"/>
      <c r="BU86" s="64"/>
      <c r="BV86" s="64"/>
      <c r="BW86" s="64"/>
      <c r="BX86" s="64"/>
      <c r="BY86" s="64"/>
      <c r="BZ86" s="64"/>
      <c r="CA86" s="65"/>
      <c r="CB86" s="60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4"/>
      <c r="CV86" s="64"/>
      <c r="CW86" s="64"/>
      <c r="CX86" s="64"/>
      <c r="CY86" s="64"/>
      <c r="CZ86" s="64"/>
      <c r="DA86" s="64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</row>
    <row r="87" spans="2:130" x14ac:dyDescent="0.15">
      <c r="B87" s="58" t="str">
        <f>IF(G87&lt;&gt;"",SUBTOTAL(3,$G$5:G87),"")</f>
        <v/>
      </c>
      <c r="C87" s="58"/>
      <c r="D87" s="58"/>
      <c r="E87" s="59"/>
      <c r="F87" s="59"/>
      <c r="G87" s="60"/>
      <c r="H87" s="61"/>
      <c r="I87" s="68">
        <v>0.3</v>
      </c>
      <c r="J87" s="63"/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4"/>
      <c r="AN87" s="64"/>
      <c r="AO87" s="64"/>
      <c r="AP87" s="64"/>
      <c r="AQ87" s="64"/>
      <c r="AR87" s="65"/>
      <c r="AS87" s="63"/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4"/>
      <c r="BR87" s="64"/>
      <c r="BS87" s="64"/>
      <c r="BT87" s="64"/>
      <c r="BU87" s="64"/>
      <c r="BV87" s="64"/>
      <c r="BW87" s="64"/>
      <c r="BX87" s="64"/>
      <c r="BY87" s="64"/>
      <c r="BZ87" s="64"/>
      <c r="CA87" s="65"/>
      <c r="CB87" s="60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4"/>
      <c r="CV87" s="64"/>
      <c r="CW87" s="64"/>
      <c r="CX87" s="64"/>
      <c r="CY87" s="64"/>
      <c r="CZ87" s="64"/>
      <c r="DA87" s="64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</row>
    <row r="88" spans="2:130" x14ac:dyDescent="0.15">
      <c r="B88" s="58">
        <f>IF(G88&lt;&gt;"",SUBTOTAL(3,$G$5:G88),"")</f>
        <v>29</v>
      </c>
      <c r="C88" s="58"/>
      <c r="D88" s="58"/>
      <c r="E88" s="59" t="s">
        <v>139</v>
      </c>
      <c r="F88" s="59" t="s">
        <v>135</v>
      </c>
      <c r="G88" s="60" t="s">
        <v>217</v>
      </c>
      <c r="H88" s="61">
        <v>44045</v>
      </c>
      <c r="I88" s="62">
        <v>1</v>
      </c>
      <c r="J88" s="63" t="s">
        <v>276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4"/>
      <c r="AN88" s="64"/>
      <c r="AO88" s="64"/>
      <c r="AP88" s="64"/>
      <c r="AQ88" s="64"/>
      <c r="AR88" s="65"/>
      <c r="AS88" s="63" t="s">
        <v>278</v>
      </c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4"/>
      <c r="BR88" s="64"/>
      <c r="BS88" s="64"/>
      <c r="BT88" s="64"/>
      <c r="BU88" s="64"/>
      <c r="BV88" s="64"/>
      <c r="BW88" s="64"/>
      <c r="BX88" s="64"/>
      <c r="BY88" s="64"/>
      <c r="BZ88" s="64"/>
      <c r="CA88" s="65"/>
      <c r="CB88" s="60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4"/>
      <c r="CV88" s="64"/>
      <c r="CW88" s="64"/>
      <c r="CX88" s="64"/>
      <c r="CY88" s="64"/>
      <c r="CZ88" s="64"/>
      <c r="DA88" s="64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</row>
    <row r="89" spans="2:130" x14ac:dyDescent="0.15">
      <c r="B89" s="58" t="str">
        <f>IF(G89&lt;&gt;"",SUBTOTAL(3,$G$5:G89),"")</f>
        <v/>
      </c>
      <c r="C89" s="58"/>
      <c r="D89" s="58"/>
      <c r="E89" s="59"/>
      <c r="F89" s="59"/>
      <c r="G89" s="60"/>
      <c r="H89" s="61"/>
      <c r="I89" s="62">
        <v>1</v>
      </c>
      <c r="J89" s="63" t="s">
        <v>277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4"/>
      <c r="AN89" s="64"/>
      <c r="AO89" s="64"/>
      <c r="AP89" s="64"/>
      <c r="AQ89" s="64"/>
      <c r="AR89" s="65"/>
      <c r="AS89" s="63" t="s">
        <v>279</v>
      </c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4"/>
      <c r="BR89" s="64"/>
      <c r="BS89" s="64"/>
      <c r="BT89" s="64"/>
      <c r="BU89" s="64"/>
      <c r="BV89" s="64"/>
      <c r="BW89" s="64"/>
      <c r="BX89" s="64"/>
      <c r="BY89" s="64"/>
      <c r="BZ89" s="64"/>
      <c r="CA89" s="65"/>
      <c r="CB89" s="60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4"/>
      <c r="CV89" s="64"/>
      <c r="CW89" s="64"/>
      <c r="CX89" s="64"/>
      <c r="CY89" s="64"/>
      <c r="CZ89" s="64"/>
      <c r="DA89" s="64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</row>
    <row r="90" spans="2:130" x14ac:dyDescent="0.15">
      <c r="B90" s="58" t="str">
        <f>IF(G90&lt;&gt;"",SUBTOTAL(3,$G$5:G90),"")</f>
        <v/>
      </c>
      <c r="C90" s="58"/>
      <c r="D90" s="58"/>
      <c r="E90" s="59"/>
      <c r="F90" s="59"/>
      <c r="G90" s="60"/>
      <c r="H90" s="61"/>
      <c r="I90" s="62">
        <v>1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4"/>
      <c r="AN90" s="64"/>
      <c r="AO90" s="64"/>
      <c r="AP90" s="64"/>
      <c r="AQ90" s="64"/>
      <c r="AR90" s="65"/>
      <c r="AS90" s="63" t="s">
        <v>280</v>
      </c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4"/>
      <c r="BR90" s="64"/>
      <c r="BS90" s="64"/>
      <c r="BT90" s="64"/>
      <c r="BU90" s="64"/>
      <c r="BV90" s="64"/>
      <c r="BW90" s="64"/>
      <c r="BX90" s="64"/>
      <c r="BY90" s="64"/>
      <c r="BZ90" s="64"/>
      <c r="CA90" s="65"/>
      <c r="CB90" s="60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4"/>
      <c r="CV90" s="64"/>
      <c r="CW90" s="64"/>
      <c r="CX90" s="64"/>
      <c r="CY90" s="64"/>
      <c r="CZ90" s="64"/>
      <c r="DA90" s="64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</row>
    <row r="91" spans="2:130" x14ac:dyDescent="0.15">
      <c r="B91" s="58" t="str">
        <f>IF(G91&lt;&gt;"",SUBTOTAL(3,$G$5:G91),"")</f>
        <v/>
      </c>
      <c r="C91" s="58"/>
      <c r="D91" s="58"/>
      <c r="E91" s="59"/>
      <c r="F91" s="59"/>
      <c r="G91" s="60"/>
      <c r="H91" s="61"/>
      <c r="I91" s="62">
        <v>1</v>
      </c>
      <c r="J91" s="63"/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4"/>
      <c r="AN91" s="64"/>
      <c r="AO91" s="64"/>
      <c r="AP91" s="64"/>
      <c r="AQ91" s="64"/>
      <c r="AR91" s="65"/>
      <c r="AS91" s="63" t="s">
        <v>281</v>
      </c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4"/>
      <c r="BR91" s="64"/>
      <c r="BS91" s="64"/>
      <c r="BT91" s="64"/>
      <c r="BU91" s="64"/>
      <c r="BV91" s="64"/>
      <c r="BW91" s="64"/>
      <c r="BX91" s="64"/>
      <c r="BY91" s="64"/>
      <c r="BZ91" s="64"/>
      <c r="CA91" s="65"/>
      <c r="CB91" s="60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4"/>
      <c r="CV91" s="64"/>
      <c r="CW91" s="64"/>
      <c r="CX91" s="64"/>
      <c r="CY91" s="64"/>
      <c r="CZ91" s="64"/>
      <c r="DA91" s="64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</row>
    <row r="92" spans="2:130" x14ac:dyDescent="0.15">
      <c r="B92" s="58" t="str">
        <f>IF(G92&lt;&gt;"",SUBTOTAL(3,$G$5:G92),"")</f>
        <v/>
      </c>
      <c r="C92" s="58"/>
      <c r="D92" s="58"/>
      <c r="E92" s="59"/>
      <c r="F92" s="59"/>
      <c r="G92" s="60"/>
      <c r="H92" s="61"/>
      <c r="I92" s="62">
        <v>1</v>
      </c>
      <c r="J92" s="63"/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4"/>
      <c r="AN92" s="64"/>
      <c r="AO92" s="64"/>
      <c r="AP92" s="64"/>
      <c r="AQ92" s="64"/>
      <c r="AR92" s="65"/>
      <c r="AS92" s="63" t="s">
        <v>281</v>
      </c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4"/>
      <c r="BR92" s="64"/>
      <c r="BS92" s="64"/>
      <c r="BT92" s="64"/>
      <c r="BU92" s="64"/>
      <c r="BV92" s="64"/>
      <c r="BW92" s="64"/>
      <c r="BX92" s="64"/>
      <c r="BY92" s="64"/>
      <c r="BZ92" s="64"/>
      <c r="CA92" s="65"/>
      <c r="CB92" s="60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4"/>
      <c r="CV92" s="64"/>
      <c r="CW92" s="64"/>
      <c r="CX92" s="64"/>
      <c r="CY92" s="64"/>
      <c r="CZ92" s="64"/>
      <c r="DA92" s="64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</row>
    <row r="93" spans="2:130" x14ac:dyDescent="0.15">
      <c r="B93" s="58" t="str">
        <f>IF(G93&lt;&gt;"",SUBTOTAL(3,$G$5:G93),"")</f>
        <v/>
      </c>
      <c r="C93" s="58"/>
      <c r="D93" s="58"/>
      <c r="E93" s="59"/>
      <c r="F93" s="59"/>
      <c r="G93" s="60"/>
      <c r="H93" s="61"/>
      <c r="I93" s="62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4"/>
      <c r="AN93" s="64"/>
      <c r="AO93" s="64"/>
      <c r="AP93" s="64"/>
      <c r="AQ93" s="64"/>
      <c r="AR93" s="65"/>
      <c r="AS93" s="63" t="s">
        <v>282</v>
      </c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4"/>
      <c r="BR93" s="64"/>
      <c r="BS93" s="64"/>
      <c r="BT93" s="64"/>
      <c r="BU93" s="64"/>
      <c r="BV93" s="64"/>
      <c r="BW93" s="64"/>
      <c r="BX93" s="64"/>
      <c r="BY93" s="64"/>
      <c r="BZ93" s="64"/>
      <c r="CA93" s="65"/>
      <c r="CB93" s="60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4"/>
      <c r="CV93" s="64"/>
      <c r="CW93" s="64"/>
      <c r="CX93" s="64"/>
      <c r="CY93" s="64"/>
      <c r="CZ93" s="64"/>
      <c r="DA93" s="64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</row>
    <row r="94" spans="2:130" x14ac:dyDescent="0.15">
      <c r="B94" s="58" t="str">
        <f>IF(G94&lt;&gt;"",SUBTOTAL(3,$G$5:G94),"")</f>
        <v/>
      </c>
      <c r="C94" s="58"/>
      <c r="D94" s="58"/>
      <c r="E94" s="59"/>
      <c r="F94" s="59"/>
      <c r="G94" s="60"/>
      <c r="H94" s="61"/>
      <c r="I94" s="62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4"/>
      <c r="AN94" s="64"/>
      <c r="AO94" s="64"/>
      <c r="AP94" s="64"/>
      <c r="AQ94" s="64"/>
      <c r="AR94" s="65"/>
      <c r="AS94" s="63" t="s">
        <v>283</v>
      </c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4"/>
      <c r="BR94" s="64"/>
      <c r="BS94" s="64"/>
      <c r="BT94" s="64"/>
      <c r="BU94" s="64"/>
      <c r="BV94" s="64"/>
      <c r="BW94" s="64"/>
      <c r="BX94" s="64"/>
      <c r="BY94" s="64"/>
      <c r="BZ94" s="64"/>
      <c r="CA94" s="65"/>
      <c r="CB94" s="60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4"/>
      <c r="CV94" s="64"/>
      <c r="CW94" s="64"/>
      <c r="CX94" s="64"/>
      <c r="CY94" s="64"/>
      <c r="CZ94" s="64"/>
      <c r="DA94" s="64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</row>
    <row r="95" spans="2:130" x14ac:dyDescent="0.15">
      <c r="B95" s="58" t="str">
        <f>IF(G95&lt;&gt;"",SUBTOTAL(3,$G$5:G95),"")</f>
        <v/>
      </c>
      <c r="C95" s="58"/>
      <c r="D95" s="58"/>
      <c r="E95" s="59"/>
      <c r="F95" s="59"/>
      <c r="G95" s="60"/>
      <c r="H95" s="61"/>
      <c r="I95" s="62">
        <v>1</v>
      </c>
      <c r="J95" s="63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4"/>
      <c r="AN95" s="64"/>
      <c r="AO95" s="64"/>
      <c r="AP95" s="64"/>
      <c r="AQ95" s="64"/>
      <c r="AR95" s="65"/>
      <c r="AS95" s="63" t="s">
        <v>284</v>
      </c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4"/>
      <c r="BR95" s="64"/>
      <c r="BS95" s="64"/>
      <c r="BT95" s="64"/>
      <c r="BU95" s="64"/>
      <c r="BV95" s="64"/>
      <c r="BW95" s="64"/>
      <c r="BX95" s="64"/>
      <c r="BY95" s="64"/>
      <c r="BZ95" s="64"/>
      <c r="CA95" s="65"/>
      <c r="CB95" s="60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4"/>
      <c r="CV95" s="64"/>
      <c r="CW95" s="64"/>
      <c r="CX95" s="64"/>
      <c r="CY95" s="64"/>
      <c r="CZ95" s="64"/>
      <c r="DA95" s="64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</row>
    <row r="96" spans="2:130" x14ac:dyDescent="0.15">
      <c r="B96" s="58">
        <f>IF(G96&lt;&gt;"",SUBTOTAL(3,$G$5:G96),"")</f>
        <v>30</v>
      </c>
      <c r="C96" s="58"/>
      <c r="D96" s="58"/>
      <c r="E96" s="59" t="s">
        <v>139</v>
      </c>
      <c r="F96" s="59" t="s">
        <v>135</v>
      </c>
      <c r="G96" s="60" t="s">
        <v>214</v>
      </c>
      <c r="H96" s="61">
        <v>44045</v>
      </c>
      <c r="I96" s="62">
        <v>0.8</v>
      </c>
      <c r="J96" s="63" t="s">
        <v>285</v>
      </c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4"/>
      <c r="AN96" s="64"/>
      <c r="AO96" s="64"/>
      <c r="AP96" s="64"/>
      <c r="AQ96" s="64"/>
      <c r="AR96" s="65"/>
      <c r="AS96" s="63" t="s">
        <v>290</v>
      </c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4"/>
      <c r="BR96" s="64"/>
      <c r="BS96" s="64"/>
      <c r="BT96" s="64"/>
      <c r="BU96" s="64"/>
      <c r="BV96" s="64"/>
      <c r="BW96" s="64"/>
      <c r="BX96" s="64"/>
      <c r="BY96" s="64"/>
      <c r="BZ96" s="64"/>
      <c r="CA96" s="65"/>
      <c r="CB96" s="60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4"/>
      <c r="CV96" s="64"/>
      <c r="CW96" s="64"/>
      <c r="CX96" s="64"/>
      <c r="CY96" s="64"/>
      <c r="CZ96" s="64"/>
      <c r="DA96" s="64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</row>
    <row r="97" spans="2:130" x14ac:dyDescent="0.15">
      <c r="B97" s="58" t="str">
        <f>IF(G97&lt;&gt;"",SUBTOTAL(3,$G$5:G97),"")</f>
        <v/>
      </c>
      <c r="C97" s="58"/>
      <c r="D97" s="58"/>
      <c r="E97" s="59"/>
      <c r="F97" s="59"/>
      <c r="G97" s="60"/>
      <c r="H97" s="61"/>
      <c r="I97" s="68">
        <v>0.8</v>
      </c>
      <c r="J97" s="63" t="s">
        <v>286</v>
      </c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4"/>
      <c r="AN97" s="64"/>
      <c r="AO97" s="64"/>
      <c r="AP97" s="64"/>
      <c r="AQ97" s="64"/>
      <c r="AR97" s="65"/>
      <c r="AS97" s="63" t="s">
        <v>291</v>
      </c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4"/>
      <c r="BR97" s="64"/>
      <c r="BS97" s="64"/>
      <c r="BT97" s="64"/>
      <c r="BU97" s="64"/>
      <c r="BV97" s="64"/>
      <c r="BW97" s="64"/>
      <c r="BX97" s="64"/>
      <c r="BY97" s="64"/>
      <c r="BZ97" s="64"/>
      <c r="CA97" s="65"/>
      <c r="CB97" s="60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4"/>
      <c r="CV97" s="64"/>
      <c r="CW97" s="64"/>
      <c r="CX97" s="64"/>
      <c r="CY97" s="64"/>
      <c r="CZ97" s="64"/>
      <c r="DA97" s="64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</row>
    <row r="98" spans="2:130" x14ac:dyDescent="0.15">
      <c r="B98" s="58" t="str">
        <f>IF(G98&lt;&gt;"",SUBTOTAL(3,$G$5:G98),"")</f>
        <v/>
      </c>
      <c r="C98" s="58"/>
      <c r="D98" s="58"/>
      <c r="E98" s="59"/>
      <c r="F98" s="59"/>
      <c r="G98" s="60"/>
      <c r="H98" s="61"/>
      <c r="I98" s="68">
        <v>0.8</v>
      </c>
      <c r="J98" s="63" t="s">
        <v>287</v>
      </c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4"/>
      <c r="AN98" s="64"/>
      <c r="AO98" s="64"/>
      <c r="AP98" s="64"/>
      <c r="AQ98" s="64"/>
      <c r="AR98" s="65"/>
      <c r="AS98" s="63" t="s">
        <v>292</v>
      </c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4"/>
      <c r="BR98" s="64"/>
      <c r="BS98" s="64"/>
      <c r="BT98" s="64"/>
      <c r="BU98" s="64"/>
      <c r="BV98" s="64"/>
      <c r="BW98" s="64"/>
      <c r="BX98" s="64"/>
      <c r="BY98" s="64"/>
      <c r="BZ98" s="64"/>
      <c r="CA98" s="65"/>
      <c r="CB98" s="60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4"/>
      <c r="CV98" s="64"/>
      <c r="CW98" s="64"/>
      <c r="CX98" s="64"/>
      <c r="CY98" s="64"/>
      <c r="CZ98" s="64"/>
      <c r="DA98" s="64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</row>
    <row r="99" spans="2:130" x14ac:dyDescent="0.15">
      <c r="B99" s="58" t="str">
        <f>IF(G99&lt;&gt;"",SUBTOTAL(3,$G$5:G99),"")</f>
        <v/>
      </c>
      <c r="C99" s="58"/>
      <c r="D99" s="58"/>
      <c r="E99" s="59"/>
      <c r="F99" s="59"/>
      <c r="G99" s="60"/>
      <c r="H99" s="61"/>
      <c r="I99" s="68">
        <v>0.8</v>
      </c>
      <c r="J99" s="63" t="s">
        <v>288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4"/>
      <c r="AN99" s="64"/>
      <c r="AO99" s="64"/>
      <c r="AP99" s="64"/>
      <c r="AQ99" s="64"/>
      <c r="AR99" s="65"/>
      <c r="AS99" s="63" t="s">
        <v>295</v>
      </c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4"/>
      <c r="BR99" s="64"/>
      <c r="BS99" s="64"/>
      <c r="BT99" s="64"/>
      <c r="BU99" s="64"/>
      <c r="BV99" s="64"/>
      <c r="BW99" s="64"/>
      <c r="BX99" s="64"/>
      <c r="BY99" s="64"/>
      <c r="BZ99" s="64"/>
      <c r="CA99" s="65"/>
      <c r="CB99" s="60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4"/>
      <c r="CV99" s="64"/>
      <c r="CW99" s="64"/>
      <c r="CX99" s="64"/>
      <c r="CY99" s="64"/>
      <c r="CZ99" s="64"/>
      <c r="DA99" s="64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</row>
    <row r="100" spans="2:130" x14ac:dyDescent="0.15">
      <c r="B100" s="58" t="str">
        <f>IF(G100&lt;&gt;"",SUBTOTAL(3,$G$5:G100),"")</f>
        <v/>
      </c>
      <c r="C100" s="58"/>
      <c r="D100" s="58"/>
      <c r="E100" s="59"/>
      <c r="F100" s="59"/>
      <c r="G100" s="60"/>
      <c r="H100" s="61"/>
      <c r="I100" s="68">
        <v>0.8</v>
      </c>
      <c r="J100" s="63" t="s">
        <v>289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4"/>
      <c r="AN100" s="64"/>
      <c r="AO100" s="64"/>
      <c r="AP100" s="64"/>
      <c r="AQ100" s="64"/>
      <c r="AR100" s="65"/>
      <c r="AS100" s="63" t="s">
        <v>296</v>
      </c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4"/>
      <c r="BR100" s="64"/>
      <c r="BS100" s="64"/>
      <c r="BT100" s="64"/>
      <c r="BU100" s="64"/>
      <c r="BV100" s="64"/>
      <c r="BW100" s="64"/>
      <c r="BX100" s="64"/>
      <c r="BY100" s="64"/>
      <c r="BZ100" s="64"/>
      <c r="CA100" s="65"/>
      <c r="CB100" s="60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4"/>
      <c r="CV100" s="64"/>
      <c r="CW100" s="64"/>
      <c r="CX100" s="64"/>
      <c r="CY100" s="64"/>
      <c r="CZ100" s="64"/>
      <c r="DA100" s="64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</row>
    <row r="101" spans="2:130" x14ac:dyDescent="0.15">
      <c r="B101" s="58" t="str">
        <f>IF(G101&lt;&gt;"",SUBTOTAL(3,$G$5:G101),"")</f>
        <v/>
      </c>
      <c r="C101" s="58"/>
      <c r="D101" s="58"/>
      <c r="E101" s="59"/>
      <c r="F101" s="59"/>
      <c r="G101" s="60"/>
      <c r="H101" s="61"/>
      <c r="I101" s="68">
        <v>0.8</v>
      </c>
      <c r="J101" s="71" t="s">
        <v>215</v>
      </c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4"/>
      <c r="AN101" s="64"/>
      <c r="AO101" s="64"/>
      <c r="AP101" s="64"/>
      <c r="AQ101" s="64"/>
      <c r="AR101" s="65"/>
      <c r="AS101" s="63" t="s">
        <v>293</v>
      </c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4"/>
      <c r="BR101" s="64"/>
      <c r="BS101" s="64"/>
      <c r="BT101" s="64"/>
      <c r="BU101" s="64"/>
      <c r="BV101" s="64"/>
      <c r="BW101" s="64"/>
      <c r="BX101" s="64"/>
      <c r="BY101" s="64"/>
      <c r="BZ101" s="64"/>
      <c r="CA101" s="65"/>
      <c r="CB101" s="60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4"/>
      <c r="CV101" s="64"/>
      <c r="CW101" s="64"/>
      <c r="CX101" s="64"/>
      <c r="CY101" s="64"/>
      <c r="CZ101" s="64"/>
      <c r="DA101" s="64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</row>
    <row r="102" spans="2:130" x14ac:dyDescent="0.15">
      <c r="B102" s="58" t="str">
        <f>IF(G102&lt;&gt;"",SUBTOTAL(3,$G$5:G102),"")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4"/>
      <c r="AN102" s="64"/>
      <c r="AO102" s="64"/>
      <c r="AP102" s="64"/>
      <c r="AQ102" s="64"/>
      <c r="AR102" s="65"/>
      <c r="AS102" s="63" t="s">
        <v>294</v>
      </c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4"/>
      <c r="BR102" s="64"/>
      <c r="BS102" s="64"/>
      <c r="BT102" s="64"/>
      <c r="BU102" s="64"/>
      <c r="BV102" s="64"/>
      <c r="BW102" s="64"/>
      <c r="BX102" s="64"/>
      <c r="BY102" s="64"/>
      <c r="BZ102" s="64"/>
      <c r="CA102" s="65"/>
      <c r="CB102" s="60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4"/>
      <c r="CV102" s="64"/>
      <c r="CW102" s="64"/>
      <c r="CX102" s="64"/>
      <c r="CY102" s="64"/>
      <c r="CZ102" s="64"/>
      <c r="DA102" s="64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</row>
    <row r="103" spans="2:130" x14ac:dyDescent="0.15">
      <c r="B103" s="58" t="str">
        <f>IF(G103&lt;&gt;"",SUBTOTAL(3,$G$5:G103),"")</f>
        <v/>
      </c>
      <c r="C103" s="58"/>
      <c r="D103" s="58"/>
      <c r="E103" s="59"/>
      <c r="F103" s="59"/>
      <c r="G103" s="60"/>
      <c r="H103" s="61"/>
      <c r="I103" s="68">
        <v>0.8</v>
      </c>
      <c r="J103" s="63"/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4"/>
      <c r="AN103" s="64"/>
      <c r="AO103" s="64"/>
      <c r="AP103" s="64"/>
      <c r="AQ103" s="64"/>
      <c r="AR103" s="65"/>
      <c r="AS103" s="63"/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4"/>
      <c r="BR103" s="64"/>
      <c r="BS103" s="64"/>
      <c r="BT103" s="64"/>
      <c r="BU103" s="64"/>
      <c r="BV103" s="64"/>
      <c r="BW103" s="64"/>
      <c r="BX103" s="64"/>
      <c r="BY103" s="64"/>
      <c r="BZ103" s="64"/>
      <c r="CA103" s="65"/>
      <c r="CB103" s="60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4"/>
      <c r="CV103" s="64"/>
      <c r="CW103" s="64"/>
      <c r="CX103" s="64"/>
      <c r="CY103" s="64"/>
      <c r="CZ103" s="64"/>
      <c r="DA103" s="64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</row>
    <row r="104" spans="2:130" x14ac:dyDescent="0.15">
      <c r="B104" s="58">
        <f>IF(G104&lt;&gt;"",SUBTOTAL(3,$G$5:G104),"")</f>
        <v>31</v>
      </c>
      <c r="C104" s="58"/>
      <c r="D104" s="58"/>
      <c r="E104" s="59" t="s">
        <v>139</v>
      </c>
      <c r="F104" s="59" t="s">
        <v>135</v>
      </c>
      <c r="G104" s="60" t="s">
        <v>213</v>
      </c>
      <c r="H104" s="61">
        <v>44045</v>
      </c>
      <c r="I104" s="62">
        <v>1</v>
      </c>
      <c r="J104" s="63" t="s">
        <v>297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4"/>
      <c r="AN104" s="64"/>
      <c r="AO104" s="64"/>
      <c r="AP104" s="64"/>
      <c r="AQ104" s="64"/>
      <c r="AR104" s="65"/>
      <c r="AS104" s="63"/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4"/>
      <c r="BR104" s="64"/>
      <c r="BS104" s="64"/>
      <c r="BT104" s="64"/>
      <c r="BU104" s="64"/>
      <c r="BV104" s="64"/>
      <c r="BW104" s="64"/>
      <c r="BX104" s="64"/>
      <c r="BY104" s="64"/>
      <c r="BZ104" s="64"/>
      <c r="CA104" s="65"/>
      <c r="CB104" s="60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4"/>
      <c r="CV104" s="64"/>
      <c r="CW104" s="64"/>
      <c r="CX104" s="64"/>
      <c r="CY104" s="64"/>
      <c r="CZ104" s="64"/>
      <c r="DA104" s="64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</row>
    <row r="105" spans="2:130" x14ac:dyDescent="0.15">
      <c r="B105" s="58" t="str">
        <f>IF(G105&lt;&gt;"",SUBTOTAL(3,$G$5:G105),"")</f>
        <v/>
      </c>
      <c r="C105" s="58"/>
      <c r="D105" s="58"/>
      <c r="E105" s="59"/>
      <c r="F105" s="59"/>
      <c r="G105" s="60"/>
      <c r="H105" s="61"/>
      <c r="I105" s="70">
        <v>1</v>
      </c>
      <c r="J105" s="63" t="s">
        <v>298</v>
      </c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4"/>
      <c r="AN105" s="64"/>
      <c r="AO105" s="64"/>
      <c r="AP105" s="64"/>
      <c r="AQ105" s="64"/>
      <c r="AR105" s="65"/>
      <c r="AS105" s="63"/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4"/>
      <c r="BR105" s="64"/>
      <c r="BS105" s="64"/>
      <c r="BT105" s="64"/>
      <c r="BU105" s="64"/>
      <c r="BV105" s="64"/>
      <c r="BW105" s="64"/>
      <c r="BX105" s="64"/>
      <c r="BY105" s="64"/>
      <c r="BZ105" s="64"/>
      <c r="CA105" s="65"/>
      <c r="CB105" s="60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4"/>
      <c r="CV105" s="64"/>
      <c r="CW105" s="64"/>
      <c r="CX105" s="64"/>
      <c r="CY105" s="64"/>
      <c r="CZ105" s="64"/>
      <c r="DA105" s="64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</row>
    <row r="106" spans="2:130" x14ac:dyDescent="0.15">
      <c r="B106" s="58" t="str">
        <f>IF(G106&lt;&gt;"",SUBTOTAL(3,$G$5:G106),"")</f>
        <v/>
      </c>
      <c r="C106" s="58"/>
      <c r="D106" s="58"/>
      <c r="E106" s="59"/>
      <c r="F106" s="59"/>
      <c r="G106" s="60"/>
      <c r="H106" s="61"/>
      <c r="I106" s="70">
        <v>1</v>
      </c>
      <c r="J106" s="63" t="s">
        <v>299</v>
      </c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4"/>
      <c r="AN106" s="64"/>
      <c r="AO106" s="64"/>
      <c r="AP106" s="64"/>
      <c r="AQ106" s="64"/>
      <c r="AR106" s="65"/>
      <c r="AS106" s="63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4"/>
      <c r="BR106" s="64"/>
      <c r="BS106" s="64"/>
      <c r="BT106" s="64"/>
      <c r="BU106" s="64"/>
      <c r="BV106" s="64"/>
      <c r="BW106" s="64"/>
      <c r="BX106" s="64"/>
      <c r="BY106" s="64"/>
      <c r="BZ106" s="64"/>
      <c r="CA106" s="65"/>
      <c r="CB106" s="60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4"/>
      <c r="CV106" s="64"/>
      <c r="CW106" s="64"/>
      <c r="CX106" s="64"/>
      <c r="CY106" s="64"/>
      <c r="CZ106" s="64"/>
      <c r="DA106" s="64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</row>
    <row r="107" spans="2:130" x14ac:dyDescent="0.15">
      <c r="B107" s="58" t="str">
        <f>IF(G107&lt;&gt;"",SUBTOTAL(3,$G$5:G107),"")</f>
        <v/>
      </c>
      <c r="C107" s="58"/>
      <c r="D107" s="58"/>
      <c r="E107" s="59"/>
      <c r="F107" s="59"/>
      <c r="G107" s="60"/>
      <c r="H107" s="61"/>
      <c r="I107" s="70">
        <v>1</v>
      </c>
      <c r="J107" s="63" t="s">
        <v>300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4"/>
      <c r="AN107" s="64"/>
      <c r="AO107" s="64"/>
      <c r="AP107" s="64"/>
      <c r="AQ107" s="64"/>
      <c r="AR107" s="65"/>
      <c r="AS107" s="63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4"/>
      <c r="BR107" s="64"/>
      <c r="BS107" s="64"/>
      <c r="BT107" s="64"/>
      <c r="BU107" s="64"/>
      <c r="BV107" s="64"/>
      <c r="BW107" s="64"/>
      <c r="BX107" s="64"/>
      <c r="BY107" s="64"/>
      <c r="BZ107" s="64"/>
      <c r="CA107" s="65"/>
      <c r="CB107" s="60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4"/>
      <c r="CV107" s="64"/>
      <c r="CW107" s="64"/>
      <c r="CX107" s="64"/>
      <c r="CY107" s="64"/>
      <c r="CZ107" s="64"/>
      <c r="DA107" s="64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</row>
    <row r="108" spans="2:130" x14ac:dyDescent="0.15">
      <c r="B108" s="58" t="str">
        <f>IF(G108&lt;&gt;"",SUBTOTAL(3,$G$5:G108),"")</f>
        <v/>
      </c>
      <c r="C108" s="58"/>
      <c r="D108" s="58"/>
      <c r="E108" s="59"/>
      <c r="F108" s="59"/>
      <c r="G108" s="60"/>
      <c r="H108" s="61"/>
      <c r="I108" s="70">
        <v>1</v>
      </c>
      <c r="J108" s="63" t="s">
        <v>301</v>
      </c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4"/>
      <c r="AN108" s="64"/>
      <c r="AO108" s="64"/>
      <c r="AP108" s="64"/>
      <c r="AQ108" s="64"/>
      <c r="AR108" s="65"/>
      <c r="AS108" s="63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4"/>
      <c r="BR108" s="64"/>
      <c r="BS108" s="64"/>
      <c r="BT108" s="64"/>
      <c r="BU108" s="64"/>
      <c r="BV108" s="64"/>
      <c r="BW108" s="64"/>
      <c r="BX108" s="64"/>
      <c r="BY108" s="64"/>
      <c r="BZ108" s="64"/>
      <c r="CA108" s="65"/>
      <c r="CB108" s="60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4"/>
      <c r="CV108" s="64"/>
      <c r="CW108" s="64"/>
      <c r="CX108" s="64"/>
      <c r="CY108" s="64"/>
      <c r="CZ108" s="64"/>
      <c r="DA108" s="64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</row>
    <row r="109" spans="2:130" x14ac:dyDescent="0.15">
      <c r="B109" s="58" t="str">
        <f>IF(G109&lt;&gt;"",SUBTOTAL(3,$G$5:G109),"")</f>
        <v/>
      </c>
      <c r="C109" s="58"/>
      <c r="D109" s="58"/>
      <c r="E109" s="59"/>
      <c r="F109" s="59"/>
      <c r="G109" s="60"/>
      <c r="H109" s="61"/>
      <c r="I109" s="70">
        <v>1</v>
      </c>
      <c r="J109" s="63"/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4"/>
      <c r="AN109" s="64"/>
      <c r="AO109" s="64"/>
      <c r="AP109" s="64"/>
      <c r="AQ109" s="64"/>
      <c r="AR109" s="65"/>
      <c r="AS109" s="63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4"/>
      <c r="BR109" s="64"/>
      <c r="BS109" s="64"/>
      <c r="BT109" s="64"/>
      <c r="BU109" s="64"/>
      <c r="BV109" s="64"/>
      <c r="BW109" s="64"/>
      <c r="BX109" s="64"/>
      <c r="BY109" s="64"/>
      <c r="BZ109" s="64"/>
      <c r="CA109" s="65"/>
      <c r="CB109" s="60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4"/>
      <c r="CV109" s="64"/>
      <c r="CW109" s="64"/>
      <c r="CX109" s="64"/>
      <c r="CY109" s="64"/>
      <c r="CZ109" s="64"/>
      <c r="DA109" s="64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</row>
    <row r="110" spans="2:130" x14ac:dyDescent="0.15">
      <c r="B110" s="58">
        <f>IF(G110&lt;&gt;"",SUBTOTAL(3,$G$5:G110),"")</f>
        <v>32</v>
      </c>
      <c r="C110" s="58"/>
      <c r="D110" s="58"/>
      <c r="E110" s="59" t="s">
        <v>139</v>
      </c>
      <c r="F110" s="59" t="s">
        <v>135</v>
      </c>
      <c r="G110" s="60" t="s">
        <v>212</v>
      </c>
      <c r="H110" s="61">
        <v>44044</v>
      </c>
      <c r="I110" s="62">
        <v>1</v>
      </c>
      <c r="J110" s="63" t="s">
        <v>302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4"/>
      <c r="AN110" s="64"/>
      <c r="AO110" s="64"/>
      <c r="AP110" s="64"/>
      <c r="AQ110" s="64"/>
      <c r="AR110" s="65"/>
      <c r="AS110" s="63" t="s">
        <v>278</v>
      </c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4"/>
      <c r="BR110" s="64"/>
      <c r="BS110" s="64"/>
      <c r="BT110" s="64"/>
      <c r="BU110" s="64"/>
      <c r="BV110" s="64"/>
      <c r="BW110" s="64"/>
      <c r="BX110" s="64"/>
      <c r="BY110" s="64"/>
      <c r="BZ110" s="64"/>
      <c r="CA110" s="65"/>
      <c r="CB110" s="60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4"/>
      <c r="CV110" s="64"/>
      <c r="CW110" s="64"/>
      <c r="CX110" s="64"/>
      <c r="CY110" s="64"/>
      <c r="CZ110" s="64"/>
      <c r="DA110" s="64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</row>
    <row r="111" spans="2:130" x14ac:dyDescent="0.15">
      <c r="B111" s="58" t="str">
        <f>IF(G111&lt;&gt;"",SUBTOTAL(3,$G$5:G111),"")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366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4"/>
      <c r="AN111" s="64"/>
      <c r="AO111" s="64"/>
      <c r="AP111" s="64"/>
      <c r="AQ111" s="64"/>
      <c r="AR111" s="65"/>
      <c r="AS111" s="63" t="s">
        <v>392</v>
      </c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4"/>
      <c r="BR111" s="64"/>
      <c r="BS111" s="64"/>
      <c r="BT111" s="64"/>
      <c r="BU111" s="64"/>
      <c r="BV111" s="64"/>
      <c r="BW111" s="64"/>
      <c r="BX111" s="64"/>
      <c r="BY111" s="64"/>
      <c r="BZ111" s="64"/>
      <c r="CA111" s="65"/>
      <c r="CB111" s="60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4"/>
      <c r="CV111" s="64"/>
      <c r="CW111" s="64"/>
      <c r="CX111" s="64"/>
      <c r="CY111" s="64"/>
      <c r="CZ111" s="64"/>
      <c r="DA111" s="64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</row>
    <row r="112" spans="2:130" x14ac:dyDescent="0.15">
      <c r="B112" s="58" t="str">
        <f>IF(G112&lt;&gt;"",SUBTOTAL(3,$G$5:G112),"")</f>
        <v/>
      </c>
      <c r="C112" s="58"/>
      <c r="D112" s="58"/>
      <c r="E112" s="59"/>
      <c r="F112" s="59"/>
      <c r="G112" s="60"/>
      <c r="H112" s="61"/>
      <c r="I112" s="70">
        <v>1</v>
      </c>
      <c r="J112" s="63" t="s">
        <v>303</v>
      </c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4"/>
      <c r="AN112" s="64"/>
      <c r="AO112" s="64"/>
      <c r="AP112" s="64"/>
      <c r="AQ112" s="64"/>
      <c r="AR112" s="65"/>
      <c r="AS112" s="63" t="s">
        <v>393</v>
      </c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4"/>
      <c r="BR112" s="64"/>
      <c r="BS112" s="64"/>
      <c r="BT112" s="64"/>
      <c r="BU112" s="64"/>
      <c r="BV112" s="64"/>
      <c r="BW112" s="64"/>
      <c r="BX112" s="64"/>
      <c r="BY112" s="64"/>
      <c r="BZ112" s="64"/>
      <c r="CA112" s="65"/>
      <c r="CB112" s="60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4"/>
      <c r="CV112" s="64"/>
      <c r="CW112" s="64"/>
      <c r="CX112" s="64"/>
      <c r="CY112" s="64"/>
      <c r="CZ112" s="64"/>
      <c r="DA112" s="64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</row>
    <row r="113" spans="2:130" x14ac:dyDescent="0.15">
      <c r="B113" s="58" t="str">
        <f>IF(G113&lt;&gt;"",SUBTOTAL(3,$G$5:G113),"")</f>
        <v/>
      </c>
      <c r="C113" s="58"/>
      <c r="D113" s="58"/>
      <c r="E113" s="59"/>
      <c r="F113" s="59"/>
      <c r="G113" s="60"/>
      <c r="H113" s="61"/>
      <c r="I113" s="70">
        <v>1</v>
      </c>
      <c r="J113" s="63"/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4"/>
      <c r="AN113" s="64"/>
      <c r="AO113" s="64"/>
      <c r="AP113" s="64"/>
      <c r="AQ113" s="64"/>
      <c r="AR113" s="65"/>
      <c r="AS113" s="63" t="s">
        <v>394</v>
      </c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4"/>
      <c r="BR113" s="64"/>
      <c r="BS113" s="64"/>
      <c r="BT113" s="64"/>
      <c r="BU113" s="64"/>
      <c r="BV113" s="64"/>
      <c r="BW113" s="64"/>
      <c r="BX113" s="64"/>
      <c r="BY113" s="64"/>
      <c r="BZ113" s="64"/>
      <c r="CA113" s="65"/>
      <c r="CB113" s="60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4"/>
      <c r="CV113" s="64"/>
      <c r="CW113" s="64"/>
      <c r="CX113" s="64"/>
      <c r="CY113" s="64"/>
      <c r="CZ113" s="64"/>
      <c r="DA113" s="64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</row>
    <row r="114" spans="2:130" x14ac:dyDescent="0.15">
      <c r="B114" s="58" t="str">
        <f>IF(G114&lt;&gt;"",SUBTOTAL(3,$G$5:G114),"")</f>
        <v/>
      </c>
      <c r="C114" s="58"/>
      <c r="D114" s="58"/>
      <c r="E114" s="59"/>
      <c r="F114" s="59"/>
      <c r="G114" s="60"/>
      <c r="H114" s="61"/>
      <c r="I114" s="70">
        <v>1</v>
      </c>
      <c r="J114" s="63"/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4"/>
      <c r="AN114" s="64"/>
      <c r="AO114" s="64"/>
      <c r="AP114" s="64"/>
      <c r="AQ114" s="64"/>
      <c r="AR114" s="65"/>
      <c r="AS114" s="63" t="s">
        <v>395</v>
      </c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4"/>
      <c r="BR114" s="64"/>
      <c r="BS114" s="64"/>
      <c r="BT114" s="64"/>
      <c r="BU114" s="64"/>
      <c r="BV114" s="64"/>
      <c r="BW114" s="64"/>
      <c r="BX114" s="64"/>
      <c r="BY114" s="64"/>
      <c r="BZ114" s="64"/>
      <c r="CA114" s="65"/>
      <c r="CB114" s="60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4"/>
      <c r="CV114" s="64"/>
      <c r="CW114" s="64"/>
      <c r="CX114" s="64"/>
      <c r="CY114" s="64"/>
      <c r="CZ114" s="64"/>
      <c r="DA114" s="64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</row>
    <row r="115" spans="2:130" x14ac:dyDescent="0.15">
      <c r="B115" s="58" t="str">
        <f>IF(G115&lt;&gt;"",SUBTOTAL(3,$G$5:G115),"")</f>
        <v/>
      </c>
      <c r="C115" s="58"/>
      <c r="D115" s="58"/>
      <c r="E115" s="59"/>
      <c r="F115" s="59"/>
      <c r="G115" s="60"/>
      <c r="H115" s="61"/>
      <c r="I115" s="70">
        <v>1</v>
      </c>
      <c r="J115" s="63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4"/>
      <c r="AN115" s="64"/>
      <c r="AO115" s="64"/>
      <c r="AP115" s="64"/>
      <c r="AQ115" s="64"/>
      <c r="AR115" s="65"/>
      <c r="AS115" s="63" t="s">
        <v>282</v>
      </c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4"/>
      <c r="BR115" s="64"/>
      <c r="BS115" s="64"/>
      <c r="BT115" s="64"/>
      <c r="BU115" s="64"/>
      <c r="BV115" s="64"/>
      <c r="BW115" s="64"/>
      <c r="BX115" s="64"/>
      <c r="BY115" s="64"/>
      <c r="BZ115" s="64"/>
      <c r="CA115" s="65"/>
      <c r="CB115" s="60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4"/>
      <c r="CV115" s="64"/>
      <c r="CW115" s="64"/>
      <c r="CX115" s="64"/>
      <c r="CY115" s="64"/>
      <c r="CZ115" s="64"/>
      <c r="DA115" s="64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</row>
    <row r="116" spans="2:130" x14ac:dyDescent="0.15">
      <c r="B116" s="58" t="str">
        <f>IF(G116&lt;&gt;"",SUBTOTAL(3,$G$5:G116),"")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4"/>
      <c r="AN116" s="64"/>
      <c r="AO116" s="64"/>
      <c r="AP116" s="64"/>
      <c r="AQ116" s="64"/>
      <c r="AR116" s="65"/>
      <c r="AS116" s="63" t="s">
        <v>304</v>
      </c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4"/>
      <c r="BR116" s="64"/>
      <c r="BS116" s="64"/>
      <c r="BT116" s="64"/>
      <c r="BU116" s="64"/>
      <c r="BV116" s="64"/>
      <c r="BW116" s="64"/>
      <c r="BX116" s="64"/>
      <c r="BY116" s="64"/>
      <c r="BZ116" s="64"/>
      <c r="CA116" s="65"/>
      <c r="CB116" s="60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4"/>
      <c r="CV116" s="64"/>
      <c r="CW116" s="64"/>
      <c r="CX116" s="64"/>
      <c r="CY116" s="64"/>
      <c r="CZ116" s="64"/>
      <c r="DA116" s="64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</row>
    <row r="117" spans="2:130" x14ac:dyDescent="0.15">
      <c r="B117" s="58" t="str">
        <f>IF(G117&lt;&gt;"",SUBTOTAL(3,$G$5:G117),"")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4"/>
      <c r="AN117" s="64"/>
      <c r="AO117" s="64"/>
      <c r="AP117" s="64"/>
      <c r="AQ117" s="64"/>
      <c r="AR117" s="65"/>
      <c r="AS117" s="63" t="s">
        <v>305</v>
      </c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4"/>
      <c r="BR117" s="64"/>
      <c r="BS117" s="64"/>
      <c r="BT117" s="64"/>
      <c r="BU117" s="64"/>
      <c r="BV117" s="64"/>
      <c r="BW117" s="64"/>
      <c r="BX117" s="64"/>
      <c r="BY117" s="64"/>
      <c r="BZ117" s="64"/>
      <c r="CA117" s="65"/>
      <c r="CB117" s="60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4"/>
      <c r="CV117" s="64"/>
      <c r="CW117" s="64"/>
      <c r="CX117" s="64"/>
      <c r="CY117" s="64"/>
      <c r="CZ117" s="64"/>
      <c r="DA117" s="64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</row>
    <row r="118" spans="2:130" x14ac:dyDescent="0.15">
      <c r="B118" s="58" t="str">
        <f>IF(G118&lt;&gt;"",SUBTOTAL(3,$G$5:G118),"")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4"/>
      <c r="AN118" s="64"/>
      <c r="AO118" s="64"/>
      <c r="AP118" s="64"/>
      <c r="AQ118" s="64"/>
      <c r="AR118" s="65"/>
      <c r="AS118" s="63" t="s">
        <v>306</v>
      </c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4"/>
      <c r="BR118" s="64"/>
      <c r="BS118" s="64"/>
      <c r="BT118" s="64"/>
      <c r="BU118" s="64"/>
      <c r="BV118" s="64"/>
      <c r="BW118" s="64"/>
      <c r="BX118" s="64"/>
      <c r="BY118" s="64"/>
      <c r="BZ118" s="64"/>
      <c r="CA118" s="65"/>
      <c r="CB118" s="60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4"/>
      <c r="CV118" s="64"/>
      <c r="CW118" s="64"/>
      <c r="CX118" s="64"/>
      <c r="CY118" s="64"/>
      <c r="CZ118" s="64"/>
      <c r="DA118" s="64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</row>
    <row r="119" spans="2:130" x14ac:dyDescent="0.15">
      <c r="B119" s="58" t="str">
        <f>IF(G119&lt;&gt;"",SUBTOTAL(3,$G$5:G119),"")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4"/>
      <c r="AN119" s="64"/>
      <c r="AO119" s="64"/>
      <c r="AP119" s="64"/>
      <c r="AQ119" s="64"/>
      <c r="AR119" s="65"/>
      <c r="AS119" s="63"/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4"/>
      <c r="BR119" s="64"/>
      <c r="BS119" s="64"/>
      <c r="BT119" s="64"/>
      <c r="BU119" s="64"/>
      <c r="BV119" s="64"/>
      <c r="BW119" s="64"/>
      <c r="BX119" s="64"/>
      <c r="BY119" s="64"/>
      <c r="BZ119" s="64"/>
      <c r="CA119" s="65"/>
      <c r="CB119" s="60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4"/>
      <c r="CV119" s="64"/>
      <c r="CW119" s="64"/>
      <c r="CX119" s="64"/>
      <c r="CY119" s="64"/>
      <c r="CZ119" s="64"/>
      <c r="DA119" s="64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</row>
    <row r="120" spans="2:130" x14ac:dyDescent="0.15">
      <c r="B120" s="58" t="str">
        <f>IF(G120&lt;&gt;"",SUBTOTAL(3,$G$5:G120),"")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4"/>
      <c r="AN120" s="64"/>
      <c r="AO120" s="64"/>
      <c r="AP120" s="64"/>
      <c r="AQ120" s="64"/>
      <c r="AR120" s="65"/>
      <c r="AS120" s="63"/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4"/>
      <c r="BR120" s="64"/>
      <c r="BS120" s="64"/>
      <c r="BT120" s="64"/>
      <c r="BU120" s="64"/>
      <c r="BV120" s="64"/>
      <c r="BW120" s="64"/>
      <c r="BX120" s="64"/>
      <c r="BY120" s="64"/>
      <c r="BZ120" s="64"/>
      <c r="CA120" s="65"/>
      <c r="CB120" s="60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4"/>
      <c r="CV120" s="64"/>
      <c r="CW120" s="64"/>
      <c r="CX120" s="64"/>
      <c r="CY120" s="64"/>
      <c r="CZ120" s="64"/>
      <c r="DA120" s="64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</row>
    <row r="121" spans="2:130" x14ac:dyDescent="0.15">
      <c r="B121" s="58">
        <f>IF(G121&lt;&gt;"",SUBTOTAL(3,$G$5:G121),"")</f>
        <v>33</v>
      </c>
      <c r="C121" s="58"/>
      <c r="D121" s="58"/>
      <c r="E121" s="59" t="s">
        <v>139</v>
      </c>
      <c r="F121" s="59" t="s">
        <v>135</v>
      </c>
      <c r="G121" s="60" t="s">
        <v>211</v>
      </c>
      <c r="H121" s="61">
        <v>44038</v>
      </c>
      <c r="I121" s="62">
        <v>1</v>
      </c>
      <c r="J121" s="63" t="s">
        <v>307</v>
      </c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4"/>
      <c r="AN121" s="64"/>
      <c r="AO121" s="64"/>
      <c r="AP121" s="64"/>
      <c r="AQ121" s="64"/>
      <c r="AR121" s="65"/>
      <c r="AS121" s="63" t="s">
        <v>278</v>
      </c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4"/>
      <c r="BR121" s="64"/>
      <c r="BS121" s="64"/>
      <c r="BT121" s="64"/>
      <c r="BU121" s="64"/>
      <c r="BV121" s="64"/>
      <c r="BW121" s="64"/>
      <c r="BX121" s="64"/>
      <c r="BY121" s="64"/>
      <c r="BZ121" s="64"/>
      <c r="CA121" s="65"/>
      <c r="CB121" s="60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4"/>
      <c r="CV121" s="64"/>
      <c r="CW121" s="64"/>
      <c r="CX121" s="64"/>
      <c r="CY121" s="64"/>
      <c r="CZ121" s="64"/>
      <c r="DA121" s="64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</row>
    <row r="122" spans="2:130" x14ac:dyDescent="0.15">
      <c r="B122" s="58" t="str">
        <f>IF(G122&lt;&gt;"",SUBTOTAL(3,$G$5:G122),"")</f>
        <v/>
      </c>
      <c r="C122" s="58"/>
      <c r="D122" s="58"/>
      <c r="E122" s="59"/>
      <c r="F122" s="59"/>
      <c r="G122" s="60"/>
      <c r="H122" s="61"/>
      <c r="I122" s="70">
        <v>1</v>
      </c>
      <c r="J122" s="63" t="s">
        <v>308</v>
      </c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4"/>
      <c r="AN122" s="64"/>
      <c r="AO122" s="64"/>
      <c r="AP122" s="64"/>
      <c r="AQ122" s="64"/>
      <c r="AR122" s="65"/>
      <c r="AS122" s="63" t="s">
        <v>396</v>
      </c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4"/>
      <c r="BR122" s="64"/>
      <c r="BS122" s="64"/>
      <c r="BT122" s="64"/>
      <c r="BU122" s="64"/>
      <c r="BV122" s="64"/>
      <c r="BW122" s="64"/>
      <c r="BX122" s="64"/>
      <c r="BY122" s="64"/>
      <c r="BZ122" s="64"/>
      <c r="CA122" s="65"/>
      <c r="CB122" s="60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4"/>
      <c r="CV122" s="64"/>
      <c r="CW122" s="64"/>
      <c r="CX122" s="64"/>
      <c r="CY122" s="64"/>
      <c r="CZ122" s="64"/>
      <c r="DA122" s="64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</row>
    <row r="123" spans="2:130" x14ac:dyDescent="0.15">
      <c r="B123" s="58" t="str">
        <f>IF(G123&lt;&gt;"",SUBTOTAL(3,$G$5:G123),"")</f>
        <v/>
      </c>
      <c r="C123" s="58"/>
      <c r="D123" s="58"/>
      <c r="E123" s="59"/>
      <c r="F123" s="59"/>
      <c r="G123" s="60"/>
      <c r="H123" s="61"/>
      <c r="I123" s="70">
        <v>1</v>
      </c>
      <c r="J123" s="63" t="s">
        <v>367</v>
      </c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4"/>
      <c r="AN123" s="64"/>
      <c r="AO123" s="64"/>
      <c r="AP123" s="64"/>
      <c r="AQ123" s="64"/>
      <c r="AR123" s="65"/>
      <c r="AS123" s="63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4"/>
      <c r="BR123" s="64"/>
      <c r="BS123" s="64"/>
      <c r="BT123" s="64"/>
      <c r="BU123" s="64"/>
      <c r="BV123" s="64"/>
      <c r="BW123" s="64"/>
      <c r="BX123" s="64"/>
      <c r="BY123" s="64"/>
      <c r="BZ123" s="64"/>
      <c r="CA123" s="65"/>
      <c r="CB123" s="60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4"/>
      <c r="CV123" s="64"/>
      <c r="CW123" s="64"/>
      <c r="CX123" s="64"/>
      <c r="CY123" s="64"/>
      <c r="CZ123" s="64"/>
      <c r="DA123" s="64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</row>
    <row r="124" spans="2:130" x14ac:dyDescent="0.15">
      <c r="B124" s="58" t="str">
        <f>IF(G124&lt;&gt;"",SUBTOTAL(3,$G$5:G124),"")</f>
        <v/>
      </c>
      <c r="C124" s="58"/>
      <c r="D124" s="58"/>
      <c r="E124" s="59"/>
      <c r="F124" s="59"/>
      <c r="G124" s="60"/>
      <c r="H124" s="61"/>
      <c r="I124" s="70">
        <v>1</v>
      </c>
      <c r="J124" s="63" t="s">
        <v>368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4"/>
      <c r="AN124" s="64"/>
      <c r="AO124" s="64"/>
      <c r="AP124" s="64"/>
      <c r="AQ124" s="64"/>
      <c r="AR124" s="65"/>
      <c r="AS124" s="63"/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4"/>
      <c r="BR124" s="64"/>
      <c r="BS124" s="64"/>
      <c r="BT124" s="64"/>
      <c r="BU124" s="64"/>
      <c r="BV124" s="64"/>
      <c r="BW124" s="64"/>
      <c r="BX124" s="64"/>
      <c r="BY124" s="64"/>
      <c r="BZ124" s="64"/>
      <c r="CA124" s="65"/>
      <c r="CB124" s="60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4"/>
      <c r="CV124" s="64"/>
      <c r="CW124" s="64"/>
      <c r="CX124" s="64"/>
      <c r="CY124" s="64"/>
      <c r="CZ124" s="64"/>
      <c r="DA124" s="64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</row>
    <row r="125" spans="2:130" x14ac:dyDescent="0.15">
      <c r="B125" s="58" t="str">
        <f>IF(G125&lt;&gt;"",SUBTOTAL(3,$G$5:G125),"")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309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4"/>
      <c r="AN125" s="64"/>
      <c r="AO125" s="64"/>
      <c r="AP125" s="64"/>
      <c r="AQ125" s="64"/>
      <c r="AR125" s="65"/>
      <c r="AS125" s="63"/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4"/>
      <c r="BR125" s="64"/>
      <c r="BS125" s="64"/>
      <c r="BT125" s="64"/>
      <c r="BU125" s="64"/>
      <c r="BV125" s="64"/>
      <c r="BW125" s="64"/>
      <c r="BX125" s="64"/>
      <c r="BY125" s="64"/>
      <c r="BZ125" s="64"/>
      <c r="CA125" s="65"/>
      <c r="CB125" s="60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4"/>
      <c r="CV125" s="64"/>
      <c r="CW125" s="64"/>
      <c r="CX125" s="64"/>
      <c r="CY125" s="64"/>
      <c r="CZ125" s="64"/>
      <c r="DA125" s="64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</row>
    <row r="126" spans="2:130" x14ac:dyDescent="0.15">
      <c r="B126" s="58" t="str">
        <f>IF(G126&lt;&gt;"",SUBTOTAL(3,$G$5:G126),"")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310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4"/>
      <c r="AN126" s="64"/>
      <c r="AO126" s="64"/>
      <c r="AP126" s="64"/>
      <c r="AQ126" s="64"/>
      <c r="AR126" s="65"/>
      <c r="AS126" s="63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4"/>
      <c r="BR126" s="64"/>
      <c r="BS126" s="64"/>
      <c r="BT126" s="64"/>
      <c r="BU126" s="64"/>
      <c r="BV126" s="64"/>
      <c r="BW126" s="64"/>
      <c r="BX126" s="64"/>
      <c r="BY126" s="64"/>
      <c r="BZ126" s="64"/>
      <c r="CA126" s="65"/>
      <c r="CB126" s="60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4"/>
      <c r="CV126" s="64"/>
      <c r="CW126" s="64"/>
      <c r="CX126" s="64"/>
      <c r="CY126" s="64"/>
      <c r="CZ126" s="64"/>
      <c r="DA126" s="64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</row>
    <row r="127" spans="2:130" x14ac:dyDescent="0.15">
      <c r="B127" s="58" t="str">
        <f>IF(G127&lt;&gt;"",SUBTOTAL(3,$G$5:G127),"")</f>
        <v/>
      </c>
      <c r="C127" s="58"/>
      <c r="D127" s="58"/>
      <c r="E127" s="59"/>
      <c r="F127" s="59"/>
      <c r="G127" s="60"/>
      <c r="H127" s="61"/>
      <c r="I127" s="70">
        <v>1</v>
      </c>
      <c r="J127" s="63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4"/>
      <c r="AN127" s="64"/>
      <c r="AO127" s="64"/>
      <c r="AP127" s="64"/>
      <c r="AQ127" s="64"/>
      <c r="AR127" s="65"/>
      <c r="AS127" s="63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4"/>
      <c r="BR127" s="64"/>
      <c r="BS127" s="64"/>
      <c r="BT127" s="64"/>
      <c r="BU127" s="64"/>
      <c r="BV127" s="64"/>
      <c r="BW127" s="64"/>
      <c r="BX127" s="64"/>
      <c r="BY127" s="64"/>
      <c r="BZ127" s="64"/>
      <c r="CA127" s="65"/>
      <c r="CB127" s="60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4"/>
      <c r="CV127" s="64"/>
      <c r="CW127" s="64"/>
      <c r="CX127" s="64"/>
      <c r="CY127" s="64"/>
      <c r="CZ127" s="64"/>
      <c r="DA127" s="64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</row>
    <row r="128" spans="2:130" x14ac:dyDescent="0.15">
      <c r="B128" s="58">
        <f>IF(G128&lt;&gt;"",SUBTOTAL(3,$G$5:G128),"")</f>
        <v>34</v>
      </c>
      <c r="C128" s="58"/>
      <c r="D128" s="58"/>
      <c r="E128" s="59" t="s">
        <v>139</v>
      </c>
      <c r="F128" s="59" t="s">
        <v>135</v>
      </c>
      <c r="G128" s="60" t="s">
        <v>210</v>
      </c>
      <c r="H128" s="61">
        <v>44038</v>
      </c>
      <c r="I128" s="62">
        <v>1</v>
      </c>
      <c r="J128" s="63" t="s">
        <v>397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4"/>
      <c r="AN128" s="64"/>
      <c r="AO128" s="64"/>
      <c r="AP128" s="64"/>
      <c r="AQ128" s="64"/>
      <c r="AR128" s="65"/>
      <c r="AS128" s="63" t="s">
        <v>278</v>
      </c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4"/>
      <c r="BR128" s="64"/>
      <c r="BS128" s="64"/>
      <c r="BT128" s="64"/>
      <c r="BU128" s="64"/>
      <c r="BV128" s="64"/>
      <c r="BW128" s="64"/>
      <c r="BX128" s="64"/>
      <c r="BY128" s="64"/>
      <c r="BZ128" s="64"/>
      <c r="CA128" s="65"/>
      <c r="CB128" s="67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4"/>
      <c r="CV128" s="64"/>
      <c r="CW128" s="64"/>
      <c r="CX128" s="64"/>
      <c r="CY128" s="64"/>
      <c r="CZ128" s="64"/>
      <c r="DA128" s="64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</row>
    <row r="129" spans="2:130" x14ac:dyDescent="0.15">
      <c r="B129" s="58" t="str">
        <f>IF(G129&lt;&gt;"",SUBTOTAL(3,$G$5:G129),"")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398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4"/>
      <c r="AN129" s="64"/>
      <c r="AO129" s="64"/>
      <c r="AP129" s="64"/>
      <c r="AQ129" s="64"/>
      <c r="AR129" s="65"/>
      <c r="AS129" s="63" t="s">
        <v>311</v>
      </c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4"/>
      <c r="BR129" s="64"/>
      <c r="BS129" s="64"/>
      <c r="BT129" s="64"/>
      <c r="BU129" s="64"/>
      <c r="BV129" s="64"/>
      <c r="BW129" s="64"/>
      <c r="BX129" s="64"/>
      <c r="BY129" s="64"/>
      <c r="BZ129" s="64"/>
      <c r="CA129" s="65"/>
      <c r="CB129" s="67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4"/>
      <c r="CV129" s="64"/>
      <c r="CW129" s="64"/>
      <c r="CX129" s="64"/>
      <c r="CY129" s="64"/>
      <c r="CZ129" s="64"/>
      <c r="DA129" s="64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</row>
    <row r="130" spans="2:130" x14ac:dyDescent="0.15">
      <c r="B130" s="58" t="str">
        <f>IF(G130&lt;&gt;"",SUBTOTAL(3,$G$5:G130),"")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4"/>
      <c r="AN130" s="64"/>
      <c r="AO130" s="64"/>
      <c r="AP130" s="64"/>
      <c r="AQ130" s="64"/>
      <c r="AR130" s="65"/>
      <c r="AS130" s="63" t="s">
        <v>399</v>
      </c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4"/>
      <c r="BR130" s="64"/>
      <c r="BS130" s="64"/>
      <c r="BT130" s="64"/>
      <c r="BU130" s="64"/>
      <c r="BV130" s="64"/>
      <c r="BW130" s="64"/>
      <c r="BX130" s="64"/>
      <c r="BY130" s="64"/>
      <c r="BZ130" s="64"/>
      <c r="CA130" s="65"/>
      <c r="CB130" s="67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4"/>
      <c r="CV130" s="64"/>
      <c r="CW130" s="64"/>
      <c r="CX130" s="64"/>
      <c r="CY130" s="64"/>
      <c r="CZ130" s="64"/>
      <c r="DA130" s="64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</row>
    <row r="131" spans="2:130" x14ac:dyDescent="0.15">
      <c r="B131" s="58" t="str">
        <f>IF(G131&lt;&gt;"",SUBTOTAL(3,$G$5:G131),"")</f>
        <v/>
      </c>
      <c r="C131" s="58"/>
      <c r="D131" s="58"/>
      <c r="E131" s="59"/>
      <c r="F131" s="59"/>
      <c r="G131" s="60"/>
      <c r="H131" s="61"/>
      <c r="I131" s="70">
        <v>1</v>
      </c>
      <c r="J131" s="63"/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4"/>
      <c r="AN131" s="64"/>
      <c r="AO131" s="64"/>
      <c r="AP131" s="64"/>
      <c r="AQ131" s="64"/>
      <c r="AR131" s="65"/>
      <c r="AS131" s="63" t="s">
        <v>400</v>
      </c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4"/>
      <c r="BR131" s="64"/>
      <c r="BS131" s="64"/>
      <c r="BT131" s="64"/>
      <c r="BU131" s="64"/>
      <c r="BV131" s="64"/>
      <c r="BW131" s="64"/>
      <c r="BX131" s="64"/>
      <c r="BY131" s="64"/>
      <c r="BZ131" s="64"/>
      <c r="CA131" s="65"/>
      <c r="CB131" s="67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4"/>
      <c r="CV131" s="64"/>
      <c r="CW131" s="64"/>
      <c r="CX131" s="64"/>
      <c r="CY131" s="64"/>
      <c r="CZ131" s="64"/>
      <c r="DA131" s="64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</row>
    <row r="132" spans="2:130" x14ac:dyDescent="0.15">
      <c r="B132" s="58" t="str">
        <f>IF(G132&lt;&gt;"",SUBTOTAL(3,$G$5:G132),"")</f>
        <v/>
      </c>
      <c r="C132" s="58"/>
      <c r="D132" s="58"/>
      <c r="E132" s="59"/>
      <c r="F132" s="59"/>
      <c r="G132" s="60"/>
      <c r="H132" s="61"/>
      <c r="I132" s="70">
        <v>1</v>
      </c>
      <c r="J132" s="63"/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4"/>
      <c r="AN132" s="64"/>
      <c r="AO132" s="64"/>
      <c r="AP132" s="64"/>
      <c r="AQ132" s="64"/>
      <c r="AR132" s="65"/>
      <c r="AS132" s="63" t="s">
        <v>401</v>
      </c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4"/>
      <c r="BR132" s="64"/>
      <c r="BS132" s="64"/>
      <c r="BT132" s="64"/>
      <c r="BU132" s="64"/>
      <c r="BV132" s="64"/>
      <c r="BW132" s="64"/>
      <c r="BX132" s="64"/>
      <c r="BY132" s="64"/>
      <c r="BZ132" s="64"/>
      <c r="CA132" s="65"/>
      <c r="CB132" s="67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4"/>
      <c r="CV132" s="64"/>
      <c r="CW132" s="64"/>
      <c r="CX132" s="64"/>
      <c r="CY132" s="64"/>
      <c r="CZ132" s="64"/>
      <c r="DA132" s="64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</row>
    <row r="133" spans="2:130" x14ac:dyDescent="0.15">
      <c r="B133" s="58" t="str">
        <f>IF(G133&lt;&gt;"",SUBTOTAL(3,$G$5:G133),"")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4"/>
      <c r="AN133" s="64"/>
      <c r="AO133" s="64"/>
      <c r="AP133" s="64"/>
      <c r="AQ133" s="64"/>
      <c r="AR133" s="65"/>
      <c r="AS133" s="63"/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4"/>
      <c r="BR133" s="64"/>
      <c r="BS133" s="64"/>
      <c r="BT133" s="64"/>
      <c r="BU133" s="64"/>
      <c r="BV133" s="64"/>
      <c r="BW133" s="64"/>
      <c r="BX133" s="64"/>
      <c r="BY133" s="64"/>
      <c r="BZ133" s="64"/>
      <c r="CA133" s="65"/>
      <c r="CB133" s="67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4"/>
      <c r="CV133" s="64"/>
      <c r="CW133" s="64"/>
      <c r="CX133" s="64"/>
      <c r="CY133" s="64"/>
      <c r="CZ133" s="64"/>
      <c r="DA133" s="64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</row>
    <row r="134" spans="2:130" x14ac:dyDescent="0.15">
      <c r="B134" s="58">
        <f>IF(G134&lt;&gt;"",SUBTOTAL(3,$G$5:G134),"")</f>
        <v>35</v>
      </c>
      <c r="C134" s="58"/>
      <c r="D134" s="58"/>
      <c r="E134" s="59" t="s">
        <v>139</v>
      </c>
      <c r="F134" s="59" t="s">
        <v>135</v>
      </c>
      <c r="G134" s="60" t="s">
        <v>160</v>
      </c>
      <c r="H134" s="61">
        <v>43960</v>
      </c>
      <c r="I134" s="62">
        <v>1</v>
      </c>
      <c r="J134" s="63" t="s">
        <v>312</v>
      </c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4"/>
      <c r="AN134" s="64"/>
      <c r="AO134" s="64"/>
      <c r="AP134" s="64"/>
      <c r="AQ134" s="64"/>
      <c r="AR134" s="65"/>
      <c r="AS134" s="63" t="s">
        <v>278</v>
      </c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4"/>
      <c r="BR134" s="64"/>
      <c r="BS134" s="64"/>
      <c r="BT134" s="64"/>
      <c r="BU134" s="64"/>
      <c r="BV134" s="64"/>
      <c r="BW134" s="64"/>
      <c r="BX134" s="64"/>
      <c r="BY134" s="64"/>
      <c r="BZ134" s="64"/>
      <c r="CA134" s="65"/>
      <c r="CB134" s="67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4"/>
      <c r="CV134" s="64"/>
      <c r="CW134" s="64"/>
      <c r="CX134" s="64"/>
      <c r="CY134" s="64"/>
      <c r="CZ134" s="64"/>
      <c r="DA134" s="64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</row>
    <row r="135" spans="2:130" x14ac:dyDescent="0.15">
      <c r="B135" s="58" t="str">
        <f>IF(G135&lt;&gt;"",SUBTOTAL(3,$G$5:G135),"")</f>
        <v/>
      </c>
      <c r="C135" s="58"/>
      <c r="D135" s="58"/>
      <c r="E135" s="59"/>
      <c r="F135" s="59"/>
      <c r="G135" s="60"/>
      <c r="H135" s="61"/>
      <c r="I135" s="70">
        <v>1</v>
      </c>
      <c r="J135" s="63" t="s">
        <v>313</v>
      </c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4"/>
      <c r="AN135" s="64"/>
      <c r="AO135" s="64"/>
      <c r="AP135" s="64"/>
      <c r="AQ135" s="64"/>
      <c r="AR135" s="65"/>
      <c r="AS135" s="63" t="s">
        <v>402</v>
      </c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4"/>
      <c r="BR135" s="64"/>
      <c r="BS135" s="64"/>
      <c r="BT135" s="64"/>
      <c r="BU135" s="64"/>
      <c r="BV135" s="64"/>
      <c r="BW135" s="64"/>
      <c r="BX135" s="64"/>
      <c r="BY135" s="64"/>
      <c r="BZ135" s="64"/>
      <c r="CA135" s="65"/>
      <c r="CB135" s="67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4"/>
      <c r="CV135" s="64"/>
      <c r="CW135" s="64"/>
      <c r="CX135" s="64"/>
      <c r="CY135" s="64"/>
      <c r="CZ135" s="64"/>
      <c r="DA135" s="64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</row>
    <row r="136" spans="2:130" x14ac:dyDescent="0.15">
      <c r="B136" s="58" t="str">
        <f>IF(G136&lt;&gt;"",SUBTOTAL(3,$G$5:G136),"")</f>
        <v/>
      </c>
      <c r="C136" s="58"/>
      <c r="D136" s="58"/>
      <c r="E136" s="59"/>
      <c r="F136" s="59"/>
      <c r="G136" s="60"/>
      <c r="H136" s="61"/>
      <c r="I136" s="70">
        <v>1</v>
      </c>
      <c r="J136" s="63"/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4"/>
      <c r="AN136" s="64"/>
      <c r="AO136" s="64"/>
      <c r="AP136" s="64"/>
      <c r="AQ136" s="64"/>
      <c r="AR136" s="65"/>
      <c r="AS136" s="63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4"/>
      <c r="BR136" s="64"/>
      <c r="BS136" s="64"/>
      <c r="BT136" s="64"/>
      <c r="BU136" s="64"/>
      <c r="BV136" s="64"/>
      <c r="BW136" s="64"/>
      <c r="BX136" s="64"/>
      <c r="BY136" s="64"/>
      <c r="BZ136" s="64"/>
      <c r="CA136" s="65"/>
      <c r="CB136" s="67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4"/>
      <c r="CV136" s="64"/>
      <c r="CW136" s="64"/>
      <c r="CX136" s="64"/>
      <c r="CY136" s="64"/>
      <c r="CZ136" s="64"/>
      <c r="DA136" s="64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</row>
    <row r="137" spans="2:130" ht="15.75" x14ac:dyDescent="0.15">
      <c r="B137" s="58">
        <f>IF(G137&lt;&gt;"",SUBTOTAL(3,$G$5:G137),"")</f>
        <v>36</v>
      </c>
      <c r="C137" s="58"/>
      <c r="D137" s="58"/>
      <c r="E137" s="59" t="s">
        <v>139</v>
      </c>
      <c r="F137" s="59" t="s">
        <v>135</v>
      </c>
      <c r="G137" s="60" t="s">
        <v>161</v>
      </c>
      <c r="H137" s="61">
        <v>44036</v>
      </c>
      <c r="I137" s="62">
        <v>0.3</v>
      </c>
      <c r="J137" s="63" t="s">
        <v>314</v>
      </c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4"/>
      <c r="AN137" s="64"/>
      <c r="AO137" s="64"/>
      <c r="AP137" s="64"/>
      <c r="AQ137" s="64"/>
      <c r="AR137" s="65"/>
      <c r="AS137" s="64" t="s">
        <v>376</v>
      </c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4"/>
      <c r="BR137" s="64"/>
      <c r="BS137" s="64"/>
      <c r="BT137" s="64"/>
      <c r="BU137" s="64"/>
      <c r="BV137" s="64"/>
      <c r="BW137" s="64"/>
      <c r="BX137" s="64"/>
      <c r="BY137" s="64"/>
      <c r="BZ137" s="64"/>
      <c r="CA137" s="65"/>
      <c r="CB137" s="60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4"/>
      <c r="CV137" s="64"/>
      <c r="CW137" s="64"/>
      <c r="CX137" s="64"/>
      <c r="CY137" s="64"/>
      <c r="CZ137" s="64"/>
      <c r="DA137" s="64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</row>
    <row r="138" spans="2:130" x14ac:dyDescent="0.15">
      <c r="B138" s="58" t="str">
        <f>IF(G138&lt;&gt;"",SUBTOTAL(3,$G$5:G138),"")</f>
        <v/>
      </c>
      <c r="C138" s="58"/>
      <c r="D138" s="58"/>
      <c r="E138" s="59"/>
      <c r="F138" s="59"/>
      <c r="G138" s="60"/>
      <c r="H138" s="61"/>
      <c r="I138" s="68">
        <v>0.3</v>
      </c>
      <c r="J138" s="63" t="s">
        <v>374</v>
      </c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4"/>
      <c r="AN138" s="64"/>
      <c r="AO138" s="64"/>
      <c r="AP138" s="64"/>
      <c r="AQ138" s="64"/>
      <c r="AR138" s="65"/>
      <c r="AS138" s="64" t="s">
        <v>278</v>
      </c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4"/>
      <c r="BR138" s="64"/>
      <c r="BS138" s="64"/>
      <c r="BT138" s="64"/>
      <c r="BU138" s="64"/>
      <c r="BV138" s="64"/>
      <c r="BW138" s="64"/>
      <c r="BX138" s="64"/>
      <c r="BY138" s="64"/>
      <c r="BZ138" s="64"/>
      <c r="CA138" s="65"/>
      <c r="CB138" s="60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4"/>
      <c r="CV138" s="64"/>
      <c r="CW138" s="64"/>
      <c r="CX138" s="64"/>
      <c r="CY138" s="64"/>
      <c r="CZ138" s="64"/>
      <c r="DA138" s="64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</row>
    <row r="139" spans="2:130" x14ac:dyDescent="0.15">
      <c r="B139" s="58" t="str">
        <f>IF(G139&lt;&gt;"",SUBTOTAL(3,$G$5:G139),"")</f>
        <v/>
      </c>
      <c r="C139" s="58"/>
      <c r="D139" s="58"/>
      <c r="E139" s="59"/>
      <c r="F139" s="59"/>
      <c r="G139" s="60"/>
      <c r="H139" s="61"/>
      <c r="I139" s="68">
        <v>0.3</v>
      </c>
      <c r="J139" s="63" t="s">
        <v>375</v>
      </c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4"/>
      <c r="AN139" s="64"/>
      <c r="AO139" s="64"/>
      <c r="AP139" s="64"/>
      <c r="AQ139" s="64"/>
      <c r="AR139" s="65"/>
      <c r="AS139" s="64" t="s">
        <v>316</v>
      </c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/>
      <c r="BS139" s="64"/>
      <c r="BT139" s="64"/>
      <c r="BU139" s="64"/>
      <c r="BV139" s="64"/>
      <c r="BW139" s="64"/>
      <c r="BX139" s="64"/>
      <c r="BY139" s="64"/>
      <c r="BZ139" s="64"/>
      <c r="CA139" s="65"/>
      <c r="CB139" s="60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4"/>
      <c r="CV139" s="64"/>
      <c r="CW139" s="64"/>
      <c r="CX139" s="64"/>
      <c r="CY139" s="64"/>
      <c r="CZ139" s="64"/>
      <c r="DA139" s="64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</row>
    <row r="140" spans="2:130" x14ac:dyDescent="0.15">
      <c r="B140" s="58" t="str">
        <f>IF(G140&lt;&gt;"",SUBTOTAL(3,$G$5:G140),"")</f>
        <v/>
      </c>
      <c r="C140" s="58"/>
      <c r="D140" s="58"/>
      <c r="E140" s="59"/>
      <c r="F140" s="59"/>
      <c r="G140" s="60"/>
      <c r="H140" s="61"/>
      <c r="I140" s="68">
        <v>0.3</v>
      </c>
      <c r="J140" s="63" t="s">
        <v>369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4"/>
      <c r="AN140" s="64"/>
      <c r="AO140" s="64"/>
      <c r="AP140" s="64"/>
      <c r="AQ140" s="64"/>
      <c r="AR140" s="65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/>
      <c r="BS140" s="64"/>
      <c r="BT140" s="64"/>
      <c r="BU140" s="64"/>
      <c r="BV140" s="64"/>
      <c r="BW140" s="64"/>
      <c r="BX140" s="64"/>
      <c r="BY140" s="64"/>
      <c r="BZ140" s="64"/>
      <c r="CA140" s="65"/>
      <c r="CB140" s="60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4"/>
      <c r="CV140" s="64"/>
      <c r="CW140" s="64"/>
      <c r="CX140" s="64"/>
      <c r="CY140" s="64"/>
      <c r="CZ140" s="64"/>
      <c r="DA140" s="64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</row>
    <row r="141" spans="2:130" x14ac:dyDescent="0.15">
      <c r="B141" s="58" t="str">
        <f>IF(G141&lt;&gt;"",SUBTOTAL(3,$G$5:G141),"")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315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4"/>
      <c r="AN141" s="64"/>
      <c r="AO141" s="64"/>
      <c r="AP141" s="64"/>
      <c r="AQ141" s="64"/>
      <c r="AR141" s="65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5"/>
      <c r="CB141" s="60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4"/>
      <c r="CV141" s="64"/>
      <c r="CW141" s="64"/>
      <c r="CX141" s="64"/>
      <c r="CY141" s="64"/>
      <c r="CZ141" s="64"/>
      <c r="DA141" s="64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</row>
    <row r="142" spans="2:130" x14ac:dyDescent="0.15">
      <c r="B142" s="58" t="str">
        <f>IF(G142&lt;&gt;"",SUBTOTAL(3,$G$5:G142),"")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/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4"/>
      <c r="AN142" s="64"/>
      <c r="AO142" s="64"/>
      <c r="AP142" s="64"/>
      <c r="AQ142" s="64"/>
      <c r="AR142" s="65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5"/>
      <c r="CB142" s="60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4"/>
      <c r="CV142" s="64"/>
      <c r="CW142" s="64"/>
      <c r="CX142" s="64"/>
      <c r="CY142" s="64"/>
      <c r="CZ142" s="64"/>
      <c r="DA142" s="64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</row>
    <row r="143" spans="2:130" x14ac:dyDescent="0.15">
      <c r="B143" s="58" t="str">
        <f>IF(G143&lt;&gt;"",SUBTOTAL(3,$G$5:G143),"")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/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4"/>
      <c r="AN143" s="64"/>
      <c r="AO143" s="64"/>
      <c r="AP143" s="64"/>
      <c r="AQ143" s="64"/>
      <c r="AR143" s="65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5"/>
      <c r="CB143" s="60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4"/>
      <c r="CV143" s="64"/>
      <c r="CW143" s="64"/>
      <c r="CX143" s="64"/>
      <c r="CY143" s="64"/>
      <c r="CZ143" s="64"/>
      <c r="DA143" s="64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</row>
    <row r="144" spans="2:130" x14ac:dyDescent="0.15">
      <c r="B144" s="58">
        <f>IF(G144&lt;&gt;"",SUBTOTAL(3,$G$5:G144),"")</f>
        <v>37</v>
      </c>
      <c r="C144" s="58"/>
      <c r="D144" s="58"/>
      <c r="E144" s="59" t="s">
        <v>139</v>
      </c>
      <c r="F144" s="59" t="s">
        <v>135</v>
      </c>
      <c r="G144" s="60" t="s">
        <v>162</v>
      </c>
      <c r="H144" s="61">
        <v>44013</v>
      </c>
      <c r="I144" s="62"/>
      <c r="J144" s="63"/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4"/>
      <c r="AN144" s="64"/>
      <c r="AO144" s="64"/>
      <c r="AP144" s="64"/>
      <c r="AQ144" s="64"/>
      <c r="AR144" s="65"/>
      <c r="AS144" s="63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5"/>
      <c r="CB144" s="60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4"/>
      <c r="CV144" s="64"/>
      <c r="CW144" s="64"/>
      <c r="CX144" s="64"/>
      <c r="CY144" s="64"/>
      <c r="CZ144" s="64"/>
      <c r="DA144" s="64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</row>
    <row r="145" spans="2:130" x14ac:dyDescent="0.15">
      <c r="B145" s="58">
        <f>IF(G145&lt;&gt;"",SUBTOTAL(3,$G$5:G145),"")</f>
        <v>38</v>
      </c>
      <c r="C145" s="58"/>
      <c r="D145" s="58"/>
      <c r="E145" s="59" t="s">
        <v>139</v>
      </c>
      <c r="F145" s="59" t="s">
        <v>135</v>
      </c>
      <c r="G145" s="60" t="s">
        <v>163</v>
      </c>
      <c r="H145" s="61">
        <v>44010</v>
      </c>
      <c r="I145" s="62"/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4"/>
      <c r="AN145" s="64"/>
      <c r="AO145" s="64"/>
      <c r="AP145" s="64"/>
      <c r="AQ145" s="64"/>
      <c r="AR145" s="65"/>
      <c r="AS145" s="63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4"/>
      <c r="BR145" s="64"/>
      <c r="BS145" s="64"/>
      <c r="BT145" s="64"/>
      <c r="BU145" s="64"/>
      <c r="BV145" s="64"/>
      <c r="BW145" s="64"/>
      <c r="BX145" s="64"/>
      <c r="BY145" s="64"/>
      <c r="BZ145" s="64"/>
      <c r="CA145" s="65"/>
      <c r="CB145" s="60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4"/>
      <c r="CV145" s="64"/>
      <c r="CW145" s="64"/>
      <c r="CX145" s="64"/>
      <c r="CY145" s="64"/>
      <c r="CZ145" s="64"/>
      <c r="DA145" s="64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</row>
    <row r="146" spans="2:130" x14ac:dyDescent="0.15">
      <c r="B146" s="58">
        <f>IF(G146&lt;&gt;"",SUBTOTAL(3,$G$5:G146),"")</f>
        <v>39</v>
      </c>
      <c r="C146" s="58"/>
      <c r="D146" s="58"/>
      <c r="E146" s="59" t="s">
        <v>139</v>
      </c>
      <c r="F146" s="59" t="s">
        <v>135</v>
      </c>
      <c r="G146" s="60" t="s">
        <v>164</v>
      </c>
      <c r="H146" s="61">
        <v>44010</v>
      </c>
      <c r="I146" s="62"/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4"/>
      <c r="AN146" s="64"/>
      <c r="AO146" s="64"/>
      <c r="AP146" s="64"/>
      <c r="AQ146" s="64"/>
      <c r="AR146" s="65"/>
      <c r="AS146" s="63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4"/>
      <c r="BR146" s="64"/>
      <c r="BS146" s="64"/>
      <c r="BT146" s="64"/>
      <c r="BU146" s="64"/>
      <c r="BV146" s="64"/>
      <c r="BW146" s="64"/>
      <c r="BX146" s="64"/>
      <c r="BY146" s="64"/>
      <c r="BZ146" s="64"/>
      <c r="CA146" s="65"/>
      <c r="CB146" s="60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4"/>
      <c r="CV146" s="64"/>
      <c r="CW146" s="64"/>
      <c r="CX146" s="64"/>
      <c r="CY146" s="64"/>
      <c r="CZ146" s="64"/>
      <c r="DA146" s="64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</row>
    <row r="147" spans="2:130" x14ac:dyDescent="0.15">
      <c r="B147" s="58">
        <f>IF(G147&lt;&gt;"",SUBTOTAL(3,$G$5:G147),"")</f>
        <v>40</v>
      </c>
      <c r="C147" s="58"/>
      <c r="D147" s="58"/>
      <c r="E147" s="59" t="s">
        <v>139</v>
      </c>
      <c r="F147" s="59" t="s">
        <v>135</v>
      </c>
      <c r="G147" s="60" t="s">
        <v>165</v>
      </c>
      <c r="H147" s="61">
        <v>44007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4"/>
      <c r="AN147" s="64"/>
      <c r="AO147" s="64"/>
      <c r="AP147" s="64"/>
      <c r="AQ147" s="64"/>
      <c r="AR147" s="65"/>
      <c r="AS147" s="63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4"/>
      <c r="BR147" s="64"/>
      <c r="BS147" s="64"/>
      <c r="BT147" s="64"/>
      <c r="BU147" s="64"/>
      <c r="BV147" s="64"/>
      <c r="BW147" s="64"/>
      <c r="BX147" s="64"/>
      <c r="BY147" s="64"/>
      <c r="BZ147" s="64"/>
      <c r="CA147" s="65"/>
      <c r="CB147" s="60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4"/>
      <c r="CV147" s="64"/>
      <c r="CW147" s="64"/>
      <c r="CX147" s="64"/>
      <c r="CY147" s="64"/>
      <c r="CZ147" s="64"/>
      <c r="DA147" s="64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</row>
    <row r="148" spans="2:130" x14ac:dyDescent="0.15">
      <c r="B148" s="58">
        <f>IF(G148&lt;&gt;"",SUBTOTAL(3,$G$5:G148),"")</f>
        <v>41</v>
      </c>
      <c r="C148" s="58"/>
      <c r="D148" s="58"/>
      <c r="E148" s="59" t="s">
        <v>139</v>
      </c>
      <c r="F148" s="59" t="s">
        <v>135</v>
      </c>
      <c r="G148" s="60" t="s">
        <v>166</v>
      </c>
      <c r="H148" s="61">
        <v>44006</v>
      </c>
      <c r="I148" s="62"/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4"/>
      <c r="AN148" s="64"/>
      <c r="AO148" s="64"/>
      <c r="AP148" s="64"/>
      <c r="AQ148" s="64"/>
      <c r="AR148" s="65"/>
      <c r="AS148" s="63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4"/>
      <c r="BR148" s="64"/>
      <c r="BS148" s="64"/>
      <c r="BT148" s="64"/>
      <c r="BU148" s="64"/>
      <c r="BV148" s="64"/>
      <c r="BW148" s="64"/>
      <c r="BX148" s="64"/>
      <c r="BY148" s="64"/>
      <c r="BZ148" s="64"/>
      <c r="CA148" s="65"/>
      <c r="CB148" s="60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4"/>
      <c r="CV148" s="64"/>
      <c r="CW148" s="64"/>
      <c r="CX148" s="64"/>
      <c r="CY148" s="64"/>
      <c r="CZ148" s="64"/>
      <c r="DA148" s="64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</row>
    <row r="149" spans="2:130" x14ac:dyDescent="0.15">
      <c r="B149" s="58">
        <f>IF(G149&lt;&gt;"",SUBTOTAL(3,$G$5:G149),"")</f>
        <v>42</v>
      </c>
      <c r="C149" s="58"/>
      <c r="D149" s="58"/>
      <c r="E149" s="59" t="s">
        <v>139</v>
      </c>
      <c r="F149" s="59" t="s">
        <v>135</v>
      </c>
      <c r="G149" s="60" t="s">
        <v>167</v>
      </c>
      <c r="H149" s="61">
        <v>44003</v>
      </c>
      <c r="I149" s="62"/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4"/>
      <c r="AN149" s="64"/>
      <c r="AO149" s="64"/>
      <c r="AP149" s="64"/>
      <c r="AQ149" s="64"/>
      <c r="AR149" s="65"/>
      <c r="AS149" s="63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4"/>
      <c r="BR149" s="64"/>
      <c r="BS149" s="64"/>
      <c r="BT149" s="64"/>
      <c r="BU149" s="64"/>
      <c r="BV149" s="64"/>
      <c r="BW149" s="64"/>
      <c r="BX149" s="64"/>
      <c r="BY149" s="64"/>
      <c r="BZ149" s="64"/>
      <c r="CA149" s="65"/>
      <c r="CB149" s="60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4"/>
      <c r="CV149" s="64"/>
      <c r="CW149" s="64"/>
      <c r="CX149" s="64"/>
      <c r="CY149" s="64"/>
      <c r="CZ149" s="64"/>
      <c r="DA149" s="64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</row>
    <row r="150" spans="2:130" x14ac:dyDescent="0.15">
      <c r="B150" s="58">
        <f>IF(G150&lt;&gt;"",SUBTOTAL(3,$G$5:G150),"")</f>
        <v>43</v>
      </c>
      <c r="C150" s="58"/>
      <c r="D150" s="58"/>
      <c r="E150" s="59" t="s">
        <v>139</v>
      </c>
      <c r="F150" s="59" t="s">
        <v>135</v>
      </c>
      <c r="G150" s="60" t="s">
        <v>168</v>
      </c>
      <c r="H150" s="61">
        <v>44000</v>
      </c>
      <c r="I150" s="62"/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4"/>
      <c r="AN150" s="64"/>
      <c r="AO150" s="64"/>
      <c r="AP150" s="64"/>
      <c r="AQ150" s="64"/>
      <c r="AR150" s="65"/>
      <c r="AS150" s="63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4"/>
      <c r="BR150" s="64"/>
      <c r="BS150" s="64"/>
      <c r="BT150" s="64"/>
      <c r="BU150" s="64"/>
      <c r="BV150" s="64"/>
      <c r="BW150" s="64"/>
      <c r="BX150" s="64"/>
      <c r="BY150" s="64"/>
      <c r="BZ150" s="64"/>
      <c r="CA150" s="65"/>
      <c r="CB150" s="60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4"/>
      <c r="CV150" s="64"/>
      <c r="CW150" s="64"/>
      <c r="CX150" s="64"/>
      <c r="CY150" s="64"/>
      <c r="CZ150" s="64"/>
      <c r="DA150" s="64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</row>
    <row r="151" spans="2:130" x14ac:dyDescent="0.15">
      <c r="B151" s="58">
        <f>IF(G151&lt;&gt;"",SUBTOTAL(3,$G$5:G151),"")</f>
        <v>44</v>
      </c>
      <c r="C151" s="58"/>
      <c r="D151" s="58"/>
      <c r="E151" s="59" t="s">
        <v>139</v>
      </c>
      <c r="F151" s="59" t="s">
        <v>135</v>
      </c>
      <c r="G151" s="60" t="s">
        <v>169</v>
      </c>
      <c r="H151" s="61">
        <v>43996</v>
      </c>
      <c r="I151" s="62"/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4"/>
      <c r="AN151" s="64"/>
      <c r="AO151" s="64"/>
      <c r="AP151" s="64"/>
      <c r="AQ151" s="64"/>
      <c r="AR151" s="65"/>
      <c r="AS151" s="63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4"/>
      <c r="BR151" s="64"/>
      <c r="BS151" s="64"/>
      <c r="BT151" s="64"/>
      <c r="BU151" s="64"/>
      <c r="BV151" s="64"/>
      <c r="BW151" s="64"/>
      <c r="BX151" s="64"/>
      <c r="BY151" s="64"/>
      <c r="BZ151" s="64"/>
      <c r="CA151" s="65"/>
      <c r="CB151" s="60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4"/>
      <c r="CV151" s="64"/>
      <c r="CW151" s="64"/>
      <c r="CX151" s="64"/>
      <c r="CY151" s="64"/>
      <c r="CZ151" s="64"/>
      <c r="DA151" s="64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</row>
    <row r="152" spans="2:130" x14ac:dyDescent="0.15">
      <c r="B152" s="58">
        <f>IF(G152&lt;&gt;"",SUBTOTAL(3,$G$5:G152),"")</f>
        <v>45</v>
      </c>
      <c r="C152" s="58"/>
      <c r="D152" s="58"/>
      <c r="E152" s="59" t="s">
        <v>139</v>
      </c>
      <c r="F152" s="59" t="s">
        <v>135</v>
      </c>
      <c r="G152" s="60" t="s">
        <v>170</v>
      </c>
      <c r="H152" s="61">
        <v>43996</v>
      </c>
      <c r="I152" s="62"/>
      <c r="J152" s="63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4"/>
      <c r="AN152" s="64"/>
      <c r="AO152" s="64"/>
      <c r="AP152" s="64"/>
      <c r="AQ152" s="64"/>
      <c r="AR152" s="65"/>
      <c r="AS152" s="63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4"/>
      <c r="BR152" s="64"/>
      <c r="BS152" s="64"/>
      <c r="BT152" s="64"/>
      <c r="BU152" s="64"/>
      <c r="BV152" s="64"/>
      <c r="BW152" s="64"/>
      <c r="BX152" s="64"/>
      <c r="BY152" s="64"/>
      <c r="BZ152" s="64"/>
      <c r="CA152" s="65"/>
      <c r="CB152" s="60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4"/>
      <c r="CV152" s="64"/>
      <c r="CW152" s="64"/>
      <c r="CX152" s="64"/>
      <c r="CY152" s="64"/>
      <c r="CZ152" s="64"/>
      <c r="DA152" s="64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</row>
    <row r="153" spans="2:130" x14ac:dyDescent="0.15">
      <c r="B153" s="58">
        <f>IF(G153&lt;&gt;"",SUBTOTAL(3,$G$5:G153),"")</f>
        <v>46</v>
      </c>
      <c r="C153" s="58"/>
      <c r="D153" s="58"/>
      <c r="E153" s="59" t="s">
        <v>139</v>
      </c>
      <c r="F153" s="59" t="s">
        <v>135</v>
      </c>
      <c r="G153" s="60" t="s">
        <v>171</v>
      </c>
      <c r="H153" s="61">
        <v>43996</v>
      </c>
      <c r="I153" s="62"/>
      <c r="J153" s="63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4"/>
      <c r="AN153" s="64"/>
      <c r="AO153" s="64"/>
      <c r="AP153" s="64"/>
      <c r="AQ153" s="64"/>
      <c r="AR153" s="65"/>
      <c r="AS153" s="63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4"/>
      <c r="BR153" s="64"/>
      <c r="BS153" s="64"/>
      <c r="BT153" s="64"/>
      <c r="BU153" s="64"/>
      <c r="BV153" s="64"/>
      <c r="BW153" s="64"/>
      <c r="BX153" s="64"/>
      <c r="BY153" s="64"/>
      <c r="BZ153" s="64"/>
      <c r="CA153" s="65"/>
      <c r="CB153" s="60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4"/>
      <c r="CV153" s="64"/>
      <c r="CW153" s="64"/>
      <c r="CX153" s="64"/>
      <c r="CY153" s="64"/>
      <c r="CZ153" s="64"/>
      <c r="DA153" s="64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</row>
    <row r="154" spans="2:130" x14ac:dyDescent="0.15">
      <c r="B154" s="58">
        <f>IF(G154&lt;&gt;"",SUBTOTAL(3,$G$5:G154),"")</f>
        <v>47</v>
      </c>
      <c r="C154" s="58"/>
      <c r="D154" s="58"/>
      <c r="E154" s="59" t="s">
        <v>139</v>
      </c>
      <c r="F154" s="59" t="s">
        <v>135</v>
      </c>
      <c r="G154" s="60" t="s">
        <v>172</v>
      </c>
      <c r="H154" s="61">
        <v>43995</v>
      </c>
      <c r="I154" s="62"/>
      <c r="J154" s="63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4"/>
      <c r="AN154" s="64"/>
      <c r="AO154" s="64"/>
      <c r="AP154" s="64"/>
      <c r="AQ154" s="64"/>
      <c r="AR154" s="65"/>
      <c r="AS154" s="63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4"/>
      <c r="BR154" s="64"/>
      <c r="BS154" s="64"/>
      <c r="BT154" s="64"/>
      <c r="BU154" s="64"/>
      <c r="BV154" s="64"/>
      <c r="BW154" s="64"/>
      <c r="BX154" s="64"/>
      <c r="BY154" s="64"/>
      <c r="BZ154" s="64"/>
      <c r="CA154" s="65"/>
      <c r="CB154" s="60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4"/>
      <c r="CV154" s="64"/>
      <c r="CW154" s="64"/>
      <c r="CX154" s="64"/>
      <c r="CY154" s="64"/>
      <c r="CZ154" s="64"/>
      <c r="DA154" s="64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</row>
    <row r="155" spans="2:130" x14ac:dyDescent="0.15">
      <c r="B155" s="58">
        <f>IF(G155&lt;&gt;"",SUBTOTAL(3,$G$5:G155),"")</f>
        <v>48</v>
      </c>
      <c r="C155" s="58"/>
      <c r="D155" s="58"/>
      <c r="E155" s="59" t="s">
        <v>139</v>
      </c>
      <c r="F155" s="59" t="s">
        <v>135</v>
      </c>
      <c r="G155" s="60" t="s">
        <v>173</v>
      </c>
      <c r="H155" s="61">
        <v>43995</v>
      </c>
      <c r="I155" s="62">
        <v>1</v>
      </c>
      <c r="J155" s="63" t="s">
        <v>451</v>
      </c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4"/>
      <c r="AN155" s="64"/>
      <c r="AO155" s="64"/>
      <c r="AP155" s="64"/>
      <c r="AQ155" s="64"/>
      <c r="AR155" s="65"/>
      <c r="AS155" s="63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4"/>
      <c r="BR155" s="64"/>
      <c r="BS155" s="64"/>
      <c r="BT155" s="64"/>
      <c r="BU155" s="64"/>
      <c r="BV155" s="64"/>
      <c r="BW155" s="64"/>
      <c r="BX155" s="64"/>
      <c r="BY155" s="64"/>
      <c r="BZ155" s="64"/>
      <c r="CA155" s="65"/>
      <c r="CB155" s="60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4"/>
      <c r="CV155" s="64"/>
      <c r="CW155" s="64"/>
      <c r="CX155" s="64"/>
      <c r="CY155" s="64"/>
      <c r="CZ155" s="64"/>
      <c r="DA155" s="64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</row>
    <row r="156" spans="2:130" x14ac:dyDescent="0.15">
      <c r="B156" s="102" t="str">
        <f>IF(G156&lt;&gt;"",SUBTOTAL(3,$G$5:G156),"")</f>
        <v/>
      </c>
      <c r="C156" s="58"/>
      <c r="D156" s="58"/>
      <c r="E156" s="59"/>
      <c r="F156" s="59"/>
      <c r="G156" s="60"/>
      <c r="H156" s="61"/>
      <c r="I156" s="70">
        <v>1</v>
      </c>
      <c r="J156" s="63" t="s">
        <v>449</v>
      </c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4"/>
      <c r="AN156" s="64"/>
      <c r="AO156" s="64"/>
      <c r="AP156" s="64"/>
      <c r="AQ156" s="64"/>
      <c r="AR156" s="65"/>
      <c r="AS156" s="63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4"/>
      <c r="BR156" s="64"/>
      <c r="BS156" s="64"/>
      <c r="BT156" s="64"/>
      <c r="BU156" s="64"/>
      <c r="BV156" s="64"/>
      <c r="BW156" s="64"/>
      <c r="BX156" s="64"/>
      <c r="BY156" s="64"/>
      <c r="BZ156" s="64"/>
      <c r="CA156" s="65"/>
      <c r="CB156" s="60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4"/>
      <c r="CV156" s="64"/>
      <c r="CW156" s="64"/>
      <c r="CX156" s="64"/>
      <c r="CY156" s="64"/>
      <c r="CZ156" s="64"/>
      <c r="DA156" s="64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</row>
    <row r="157" spans="2:130" x14ac:dyDescent="0.15">
      <c r="B157" s="102" t="str">
        <f>IF(G157&lt;&gt;"",SUBTOTAL(3,$G$5:G157),"")</f>
        <v/>
      </c>
      <c r="C157" s="58"/>
      <c r="D157" s="58"/>
      <c r="E157" s="59"/>
      <c r="F157" s="59"/>
      <c r="G157" s="60"/>
      <c r="H157" s="61"/>
      <c r="I157" s="70">
        <v>1</v>
      </c>
      <c r="J157" s="63" t="s">
        <v>450</v>
      </c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4"/>
      <c r="AN157" s="64"/>
      <c r="AO157" s="64"/>
      <c r="AP157" s="64"/>
      <c r="AQ157" s="64"/>
      <c r="AR157" s="65"/>
      <c r="AS157" s="63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4"/>
      <c r="BR157" s="64"/>
      <c r="BS157" s="64"/>
      <c r="BT157" s="64"/>
      <c r="BU157" s="64"/>
      <c r="BV157" s="64"/>
      <c r="BW157" s="64"/>
      <c r="BX157" s="64"/>
      <c r="BY157" s="64"/>
      <c r="BZ157" s="64"/>
      <c r="CA157" s="65"/>
      <c r="CB157" s="60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4"/>
      <c r="CV157" s="64"/>
      <c r="CW157" s="64"/>
      <c r="CX157" s="64"/>
      <c r="CY157" s="64"/>
      <c r="CZ157" s="64"/>
      <c r="DA157" s="64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</row>
    <row r="158" spans="2:130" x14ac:dyDescent="0.15">
      <c r="B158" s="102" t="str">
        <f>IF(G158&lt;&gt;"",SUBTOTAL(3,$G$5:G158),"")</f>
        <v/>
      </c>
      <c r="C158" s="58"/>
      <c r="D158" s="58"/>
      <c r="E158" s="59"/>
      <c r="F158" s="59"/>
      <c r="G158" s="60"/>
      <c r="H158" s="61"/>
      <c r="I158" s="70">
        <v>1</v>
      </c>
      <c r="J158" s="63"/>
      <c r="K158" s="64"/>
      <c r="L158" s="64"/>
      <c r="M158" s="64"/>
      <c r="N158" s="64"/>
      <c r="O158" s="64"/>
      <c r="P158" s="64"/>
      <c r="Q158" s="64"/>
      <c r="R158" s="64"/>
      <c r="S158" s="64"/>
      <c r="T158" s="64"/>
      <c r="U158" s="64"/>
      <c r="V158" s="64"/>
      <c r="W158" s="64"/>
      <c r="X158" s="64"/>
      <c r="Y158" s="64"/>
      <c r="Z158" s="64"/>
      <c r="AA158" s="64"/>
      <c r="AB158" s="64"/>
      <c r="AC158" s="64"/>
      <c r="AD158" s="64"/>
      <c r="AE158" s="64"/>
      <c r="AF158" s="64"/>
      <c r="AG158" s="64"/>
      <c r="AH158" s="64"/>
      <c r="AI158" s="64"/>
      <c r="AJ158" s="64"/>
      <c r="AK158" s="64"/>
      <c r="AL158" s="64"/>
      <c r="AM158" s="64"/>
      <c r="AN158" s="64"/>
      <c r="AO158" s="64"/>
      <c r="AP158" s="64"/>
      <c r="AQ158" s="64"/>
      <c r="AR158" s="65"/>
      <c r="AS158" s="63"/>
      <c r="AT158" s="64"/>
      <c r="AU158" s="64"/>
      <c r="AV158" s="64"/>
      <c r="AW158" s="64"/>
      <c r="AX158" s="64"/>
      <c r="AY158" s="64"/>
      <c r="AZ158" s="64"/>
      <c r="BA158" s="64"/>
      <c r="BB158" s="64"/>
      <c r="BC158" s="64"/>
      <c r="BD158" s="64"/>
      <c r="BE158" s="64"/>
      <c r="BF158" s="64"/>
      <c r="BG158" s="64"/>
      <c r="BH158" s="64"/>
      <c r="BI158" s="64"/>
      <c r="BJ158" s="64"/>
      <c r="BK158" s="64"/>
      <c r="BL158" s="64"/>
      <c r="BM158" s="64"/>
      <c r="BN158" s="64"/>
      <c r="BO158" s="64"/>
      <c r="BP158" s="64"/>
      <c r="BQ158" s="64"/>
      <c r="BR158" s="64"/>
      <c r="BS158" s="64"/>
      <c r="BT158" s="64"/>
      <c r="BU158" s="64"/>
      <c r="BV158" s="64"/>
      <c r="BW158" s="64"/>
      <c r="BX158" s="64"/>
      <c r="BY158" s="64"/>
      <c r="BZ158" s="64"/>
      <c r="CA158" s="65"/>
      <c r="CB158" s="60"/>
      <c r="CH158" s="64"/>
      <c r="CI158" s="64"/>
      <c r="CJ158" s="64"/>
      <c r="CK158" s="64"/>
      <c r="CL158" s="64"/>
      <c r="CM158" s="64"/>
      <c r="CN158" s="64"/>
      <c r="CO158" s="64"/>
      <c r="CP158" s="64"/>
      <c r="CQ158" s="64"/>
      <c r="CR158" s="64"/>
      <c r="CS158" s="64"/>
      <c r="CT158" s="64"/>
      <c r="CU158" s="64"/>
      <c r="CV158" s="64"/>
      <c r="CW158" s="64"/>
      <c r="CX158" s="64"/>
      <c r="CY158" s="64"/>
      <c r="CZ158" s="64"/>
      <c r="DA158" s="64"/>
      <c r="DB158" s="64"/>
      <c r="DC158" s="64"/>
      <c r="DD158" s="64"/>
      <c r="DE158" s="64"/>
      <c r="DF158" s="64"/>
      <c r="DG158" s="64"/>
      <c r="DH158" s="64"/>
      <c r="DI158" s="64"/>
      <c r="DJ158" s="64"/>
      <c r="DK158" s="64"/>
      <c r="DL158" s="64"/>
      <c r="DM158" s="64"/>
      <c r="DN158" s="64"/>
      <c r="DO158" s="64"/>
      <c r="DP158" s="64"/>
      <c r="DQ158" s="64"/>
      <c r="DR158" s="64"/>
      <c r="DS158" s="64"/>
      <c r="DT158" s="64"/>
      <c r="DU158" s="64"/>
      <c r="DV158" s="64"/>
      <c r="DW158" s="64"/>
      <c r="DX158" s="64"/>
      <c r="DY158" s="64"/>
      <c r="DZ158" s="64"/>
    </row>
    <row r="159" spans="2:130" x14ac:dyDescent="0.15">
      <c r="B159" s="58">
        <f>IF(G159&lt;&gt;"",SUBTOTAL(3,$G$5:G159),"")</f>
        <v>49</v>
      </c>
      <c r="C159" s="58"/>
      <c r="D159" s="58"/>
      <c r="E159" s="59" t="s">
        <v>139</v>
      </c>
      <c r="F159" s="59" t="s">
        <v>135</v>
      </c>
      <c r="G159" s="74" t="s">
        <v>174</v>
      </c>
      <c r="H159" s="61">
        <v>43982</v>
      </c>
      <c r="I159" s="62"/>
      <c r="J159" s="63"/>
      <c r="K159" s="64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4"/>
      <c r="Z159" s="64"/>
      <c r="AA159" s="64"/>
      <c r="AB159" s="64"/>
      <c r="AC159" s="64"/>
      <c r="AD159" s="64"/>
      <c r="AE159" s="64"/>
      <c r="AF159" s="64"/>
      <c r="AG159" s="64"/>
      <c r="AH159" s="64"/>
      <c r="AI159" s="64"/>
      <c r="AJ159" s="64"/>
      <c r="AK159" s="64"/>
      <c r="AL159" s="64"/>
      <c r="AM159" s="64"/>
      <c r="AN159" s="64"/>
      <c r="AO159" s="64"/>
      <c r="AP159" s="64"/>
      <c r="AQ159" s="64"/>
      <c r="AR159" s="65"/>
      <c r="AS159" s="63"/>
      <c r="AT159" s="64"/>
      <c r="AU159" s="64"/>
      <c r="AV159" s="64"/>
      <c r="AW159" s="64"/>
      <c r="AX159" s="64"/>
      <c r="AY159" s="64"/>
      <c r="AZ159" s="64"/>
      <c r="BA159" s="64"/>
      <c r="BB159" s="64"/>
      <c r="BC159" s="64"/>
      <c r="BD159" s="64"/>
      <c r="BE159" s="64"/>
      <c r="BF159" s="64"/>
      <c r="BG159" s="64"/>
      <c r="BH159" s="64"/>
      <c r="BI159" s="64"/>
      <c r="BJ159" s="64"/>
      <c r="BK159" s="64"/>
      <c r="BL159" s="64"/>
      <c r="BM159" s="64"/>
      <c r="BN159" s="64"/>
      <c r="BO159" s="64"/>
      <c r="BP159" s="64"/>
      <c r="BQ159" s="64"/>
      <c r="BR159" s="64"/>
      <c r="BS159" s="64"/>
      <c r="BT159" s="64"/>
      <c r="BU159" s="64"/>
      <c r="BV159" s="64"/>
      <c r="BW159" s="64"/>
      <c r="BX159" s="64"/>
      <c r="BY159" s="64"/>
      <c r="BZ159" s="64"/>
      <c r="CA159" s="65"/>
      <c r="CB159" s="60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4"/>
      <c r="CV159" s="64"/>
      <c r="CW159" s="64"/>
      <c r="CX159" s="64"/>
      <c r="CY159" s="64"/>
      <c r="CZ159" s="64"/>
      <c r="DA159" s="64"/>
      <c r="DB159" s="64"/>
      <c r="DC159" s="64"/>
      <c r="DD159" s="64"/>
      <c r="DE159" s="64"/>
      <c r="DF159" s="64"/>
      <c r="DG159" s="64"/>
      <c r="DH159" s="64"/>
      <c r="DI159" s="64"/>
      <c r="DJ159" s="64"/>
      <c r="DK159" s="64"/>
      <c r="DL159" s="64"/>
      <c r="DM159" s="64"/>
      <c r="DN159" s="64"/>
      <c r="DO159" s="64"/>
      <c r="DP159" s="64"/>
      <c r="DQ159" s="64"/>
      <c r="DR159" s="64"/>
      <c r="DS159" s="64"/>
      <c r="DT159" s="64"/>
      <c r="DU159" s="64"/>
      <c r="DV159" s="64"/>
      <c r="DW159" s="64"/>
      <c r="DX159" s="64"/>
      <c r="DY159" s="64"/>
      <c r="DZ159" s="64"/>
    </row>
    <row r="160" spans="2:130" s="46" customFormat="1" ht="13.5" customHeight="1" x14ac:dyDescent="0.15">
      <c r="B160" s="75">
        <f>IF(G160&lt;&gt;"",SUBTOTAL(3,$G$5:G160),"")</f>
        <v>50</v>
      </c>
      <c r="C160" s="75"/>
      <c r="D160" s="75"/>
      <c r="E160" s="76" t="s">
        <v>139</v>
      </c>
      <c r="F160" s="76" t="s">
        <v>135</v>
      </c>
      <c r="G160" s="74" t="s">
        <v>175</v>
      </c>
      <c r="H160" s="61">
        <v>43995</v>
      </c>
      <c r="I160" s="62">
        <v>1</v>
      </c>
      <c r="J160" s="77" t="s">
        <v>438</v>
      </c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78"/>
      <c r="AS160" s="77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43"/>
      <c r="BI160" s="43"/>
      <c r="BJ160" s="43"/>
      <c r="BK160" s="43"/>
      <c r="BL160" s="43"/>
      <c r="BM160" s="43"/>
      <c r="BN160" s="43"/>
      <c r="BO160" s="43"/>
      <c r="BP160" s="43"/>
      <c r="BQ160" s="43"/>
      <c r="BR160" s="43"/>
      <c r="BS160" s="43"/>
      <c r="BT160" s="43"/>
      <c r="BU160" s="43"/>
      <c r="BV160" s="43"/>
      <c r="BW160" s="43"/>
      <c r="BX160" s="43"/>
      <c r="BY160" s="43"/>
      <c r="BZ160" s="43"/>
      <c r="CA160" s="78"/>
      <c r="CB160" s="74"/>
      <c r="CC160" s="43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3"/>
      <c r="CO160" s="43"/>
      <c r="CP160" s="43"/>
      <c r="CQ160" s="43"/>
      <c r="CR160" s="43"/>
      <c r="CS160" s="43"/>
      <c r="CT160" s="43"/>
      <c r="CU160" s="43"/>
      <c r="CV160" s="43"/>
      <c r="CW160" s="43"/>
      <c r="CX160" s="43"/>
      <c r="CY160" s="43"/>
      <c r="CZ160" s="43"/>
      <c r="DA160" s="43"/>
      <c r="DB160" s="43"/>
      <c r="DC160" s="43"/>
      <c r="DD160" s="43"/>
      <c r="DE160" s="43"/>
      <c r="DF160" s="43"/>
      <c r="DG160" s="43"/>
      <c r="DH160" s="43"/>
      <c r="DI160" s="43"/>
      <c r="DJ160" s="43"/>
      <c r="DK160" s="43"/>
      <c r="DL160" s="43"/>
      <c r="DM160" s="43"/>
      <c r="DN160" s="43"/>
      <c r="DO160" s="43"/>
      <c r="DP160" s="43"/>
      <c r="DQ160" s="43"/>
      <c r="DR160" s="43"/>
      <c r="DS160" s="43"/>
      <c r="DT160" s="43"/>
      <c r="DU160" s="43"/>
      <c r="DV160" s="43"/>
      <c r="DW160" s="43"/>
      <c r="DX160" s="43"/>
      <c r="DY160" s="43"/>
      <c r="DZ160" s="43"/>
    </row>
    <row r="161" spans="2:130" s="46" customFormat="1" ht="13.5" customHeight="1" x14ac:dyDescent="0.15">
      <c r="B161" s="102" t="str">
        <f>IF(G161&lt;&gt;"",SUBTOTAL(3,$G$5:G161),"")</f>
        <v/>
      </c>
      <c r="C161" s="75"/>
      <c r="D161" s="75"/>
      <c r="E161" s="76"/>
      <c r="F161" s="76"/>
      <c r="G161" s="74"/>
      <c r="H161" s="61"/>
      <c r="I161" s="70">
        <v>1</v>
      </c>
      <c r="J161" s="77" t="s">
        <v>439</v>
      </c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78"/>
      <c r="AS161" s="77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43"/>
      <c r="BI161" s="43"/>
      <c r="BJ161" s="43"/>
      <c r="BK161" s="43"/>
      <c r="BL161" s="43"/>
      <c r="BM161" s="43"/>
      <c r="BN161" s="43"/>
      <c r="BO161" s="43"/>
      <c r="BP161" s="43"/>
      <c r="BQ161" s="43"/>
      <c r="BR161" s="43"/>
      <c r="BS161" s="43"/>
      <c r="BT161" s="43"/>
      <c r="BU161" s="43"/>
      <c r="BV161" s="43"/>
      <c r="BW161" s="43"/>
      <c r="BX161" s="43"/>
      <c r="BY161" s="43"/>
      <c r="BZ161" s="43"/>
      <c r="CA161" s="78"/>
      <c r="CB161" s="74"/>
      <c r="CC161" s="43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3"/>
      <c r="CO161" s="43"/>
      <c r="CP161" s="43"/>
      <c r="CQ161" s="43"/>
      <c r="CR161" s="43"/>
      <c r="CS161" s="43"/>
      <c r="CT161" s="43"/>
      <c r="CU161" s="43"/>
      <c r="CV161" s="43"/>
      <c r="CW161" s="43"/>
      <c r="CX161" s="43"/>
      <c r="CY161" s="43"/>
      <c r="CZ161" s="43"/>
      <c r="DA161" s="43"/>
      <c r="DB161" s="43"/>
      <c r="DC161" s="43"/>
      <c r="DD161" s="43"/>
      <c r="DE161" s="43"/>
      <c r="DF161" s="43"/>
      <c r="DG161" s="43"/>
      <c r="DH161" s="43"/>
      <c r="DI161" s="43"/>
      <c r="DJ161" s="43"/>
      <c r="DK161" s="43"/>
      <c r="DL161" s="43"/>
      <c r="DM161" s="43"/>
      <c r="DN161" s="43"/>
      <c r="DO161" s="43"/>
      <c r="DP161" s="43"/>
      <c r="DQ161" s="43"/>
      <c r="DR161" s="43"/>
      <c r="DS161" s="43"/>
      <c r="DT161" s="43"/>
      <c r="DU161" s="43"/>
      <c r="DV161" s="43"/>
      <c r="DW161" s="43"/>
      <c r="DX161" s="43"/>
      <c r="DY161" s="43"/>
      <c r="DZ161" s="43"/>
    </row>
    <row r="162" spans="2:130" s="46" customFormat="1" ht="13.5" customHeight="1" x14ac:dyDescent="0.15">
      <c r="B162" s="102" t="str">
        <f>IF(G162&lt;&gt;"",SUBTOTAL(3,$G$5:G162),"")</f>
        <v/>
      </c>
      <c r="C162" s="75"/>
      <c r="D162" s="75"/>
      <c r="E162" s="76"/>
      <c r="F162" s="76"/>
      <c r="G162" s="74"/>
      <c r="H162" s="61"/>
      <c r="I162" s="70">
        <v>1</v>
      </c>
      <c r="J162" s="77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78"/>
      <c r="AS162" s="77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43"/>
      <c r="BI162" s="43"/>
      <c r="BJ162" s="43"/>
      <c r="BK162" s="43"/>
      <c r="BL162" s="43"/>
      <c r="BM162" s="43"/>
      <c r="BN162" s="43"/>
      <c r="BO162" s="43"/>
      <c r="BP162" s="43"/>
      <c r="BQ162" s="43"/>
      <c r="BR162" s="43"/>
      <c r="BS162" s="43"/>
      <c r="BT162" s="43"/>
      <c r="BU162" s="43"/>
      <c r="BV162" s="43"/>
      <c r="BW162" s="43"/>
      <c r="BX162" s="43"/>
      <c r="BY162" s="43"/>
      <c r="BZ162" s="43"/>
      <c r="CA162" s="78"/>
      <c r="CB162" s="74"/>
      <c r="CC162" s="43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3"/>
      <c r="CO162" s="43"/>
      <c r="CP162" s="43"/>
      <c r="CQ162" s="43"/>
      <c r="CR162" s="43"/>
      <c r="CS162" s="43"/>
      <c r="CT162" s="43"/>
      <c r="CU162" s="43"/>
      <c r="CV162" s="43"/>
      <c r="CW162" s="43"/>
      <c r="CX162" s="43"/>
      <c r="CY162" s="43"/>
      <c r="CZ162" s="43"/>
      <c r="DA162" s="43"/>
      <c r="DB162" s="43"/>
      <c r="DC162" s="43"/>
      <c r="DD162" s="43"/>
      <c r="DE162" s="43"/>
      <c r="DF162" s="43"/>
      <c r="DG162" s="43"/>
      <c r="DH162" s="43"/>
      <c r="DI162" s="43"/>
      <c r="DJ162" s="43"/>
      <c r="DK162" s="43"/>
      <c r="DL162" s="43"/>
      <c r="DM162" s="43"/>
      <c r="DN162" s="43"/>
      <c r="DO162" s="43"/>
      <c r="DP162" s="43"/>
      <c r="DQ162" s="43"/>
      <c r="DR162" s="43"/>
      <c r="DS162" s="43"/>
      <c r="DT162" s="43"/>
      <c r="DU162" s="43"/>
      <c r="DV162" s="43"/>
      <c r="DW162" s="43"/>
      <c r="DX162" s="43"/>
      <c r="DY162" s="43"/>
      <c r="DZ162" s="43"/>
    </row>
    <row r="163" spans="2:130" s="46" customFormat="1" x14ac:dyDescent="0.15">
      <c r="B163" s="75">
        <f>IF(G163&lt;&gt;"",SUBTOTAL(3,$G$5:G163),"")</f>
        <v>51</v>
      </c>
      <c r="C163" s="75"/>
      <c r="D163" s="75"/>
      <c r="E163" s="76" t="s">
        <v>139</v>
      </c>
      <c r="F163" s="76" t="s">
        <v>135</v>
      </c>
      <c r="G163" s="74" t="s">
        <v>176</v>
      </c>
      <c r="H163" s="61">
        <v>43955</v>
      </c>
      <c r="I163" s="62">
        <v>1</v>
      </c>
      <c r="J163" s="79" t="s">
        <v>317</v>
      </c>
      <c r="K163" s="80"/>
      <c r="L163" s="80"/>
      <c r="M163" s="80"/>
      <c r="N163" s="80"/>
      <c r="O163" s="80"/>
      <c r="P163" s="80"/>
      <c r="Q163" s="80"/>
      <c r="R163" s="80"/>
      <c r="S163" s="80"/>
      <c r="T163" s="80"/>
      <c r="U163" s="80"/>
      <c r="V163" s="80"/>
      <c r="W163" s="80"/>
      <c r="X163" s="80"/>
      <c r="Y163" s="80"/>
      <c r="Z163" s="80"/>
      <c r="AA163" s="80"/>
      <c r="AB163" s="80"/>
      <c r="AC163" s="80"/>
      <c r="AD163" s="80"/>
      <c r="AE163" s="80"/>
      <c r="AF163" s="80"/>
      <c r="AG163" s="80"/>
      <c r="AH163" s="80"/>
      <c r="AI163" s="80"/>
      <c r="AJ163" s="80"/>
      <c r="AK163" s="80"/>
      <c r="AL163" s="80"/>
      <c r="AM163" s="80"/>
      <c r="AN163" s="80"/>
      <c r="AO163" s="80"/>
      <c r="AP163" s="80"/>
      <c r="AQ163" s="80"/>
      <c r="AR163" s="81"/>
      <c r="AS163" s="63"/>
      <c r="AT163" s="64"/>
      <c r="AU163" s="64"/>
      <c r="AV163" s="64"/>
      <c r="AW163" s="64"/>
      <c r="AX163" s="64"/>
      <c r="AY163" s="64"/>
      <c r="AZ163" s="64"/>
      <c r="BA163" s="64"/>
      <c r="BB163" s="64"/>
      <c r="BC163" s="64"/>
      <c r="BD163" s="64"/>
      <c r="BE163" s="64"/>
      <c r="BF163" s="64"/>
      <c r="BG163" s="64"/>
      <c r="BH163" s="64"/>
      <c r="BI163" s="64"/>
      <c r="BJ163" s="64"/>
      <c r="BK163" s="64"/>
      <c r="BL163" s="64"/>
      <c r="BM163" s="64"/>
      <c r="BN163" s="64"/>
      <c r="BO163" s="64"/>
      <c r="BP163" s="64"/>
      <c r="BQ163" s="64"/>
      <c r="BR163" s="64"/>
      <c r="BS163" s="64"/>
      <c r="BT163" s="64"/>
      <c r="BU163" s="64"/>
      <c r="BV163" s="64"/>
      <c r="BW163" s="64"/>
      <c r="BX163" s="64"/>
      <c r="BY163" s="64"/>
      <c r="BZ163" s="64"/>
      <c r="CA163" s="65"/>
      <c r="CB163" s="74"/>
      <c r="CC163" s="43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3"/>
      <c r="CO163" s="43"/>
      <c r="CP163" s="43"/>
      <c r="CQ163" s="43"/>
      <c r="CR163" s="43"/>
      <c r="CS163" s="43"/>
      <c r="CT163" s="43"/>
      <c r="CU163" s="43"/>
      <c r="CV163" s="43"/>
      <c r="CW163" s="43"/>
      <c r="CX163" s="43"/>
      <c r="CY163" s="43"/>
      <c r="CZ163" s="43"/>
      <c r="DA163" s="43"/>
      <c r="DB163" s="43"/>
      <c r="DC163" s="43"/>
      <c r="DD163" s="43"/>
      <c r="DE163" s="43"/>
      <c r="DF163" s="43"/>
      <c r="DG163" s="43"/>
      <c r="DH163" s="43"/>
      <c r="DI163" s="43"/>
      <c r="DJ163" s="43"/>
      <c r="DK163" s="43"/>
      <c r="DL163" s="43"/>
      <c r="DM163" s="43"/>
      <c r="DN163" s="43"/>
      <c r="DO163" s="43"/>
      <c r="DP163" s="43"/>
      <c r="DQ163" s="43"/>
      <c r="DR163" s="43"/>
      <c r="DS163" s="43"/>
      <c r="DT163" s="43"/>
      <c r="DU163" s="43"/>
      <c r="DV163" s="43"/>
      <c r="DW163" s="43"/>
      <c r="DX163" s="43"/>
      <c r="DY163" s="43"/>
      <c r="DZ163" s="43"/>
    </row>
    <row r="164" spans="2:130" s="46" customFormat="1" x14ac:dyDescent="0.15">
      <c r="B164" s="75" t="str">
        <f>IF(G164&lt;&gt;"",SUBTOTAL(3,$G$5:G164),"")</f>
        <v/>
      </c>
      <c r="C164" s="75"/>
      <c r="D164" s="75"/>
      <c r="E164" s="76"/>
      <c r="F164" s="76"/>
      <c r="G164" s="74"/>
      <c r="H164" s="61"/>
      <c r="I164" s="70">
        <v>1</v>
      </c>
      <c r="J164" s="79" t="s">
        <v>262</v>
      </c>
      <c r="K164" s="80"/>
      <c r="L164" s="80"/>
      <c r="M164" s="80"/>
      <c r="N164" s="80"/>
      <c r="O164" s="80"/>
      <c r="P164" s="80"/>
      <c r="Q164" s="80"/>
      <c r="R164" s="80"/>
      <c r="S164" s="80"/>
      <c r="T164" s="80"/>
      <c r="U164" s="80"/>
      <c r="V164" s="80"/>
      <c r="W164" s="80"/>
      <c r="X164" s="80"/>
      <c r="Y164" s="80"/>
      <c r="Z164" s="80"/>
      <c r="AA164" s="80"/>
      <c r="AB164" s="80"/>
      <c r="AC164" s="80"/>
      <c r="AD164" s="80"/>
      <c r="AE164" s="80"/>
      <c r="AF164" s="80"/>
      <c r="AG164" s="80"/>
      <c r="AH164" s="80"/>
      <c r="AI164" s="80"/>
      <c r="AJ164" s="80"/>
      <c r="AK164" s="80"/>
      <c r="AL164" s="80"/>
      <c r="AM164" s="80"/>
      <c r="AN164" s="80"/>
      <c r="AO164" s="80"/>
      <c r="AP164" s="80"/>
      <c r="AQ164" s="80"/>
      <c r="AR164" s="81"/>
      <c r="AS164" s="63"/>
      <c r="AT164" s="64"/>
      <c r="AU164" s="64"/>
      <c r="AV164" s="64"/>
      <c r="AW164" s="64"/>
      <c r="AX164" s="64"/>
      <c r="AY164" s="64"/>
      <c r="AZ164" s="64"/>
      <c r="BA164" s="64"/>
      <c r="BB164" s="64"/>
      <c r="BC164" s="64"/>
      <c r="BD164" s="64"/>
      <c r="BE164" s="64"/>
      <c r="BF164" s="64"/>
      <c r="BG164" s="64"/>
      <c r="BH164" s="64"/>
      <c r="BI164" s="64"/>
      <c r="BJ164" s="64"/>
      <c r="BK164" s="64"/>
      <c r="BL164" s="64"/>
      <c r="BM164" s="64"/>
      <c r="BN164" s="64"/>
      <c r="BO164" s="64"/>
      <c r="BP164" s="64"/>
      <c r="BQ164" s="64"/>
      <c r="BR164" s="64"/>
      <c r="BS164" s="64"/>
      <c r="BT164" s="64"/>
      <c r="BU164" s="64"/>
      <c r="BV164" s="64"/>
      <c r="BW164" s="64"/>
      <c r="BX164" s="64"/>
      <c r="BY164" s="64"/>
      <c r="BZ164" s="64"/>
      <c r="CA164" s="65"/>
      <c r="CB164" s="74"/>
      <c r="CC164" s="43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/>
      <c r="CU164" s="43"/>
      <c r="CV164" s="43"/>
      <c r="CW164" s="43"/>
      <c r="CX164" s="43"/>
      <c r="CY164" s="43"/>
      <c r="CZ164" s="43"/>
      <c r="DA164" s="43"/>
      <c r="DB164" s="43"/>
      <c r="DC164" s="43"/>
      <c r="DD164" s="43"/>
      <c r="DE164" s="43"/>
      <c r="DF164" s="43"/>
      <c r="DG164" s="43"/>
      <c r="DH164" s="43"/>
      <c r="DI164" s="43"/>
      <c r="DJ164" s="43"/>
      <c r="DK164" s="43"/>
      <c r="DL164" s="43"/>
      <c r="DM164" s="43"/>
      <c r="DN164" s="43"/>
      <c r="DO164" s="43"/>
      <c r="DP164" s="43"/>
      <c r="DQ164" s="43"/>
      <c r="DR164" s="43"/>
      <c r="DS164" s="43"/>
      <c r="DT164" s="43"/>
      <c r="DU164" s="43"/>
      <c r="DV164" s="43"/>
      <c r="DW164" s="43"/>
      <c r="DX164" s="43"/>
      <c r="DY164" s="43"/>
      <c r="DZ164" s="43"/>
    </row>
    <row r="165" spans="2:130" s="46" customFormat="1" x14ac:dyDescent="0.15">
      <c r="B165" s="75" t="str">
        <f>IF(G165&lt;&gt;"",SUBTOTAL(3,$G$5:G165),"")</f>
        <v/>
      </c>
      <c r="C165" s="75"/>
      <c r="D165" s="75"/>
      <c r="E165" s="76"/>
      <c r="F165" s="76"/>
      <c r="G165" s="74"/>
      <c r="H165" s="61"/>
      <c r="I165" s="70">
        <v>1</v>
      </c>
      <c r="J165" s="79" t="s">
        <v>318</v>
      </c>
      <c r="K165" s="80"/>
      <c r="L165" s="80"/>
      <c r="M165" s="80"/>
      <c r="N165" s="80"/>
      <c r="O165" s="80"/>
      <c r="P165" s="80"/>
      <c r="Q165" s="80"/>
      <c r="R165" s="80"/>
      <c r="S165" s="80"/>
      <c r="T165" s="80"/>
      <c r="U165" s="80"/>
      <c r="V165" s="80"/>
      <c r="W165" s="80"/>
      <c r="X165" s="80"/>
      <c r="Y165" s="80"/>
      <c r="Z165" s="80"/>
      <c r="AA165" s="80"/>
      <c r="AB165" s="80"/>
      <c r="AC165" s="80"/>
      <c r="AD165" s="80"/>
      <c r="AE165" s="80"/>
      <c r="AF165" s="80"/>
      <c r="AG165" s="80"/>
      <c r="AH165" s="80"/>
      <c r="AI165" s="80"/>
      <c r="AJ165" s="80"/>
      <c r="AK165" s="80"/>
      <c r="AL165" s="80"/>
      <c r="AM165" s="80"/>
      <c r="AN165" s="80"/>
      <c r="AO165" s="80"/>
      <c r="AP165" s="80"/>
      <c r="AQ165" s="80"/>
      <c r="AR165" s="81"/>
      <c r="AS165" s="63"/>
      <c r="AT165" s="64"/>
      <c r="AU165" s="64"/>
      <c r="AV165" s="64"/>
      <c r="AW165" s="64"/>
      <c r="AX165" s="64"/>
      <c r="AY165" s="64"/>
      <c r="AZ165" s="64"/>
      <c r="BA165" s="64"/>
      <c r="BB165" s="64"/>
      <c r="BC165" s="64"/>
      <c r="BD165" s="64"/>
      <c r="BE165" s="64"/>
      <c r="BF165" s="64"/>
      <c r="BG165" s="64"/>
      <c r="BH165" s="64"/>
      <c r="BI165" s="64"/>
      <c r="BJ165" s="64"/>
      <c r="BK165" s="64"/>
      <c r="BL165" s="64"/>
      <c r="BM165" s="64"/>
      <c r="BN165" s="64"/>
      <c r="BO165" s="64"/>
      <c r="BP165" s="64"/>
      <c r="BQ165" s="64"/>
      <c r="BR165" s="64"/>
      <c r="BS165" s="64"/>
      <c r="BT165" s="64"/>
      <c r="BU165" s="64"/>
      <c r="BV165" s="64"/>
      <c r="BW165" s="64"/>
      <c r="BX165" s="64"/>
      <c r="BY165" s="64"/>
      <c r="BZ165" s="64"/>
      <c r="CA165" s="65"/>
      <c r="CB165" s="74"/>
      <c r="CC165" s="43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3"/>
      <c r="CO165" s="43"/>
      <c r="CP165" s="43"/>
      <c r="CQ165" s="43"/>
      <c r="CR165" s="43"/>
      <c r="CS165" s="43"/>
      <c r="CT165" s="43"/>
      <c r="CU165" s="43"/>
      <c r="CV165" s="43"/>
      <c r="CW165" s="43"/>
      <c r="CX165" s="43"/>
      <c r="CY165" s="43"/>
      <c r="CZ165" s="43"/>
      <c r="DA165" s="43"/>
      <c r="DB165" s="43"/>
      <c r="DC165" s="43"/>
      <c r="DD165" s="43"/>
      <c r="DE165" s="43"/>
      <c r="DF165" s="43"/>
      <c r="DG165" s="43"/>
      <c r="DH165" s="43"/>
      <c r="DI165" s="43"/>
      <c r="DJ165" s="43"/>
      <c r="DK165" s="43"/>
      <c r="DL165" s="43"/>
      <c r="DM165" s="43"/>
      <c r="DN165" s="43"/>
      <c r="DO165" s="43"/>
      <c r="DP165" s="43"/>
      <c r="DQ165" s="43"/>
      <c r="DR165" s="43"/>
      <c r="DS165" s="43"/>
      <c r="DT165" s="43"/>
      <c r="DU165" s="43"/>
      <c r="DV165" s="43"/>
      <c r="DW165" s="43"/>
      <c r="DX165" s="43"/>
      <c r="DY165" s="43"/>
      <c r="DZ165" s="43"/>
    </row>
    <row r="166" spans="2:130" s="46" customFormat="1" x14ac:dyDescent="0.15">
      <c r="B166" s="75" t="str">
        <f>IF(G166&lt;&gt;"",SUBTOTAL(3,$G$5:G166),"")</f>
        <v/>
      </c>
      <c r="C166" s="75"/>
      <c r="D166" s="75"/>
      <c r="E166" s="76"/>
      <c r="F166" s="76"/>
      <c r="G166" s="74"/>
      <c r="H166" s="61"/>
      <c r="I166" s="70">
        <v>1</v>
      </c>
      <c r="J166" s="79" t="s">
        <v>319</v>
      </c>
      <c r="K166" s="80"/>
      <c r="L166" s="80"/>
      <c r="M166" s="80"/>
      <c r="N166" s="80"/>
      <c r="O166" s="80"/>
      <c r="P166" s="80"/>
      <c r="Q166" s="80"/>
      <c r="R166" s="80"/>
      <c r="S166" s="80"/>
      <c r="T166" s="80"/>
      <c r="U166" s="80"/>
      <c r="V166" s="80"/>
      <c r="W166" s="80"/>
      <c r="X166" s="80"/>
      <c r="Y166" s="80"/>
      <c r="Z166" s="80"/>
      <c r="AA166" s="80"/>
      <c r="AB166" s="80"/>
      <c r="AC166" s="80"/>
      <c r="AD166" s="80"/>
      <c r="AE166" s="80"/>
      <c r="AF166" s="80"/>
      <c r="AG166" s="80"/>
      <c r="AH166" s="80"/>
      <c r="AI166" s="80"/>
      <c r="AJ166" s="80"/>
      <c r="AK166" s="80"/>
      <c r="AL166" s="80"/>
      <c r="AM166" s="80"/>
      <c r="AN166" s="80"/>
      <c r="AO166" s="80"/>
      <c r="AP166" s="80"/>
      <c r="AQ166" s="80"/>
      <c r="AR166" s="81"/>
      <c r="AS166" s="63"/>
      <c r="AT166" s="64"/>
      <c r="AU166" s="64"/>
      <c r="AV166" s="64"/>
      <c r="AW166" s="64"/>
      <c r="AX166" s="64"/>
      <c r="AY166" s="64"/>
      <c r="AZ166" s="64"/>
      <c r="BA166" s="64"/>
      <c r="BB166" s="64"/>
      <c r="BC166" s="64"/>
      <c r="BD166" s="64"/>
      <c r="BE166" s="64"/>
      <c r="BF166" s="64"/>
      <c r="BG166" s="64"/>
      <c r="BH166" s="64"/>
      <c r="BI166" s="64"/>
      <c r="BJ166" s="64"/>
      <c r="BK166" s="64"/>
      <c r="BL166" s="64"/>
      <c r="BM166" s="64"/>
      <c r="BN166" s="64"/>
      <c r="BO166" s="64"/>
      <c r="BP166" s="64"/>
      <c r="BQ166" s="64"/>
      <c r="BR166" s="64"/>
      <c r="BS166" s="64"/>
      <c r="BT166" s="64"/>
      <c r="BU166" s="64"/>
      <c r="BV166" s="64"/>
      <c r="BW166" s="64"/>
      <c r="BX166" s="64"/>
      <c r="BY166" s="64"/>
      <c r="BZ166" s="64"/>
      <c r="CA166" s="65"/>
      <c r="CB166" s="74"/>
      <c r="CC166" s="43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43"/>
      <c r="CY166" s="43"/>
      <c r="CZ166" s="43"/>
      <c r="DA166" s="43"/>
      <c r="DB166" s="43"/>
      <c r="DC166" s="43"/>
      <c r="DD166" s="43"/>
      <c r="DE166" s="43"/>
      <c r="DF166" s="43"/>
      <c r="DG166" s="43"/>
      <c r="DH166" s="43"/>
      <c r="DI166" s="43"/>
      <c r="DJ166" s="43"/>
      <c r="DK166" s="43"/>
      <c r="DL166" s="43"/>
      <c r="DM166" s="43"/>
      <c r="DN166" s="43"/>
      <c r="DO166" s="43"/>
      <c r="DP166" s="43"/>
      <c r="DQ166" s="43"/>
      <c r="DR166" s="43"/>
      <c r="DS166" s="43"/>
      <c r="DT166" s="43"/>
      <c r="DU166" s="43"/>
      <c r="DV166" s="43"/>
      <c r="DW166" s="43"/>
      <c r="DX166" s="43"/>
      <c r="DY166" s="43"/>
      <c r="DZ166" s="43"/>
    </row>
    <row r="167" spans="2:130" s="46" customFormat="1" x14ac:dyDescent="0.15">
      <c r="B167" s="75" t="str">
        <f>IF(G167&lt;&gt;"",SUBTOTAL(3,$G$5:G167),"")</f>
        <v/>
      </c>
      <c r="C167" s="75"/>
      <c r="D167" s="75"/>
      <c r="E167" s="76"/>
      <c r="F167" s="76"/>
      <c r="G167" s="74"/>
      <c r="H167" s="61"/>
      <c r="I167" s="70">
        <v>1</v>
      </c>
      <c r="J167" s="79" t="s">
        <v>266</v>
      </c>
      <c r="K167" s="80"/>
      <c r="L167" s="80"/>
      <c r="M167" s="80"/>
      <c r="N167" s="80"/>
      <c r="O167" s="80"/>
      <c r="P167" s="80"/>
      <c r="Q167" s="80"/>
      <c r="R167" s="80"/>
      <c r="S167" s="80"/>
      <c r="T167" s="80"/>
      <c r="U167" s="80"/>
      <c r="V167" s="80"/>
      <c r="W167" s="80"/>
      <c r="X167" s="80"/>
      <c r="Y167" s="80"/>
      <c r="Z167" s="80"/>
      <c r="AA167" s="80"/>
      <c r="AB167" s="80"/>
      <c r="AC167" s="80"/>
      <c r="AD167" s="80"/>
      <c r="AE167" s="80"/>
      <c r="AF167" s="80"/>
      <c r="AG167" s="80"/>
      <c r="AH167" s="80"/>
      <c r="AI167" s="80"/>
      <c r="AJ167" s="80"/>
      <c r="AK167" s="80"/>
      <c r="AL167" s="80"/>
      <c r="AM167" s="80"/>
      <c r="AN167" s="80"/>
      <c r="AO167" s="80"/>
      <c r="AP167" s="80"/>
      <c r="AQ167" s="80"/>
      <c r="AR167" s="81"/>
      <c r="AS167" s="63"/>
      <c r="AT167" s="64"/>
      <c r="AU167" s="64"/>
      <c r="AV167" s="64"/>
      <c r="AW167" s="64"/>
      <c r="AX167" s="64"/>
      <c r="AY167" s="64"/>
      <c r="AZ167" s="64"/>
      <c r="BA167" s="64"/>
      <c r="BB167" s="64"/>
      <c r="BC167" s="64"/>
      <c r="BD167" s="64"/>
      <c r="BE167" s="64"/>
      <c r="BF167" s="64"/>
      <c r="BG167" s="64"/>
      <c r="BH167" s="64"/>
      <c r="BI167" s="64"/>
      <c r="BJ167" s="64"/>
      <c r="BK167" s="64"/>
      <c r="BL167" s="64"/>
      <c r="BM167" s="64"/>
      <c r="BN167" s="64"/>
      <c r="BO167" s="64"/>
      <c r="BP167" s="64"/>
      <c r="BQ167" s="64"/>
      <c r="BR167" s="64"/>
      <c r="BS167" s="64"/>
      <c r="BT167" s="64"/>
      <c r="BU167" s="64"/>
      <c r="BV167" s="64"/>
      <c r="BW167" s="64"/>
      <c r="BX167" s="64"/>
      <c r="BY167" s="64"/>
      <c r="BZ167" s="64"/>
      <c r="CA167" s="65"/>
      <c r="CB167" s="74"/>
      <c r="CC167" s="43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43"/>
      <c r="CY167" s="43"/>
      <c r="CZ167" s="43"/>
      <c r="DA167" s="43"/>
      <c r="DB167" s="43"/>
      <c r="DC167" s="43"/>
      <c r="DD167" s="43"/>
      <c r="DE167" s="43"/>
      <c r="DF167" s="43"/>
      <c r="DG167" s="43"/>
      <c r="DH167" s="43"/>
      <c r="DI167" s="43"/>
      <c r="DJ167" s="43"/>
      <c r="DK167" s="43"/>
      <c r="DL167" s="43"/>
      <c r="DM167" s="43"/>
      <c r="DN167" s="43"/>
      <c r="DO167" s="43"/>
      <c r="DP167" s="43"/>
      <c r="DQ167" s="43"/>
      <c r="DR167" s="43"/>
      <c r="DS167" s="43"/>
      <c r="DT167" s="43"/>
      <c r="DU167" s="43"/>
      <c r="DV167" s="43"/>
      <c r="DW167" s="43"/>
      <c r="DX167" s="43"/>
      <c r="DY167" s="43"/>
      <c r="DZ167" s="43"/>
    </row>
    <row r="168" spans="2:130" s="46" customFormat="1" x14ac:dyDescent="0.15">
      <c r="B168" s="75" t="str">
        <f>IF(G168&lt;&gt;"",SUBTOTAL(3,$G$5:G168),"")</f>
        <v/>
      </c>
      <c r="C168" s="75"/>
      <c r="D168" s="75"/>
      <c r="E168" s="76"/>
      <c r="F168" s="76"/>
      <c r="G168" s="74"/>
      <c r="H168" s="61"/>
      <c r="I168" s="70">
        <v>1</v>
      </c>
      <c r="J168" s="79" t="s">
        <v>320</v>
      </c>
      <c r="K168" s="80"/>
      <c r="L168" s="80"/>
      <c r="M168" s="80"/>
      <c r="N168" s="80"/>
      <c r="O168" s="80"/>
      <c r="P168" s="80"/>
      <c r="Q168" s="80"/>
      <c r="R168" s="80"/>
      <c r="S168" s="80"/>
      <c r="T168" s="80"/>
      <c r="U168" s="80"/>
      <c r="V168" s="80"/>
      <c r="W168" s="80"/>
      <c r="X168" s="80"/>
      <c r="Y168" s="80"/>
      <c r="Z168" s="80"/>
      <c r="AA168" s="80"/>
      <c r="AB168" s="80"/>
      <c r="AC168" s="80"/>
      <c r="AD168" s="80"/>
      <c r="AE168" s="80"/>
      <c r="AF168" s="80"/>
      <c r="AG168" s="80"/>
      <c r="AH168" s="80"/>
      <c r="AI168" s="80"/>
      <c r="AJ168" s="80"/>
      <c r="AK168" s="80"/>
      <c r="AL168" s="80"/>
      <c r="AM168" s="80"/>
      <c r="AN168" s="80"/>
      <c r="AO168" s="80"/>
      <c r="AP168" s="80"/>
      <c r="AQ168" s="80"/>
      <c r="AR168" s="81"/>
      <c r="AS168" s="63"/>
      <c r="AT168" s="64"/>
      <c r="AU168" s="64"/>
      <c r="AV168" s="64"/>
      <c r="AW168" s="64"/>
      <c r="AX168" s="64"/>
      <c r="AY168" s="64"/>
      <c r="AZ168" s="64"/>
      <c r="BA168" s="64"/>
      <c r="BB168" s="64"/>
      <c r="BC168" s="64"/>
      <c r="BD168" s="64"/>
      <c r="BE168" s="64"/>
      <c r="BF168" s="64"/>
      <c r="BG168" s="64"/>
      <c r="BH168" s="64"/>
      <c r="BI168" s="64"/>
      <c r="BJ168" s="64"/>
      <c r="BK168" s="64"/>
      <c r="BL168" s="64"/>
      <c r="BM168" s="64"/>
      <c r="BN168" s="64"/>
      <c r="BO168" s="64"/>
      <c r="BP168" s="64"/>
      <c r="BQ168" s="64"/>
      <c r="BR168" s="64"/>
      <c r="BS168" s="64"/>
      <c r="BT168" s="64"/>
      <c r="BU168" s="64"/>
      <c r="BV168" s="64"/>
      <c r="BW168" s="64"/>
      <c r="BX168" s="64"/>
      <c r="BY168" s="64"/>
      <c r="BZ168" s="64"/>
      <c r="CA168" s="65"/>
      <c r="CB168" s="74"/>
      <c r="CC168" s="43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43"/>
      <c r="CY168" s="43"/>
      <c r="CZ168" s="43"/>
      <c r="DA168" s="43"/>
      <c r="DB168" s="43"/>
      <c r="DC168" s="43"/>
      <c r="DD168" s="43"/>
      <c r="DE168" s="43"/>
      <c r="DF168" s="43"/>
      <c r="DG168" s="43"/>
      <c r="DH168" s="43"/>
      <c r="DI168" s="43"/>
      <c r="DJ168" s="43"/>
      <c r="DK168" s="43"/>
      <c r="DL168" s="43"/>
      <c r="DM168" s="43"/>
      <c r="DN168" s="43"/>
      <c r="DO168" s="43"/>
      <c r="DP168" s="43"/>
      <c r="DQ168" s="43"/>
      <c r="DR168" s="43"/>
      <c r="DS168" s="43"/>
      <c r="DT168" s="43"/>
      <c r="DU168" s="43"/>
      <c r="DV168" s="43"/>
      <c r="DW168" s="43"/>
      <c r="DX168" s="43"/>
      <c r="DY168" s="43"/>
      <c r="DZ168" s="43"/>
    </row>
    <row r="169" spans="2:130" s="46" customFormat="1" x14ac:dyDescent="0.15">
      <c r="B169" s="75" t="str">
        <f>IF(G169&lt;&gt;"",SUBTOTAL(3,$G$5:G169),"")</f>
        <v/>
      </c>
      <c r="C169" s="75"/>
      <c r="D169" s="75"/>
      <c r="E169" s="76"/>
      <c r="F169" s="76"/>
      <c r="G169" s="74"/>
      <c r="H169" s="61"/>
      <c r="I169" s="70">
        <v>1</v>
      </c>
      <c r="J169" s="79" t="s">
        <v>321</v>
      </c>
      <c r="K169" s="80"/>
      <c r="L169" s="80"/>
      <c r="M169" s="80"/>
      <c r="N169" s="80"/>
      <c r="O169" s="80"/>
      <c r="P169" s="80"/>
      <c r="Q169" s="80"/>
      <c r="R169" s="80"/>
      <c r="S169" s="80"/>
      <c r="T169" s="80"/>
      <c r="U169" s="80"/>
      <c r="V169" s="80"/>
      <c r="W169" s="80"/>
      <c r="X169" s="80"/>
      <c r="Y169" s="80"/>
      <c r="Z169" s="80"/>
      <c r="AA169" s="80"/>
      <c r="AB169" s="80"/>
      <c r="AC169" s="80"/>
      <c r="AD169" s="80"/>
      <c r="AE169" s="80"/>
      <c r="AF169" s="80"/>
      <c r="AG169" s="80"/>
      <c r="AH169" s="80"/>
      <c r="AI169" s="80"/>
      <c r="AJ169" s="80"/>
      <c r="AK169" s="80"/>
      <c r="AL169" s="80"/>
      <c r="AM169" s="80"/>
      <c r="AN169" s="80"/>
      <c r="AO169" s="80"/>
      <c r="AP169" s="80"/>
      <c r="AQ169" s="80"/>
      <c r="AR169" s="81"/>
      <c r="AS169" s="63"/>
      <c r="AT169" s="64"/>
      <c r="AU169" s="64"/>
      <c r="AV169" s="64"/>
      <c r="AW169" s="64"/>
      <c r="AX169" s="64"/>
      <c r="AY169" s="64"/>
      <c r="AZ169" s="64"/>
      <c r="BA169" s="64"/>
      <c r="BB169" s="64"/>
      <c r="BC169" s="64"/>
      <c r="BD169" s="64"/>
      <c r="BE169" s="64"/>
      <c r="BF169" s="64"/>
      <c r="BG169" s="64"/>
      <c r="BH169" s="64"/>
      <c r="BI169" s="64"/>
      <c r="BJ169" s="64"/>
      <c r="BK169" s="64"/>
      <c r="BL169" s="64"/>
      <c r="BM169" s="64"/>
      <c r="BN169" s="64"/>
      <c r="BO169" s="64"/>
      <c r="BP169" s="64"/>
      <c r="BQ169" s="64"/>
      <c r="BR169" s="64"/>
      <c r="BS169" s="64"/>
      <c r="BT169" s="64"/>
      <c r="BU169" s="64"/>
      <c r="BV169" s="64"/>
      <c r="BW169" s="64"/>
      <c r="BX169" s="64"/>
      <c r="BY169" s="64"/>
      <c r="BZ169" s="64"/>
      <c r="CA169" s="65"/>
      <c r="CB169" s="74"/>
      <c r="CC169" s="43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43"/>
      <c r="CY169" s="43"/>
      <c r="CZ169" s="43"/>
      <c r="DA169" s="43"/>
      <c r="DB169" s="43"/>
      <c r="DC169" s="43"/>
      <c r="DD169" s="43"/>
      <c r="DE169" s="43"/>
      <c r="DF169" s="43"/>
      <c r="DG169" s="43"/>
      <c r="DH169" s="43"/>
      <c r="DI169" s="43"/>
      <c r="DJ169" s="43"/>
      <c r="DK169" s="43"/>
      <c r="DL169" s="43"/>
      <c r="DM169" s="43"/>
      <c r="DN169" s="43"/>
      <c r="DO169" s="43"/>
      <c r="DP169" s="43"/>
      <c r="DQ169" s="43"/>
      <c r="DR169" s="43"/>
      <c r="DS169" s="43"/>
      <c r="DT169" s="43"/>
      <c r="DU169" s="43"/>
      <c r="DV169" s="43"/>
      <c r="DW169" s="43"/>
      <c r="DX169" s="43"/>
      <c r="DY169" s="43"/>
      <c r="DZ169" s="43"/>
    </row>
    <row r="170" spans="2:130" s="46" customFormat="1" x14ac:dyDescent="0.15">
      <c r="B170" s="75" t="str">
        <f>IF(G170&lt;&gt;"",SUBTOTAL(3,$G$5:G170),"")</f>
        <v/>
      </c>
      <c r="C170" s="75"/>
      <c r="D170" s="75"/>
      <c r="E170" s="76"/>
      <c r="F170" s="76"/>
      <c r="G170" s="74"/>
      <c r="H170" s="61"/>
      <c r="I170" s="70">
        <v>1</v>
      </c>
      <c r="J170" s="79" t="s">
        <v>322</v>
      </c>
      <c r="K170" s="80"/>
      <c r="L170" s="80"/>
      <c r="M170" s="80"/>
      <c r="N170" s="80"/>
      <c r="O170" s="80"/>
      <c r="P170" s="80"/>
      <c r="Q170" s="80"/>
      <c r="R170" s="80"/>
      <c r="S170" s="80"/>
      <c r="T170" s="80"/>
      <c r="U170" s="80"/>
      <c r="V170" s="80"/>
      <c r="W170" s="80"/>
      <c r="X170" s="80"/>
      <c r="Y170" s="80"/>
      <c r="Z170" s="80"/>
      <c r="AA170" s="80"/>
      <c r="AB170" s="80"/>
      <c r="AC170" s="80"/>
      <c r="AD170" s="80"/>
      <c r="AE170" s="80"/>
      <c r="AF170" s="80"/>
      <c r="AG170" s="80"/>
      <c r="AH170" s="80"/>
      <c r="AI170" s="80"/>
      <c r="AJ170" s="80"/>
      <c r="AK170" s="80"/>
      <c r="AL170" s="80"/>
      <c r="AM170" s="80"/>
      <c r="AN170" s="80"/>
      <c r="AO170" s="80"/>
      <c r="AP170" s="80"/>
      <c r="AQ170" s="80"/>
      <c r="AR170" s="81"/>
      <c r="AS170" s="63"/>
      <c r="AT170" s="64"/>
      <c r="AU170" s="64"/>
      <c r="AV170" s="64"/>
      <c r="AW170" s="64"/>
      <c r="AX170" s="64"/>
      <c r="AY170" s="64"/>
      <c r="AZ170" s="64"/>
      <c r="BA170" s="64"/>
      <c r="BB170" s="64"/>
      <c r="BC170" s="64"/>
      <c r="BD170" s="64"/>
      <c r="BE170" s="64"/>
      <c r="BF170" s="64"/>
      <c r="BG170" s="64"/>
      <c r="BH170" s="64"/>
      <c r="BI170" s="64"/>
      <c r="BJ170" s="64"/>
      <c r="BK170" s="64"/>
      <c r="BL170" s="64"/>
      <c r="BM170" s="64"/>
      <c r="BN170" s="64"/>
      <c r="BO170" s="64"/>
      <c r="BP170" s="64"/>
      <c r="BQ170" s="64"/>
      <c r="BR170" s="64"/>
      <c r="BS170" s="64"/>
      <c r="BT170" s="64"/>
      <c r="BU170" s="64"/>
      <c r="BV170" s="64"/>
      <c r="BW170" s="64"/>
      <c r="BX170" s="64"/>
      <c r="BY170" s="64"/>
      <c r="BZ170" s="64"/>
      <c r="CA170" s="65"/>
      <c r="CB170" s="74"/>
      <c r="CC170" s="43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43"/>
      <c r="CY170" s="43"/>
      <c r="CZ170" s="43"/>
      <c r="DA170" s="43"/>
      <c r="DB170" s="43"/>
      <c r="DC170" s="43"/>
      <c r="DD170" s="43"/>
      <c r="DE170" s="43"/>
      <c r="DF170" s="43"/>
      <c r="DG170" s="43"/>
      <c r="DH170" s="43"/>
      <c r="DI170" s="43"/>
      <c r="DJ170" s="43"/>
      <c r="DK170" s="43"/>
      <c r="DL170" s="43"/>
      <c r="DM170" s="43"/>
      <c r="DN170" s="43"/>
      <c r="DO170" s="43"/>
      <c r="DP170" s="43"/>
      <c r="DQ170" s="43"/>
      <c r="DR170" s="43"/>
      <c r="DS170" s="43"/>
      <c r="DT170" s="43"/>
      <c r="DU170" s="43"/>
      <c r="DV170" s="43"/>
      <c r="DW170" s="43"/>
      <c r="DX170" s="43"/>
      <c r="DY170" s="43"/>
      <c r="DZ170" s="43"/>
    </row>
    <row r="171" spans="2:130" s="46" customFormat="1" x14ac:dyDescent="0.15">
      <c r="B171" s="75" t="str">
        <f>IF(G171&lt;&gt;"",SUBTOTAL(3,$G$5:G171),"")</f>
        <v/>
      </c>
      <c r="C171" s="75"/>
      <c r="D171" s="75"/>
      <c r="E171" s="76"/>
      <c r="F171" s="76"/>
      <c r="G171" s="74"/>
      <c r="H171" s="61"/>
      <c r="I171" s="70">
        <v>1</v>
      </c>
      <c r="J171" s="79" t="s">
        <v>323</v>
      </c>
      <c r="K171" s="80"/>
      <c r="L171" s="80"/>
      <c r="M171" s="80"/>
      <c r="N171" s="80"/>
      <c r="O171" s="80"/>
      <c r="P171" s="80"/>
      <c r="Q171" s="80"/>
      <c r="R171" s="80"/>
      <c r="S171" s="80"/>
      <c r="T171" s="80"/>
      <c r="U171" s="80"/>
      <c r="V171" s="80"/>
      <c r="W171" s="80"/>
      <c r="X171" s="80"/>
      <c r="Y171" s="80"/>
      <c r="Z171" s="80"/>
      <c r="AA171" s="80"/>
      <c r="AB171" s="80"/>
      <c r="AC171" s="80"/>
      <c r="AD171" s="80"/>
      <c r="AE171" s="80"/>
      <c r="AF171" s="80"/>
      <c r="AG171" s="80"/>
      <c r="AH171" s="80"/>
      <c r="AI171" s="80"/>
      <c r="AJ171" s="80"/>
      <c r="AK171" s="80"/>
      <c r="AL171" s="80"/>
      <c r="AM171" s="80"/>
      <c r="AN171" s="80"/>
      <c r="AO171" s="80"/>
      <c r="AP171" s="80"/>
      <c r="AQ171" s="80"/>
      <c r="AR171" s="81"/>
      <c r="AS171" s="63"/>
      <c r="AT171" s="64"/>
      <c r="AU171" s="64"/>
      <c r="AV171" s="64"/>
      <c r="AW171" s="64"/>
      <c r="AX171" s="64"/>
      <c r="AY171" s="64"/>
      <c r="AZ171" s="64"/>
      <c r="BA171" s="64"/>
      <c r="BB171" s="64"/>
      <c r="BC171" s="64"/>
      <c r="BD171" s="64"/>
      <c r="BE171" s="64"/>
      <c r="BF171" s="64"/>
      <c r="BG171" s="64"/>
      <c r="BH171" s="64"/>
      <c r="BI171" s="64"/>
      <c r="BJ171" s="64"/>
      <c r="BK171" s="64"/>
      <c r="BL171" s="64"/>
      <c r="BM171" s="64"/>
      <c r="BN171" s="64"/>
      <c r="BO171" s="64"/>
      <c r="BP171" s="64"/>
      <c r="BQ171" s="64"/>
      <c r="BR171" s="64"/>
      <c r="BS171" s="64"/>
      <c r="BT171" s="64"/>
      <c r="BU171" s="64"/>
      <c r="BV171" s="64"/>
      <c r="BW171" s="64"/>
      <c r="BX171" s="64"/>
      <c r="BY171" s="64"/>
      <c r="BZ171" s="64"/>
      <c r="CA171" s="65"/>
      <c r="CB171" s="74"/>
      <c r="CC171" s="43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43"/>
      <c r="CY171" s="43"/>
      <c r="CZ171" s="43"/>
      <c r="DA171" s="43"/>
      <c r="DB171" s="43"/>
      <c r="DC171" s="43"/>
      <c r="DD171" s="43"/>
      <c r="DE171" s="43"/>
      <c r="DF171" s="43"/>
      <c r="DG171" s="43"/>
      <c r="DH171" s="43"/>
      <c r="DI171" s="43"/>
      <c r="DJ171" s="43"/>
      <c r="DK171" s="43"/>
      <c r="DL171" s="43"/>
      <c r="DM171" s="43"/>
      <c r="DN171" s="43"/>
      <c r="DO171" s="43"/>
      <c r="DP171" s="43"/>
      <c r="DQ171" s="43"/>
      <c r="DR171" s="43"/>
      <c r="DS171" s="43"/>
      <c r="DT171" s="43"/>
      <c r="DU171" s="43"/>
      <c r="DV171" s="43"/>
      <c r="DW171" s="43"/>
      <c r="DX171" s="43"/>
      <c r="DY171" s="43"/>
      <c r="DZ171" s="43"/>
    </row>
    <row r="172" spans="2:130" s="46" customFormat="1" x14ac:dyDescent="0.15">
      <c r="B172" s="75" t="str">
        <f>IF(G172&lt;&gt;"",SUBTOTAL(3,$G$5:G172),"")</f>
        <v/>
      </c>
      <c r="C172" s="75"/>
      <c r="D172" s="75"/>
      <c r="E172" s="76"/>
      <c r="F172" s="76"/>
      <c r="G172" s="74"/>
      <c r="H172" s="61"/>
      <c r="I172" s="70">
        <v>1</v>
      </c>
      <c r="J172" s="79" t="s">
        <v>324</v>
      </c>
      <c r="K172" s="80"/>
      <c r="L172" s="80"/>
      <c r="M172" s="80"/>
      <c r="N172" s="80"/>
      <c r="O172" s="80"/>
      <c r="P172" s="80"/>
      <c r="Q172" s="80"/>
      <c r="R172" s="80"/>
      <c r="S172" s="80"/>
      <c r="T172" s="80"/>
      <c r="U172" s="80"/>
      <c r="V172" s="80"/>
      <c r="W172" s="80"/>
      <c r="X172" s="80"/>
      <c r="Y172" s="80"/>
      <c r="Z172" s="80"/>
      <c r="AA172" s="80"/>
      <c r="AB172" s="80"/>
      <c r="AC172" s="80"/>
      <c r="AD172" s="80"/>
      <c r="AE172" s="80"/>
      <c r="AF172" s="80"/>
      <c r="AG172" s="80"/>
      <c r="AH172" s="80"/>
      <c r="AI172" s="80"/>
      <c r="AJ172" s="80"/>
      <c r="AK172" s="80"/>
      <c r="AL172" s="80"/>
      <c r="AM172" s="80"/>
      <c r="AN172" s="80"/>
      <c r="AO172" s="80"/>
      <c r="AP172" s="80"/>
      <c r="AQ172" s="80"/>
      <c r="AR172" s="81"/>
      <c r="AS172" s="63"/>
      <c r="AT172" s="64"/>
      <c r="AU172" s="64"/>
      <c r="AV172" s="64"/>
      <c r="AW172" s="64"/>
      <c r="AX172" s="64"/>
      <c r="AY172" s="64"/>
      <c r="AZ172" s="64"/>
      <c r="BA172" s="64"/>
      <c r="BB172" s="64"/>
      <c r="BC172" s="64"/>
      <c r="BD172" s="64"/>
      <c r="BE172" s="64"/>
      <c r="BF172" s="64"/>
      <c r="BG172" s="64"/>
      <c r="BH172" s="64"/>
      <c r="BI172" s="64"/>
      <c r="BJ172" s="64"/>
      <c r="BK172" s="64"/>
      <c r="BL172" s="64"/>
      <c r="BM172" s="64"/>
      <c r="BN172" s="64"/>
      <c r="BO172" s="64"/>
      <c r="BP172" s="64"/>
      <c r="BQ172" s="64"/>
      <c r="BR172" s="64"/>
      <c r="BS172" s="64"/>
      <c r="BT172" s="64"/>
      <c r="BU172" s="64"/>
      <c r="BV172" s="64"/>
      <c r="BW172" s="64"/>
      <c r="BX172" s="64"/>
      <c r="BY172" s="64"/>
      <c r="BZ172" s="64"/>
      <c r="CA172" s="65"/>
      <c r="CB172" s="74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43"/>
      <c r="CY172" s="43"/>
      <c r="CZ172" s="43"/>
      <c r="DA172" s="43"/>
      <c r="DB172" s="43"/>
      <c r="DC172" s="43"/>
      <c r="DD172" s="43"/>
      <c r="DE172" s="43"/>
      <c r="DF172" s="43"/>
      <c r="DG172" s="43"/>
      <c r="DH172" s="43"/>
      <c r="DI172" s="43"/>
      <c r="DJ172" s="43"/>
      <c r="DK172" s="43"/>
      <c r="DL172" s="43"/>
      <c r="DM172" s="43"/>
      <c r="DN172" s="43"/>
      <c r="DO172" s="43"/>
      <c r="DP172" s="43"/>
      <c r="DQ172" s="43"/>
      <c r="DR172" s="43"/>
      <c r="DS172" s="43"/>
      <c r="DT172" s="43"/>
      <c r="DU172" s="43"/>
      <c r="DV172" s="43"/>
      <c r="DW172" s="43"/>
      <c r="DX172" s="43"/>
      <c r="DY172" s="43"/>
      <c r="DZ172" s="43"/>
    </row>
    <row r="173" spans="2:130" s="46" customFormat="1" x14ac:dyDescent="0.15">
      <c r="B173" s="75" t="str">
        <f>IF(G173&lt;&gt;"",SUBTOTAL(3,$G$5:G173),"")</f>
        <v/>
      </c>
      <c r="C173" s="75"/>
      <c r="D173" s="75"/>
      <c r="E173" s="76"/>
      <c r="F173" s="76"/>
      <c r="G173" s="74"/>
      <c r="H173" s="61"/>
      <c r="I173" s="70">
        <v>1</v>
      </c>
      <c r="J173" s="79" t="s">
        <v>272</v>
      </c>
      <c r="K173" s="80"/>
      <c r="L173" s="80"/>
      <c r="M173" s="80"/>
      <c r="N173" s="80"/>
      <c r="O173" s="80"/>
      <c r="P173" s="80"/>
      <c r="Q173" s="80"/>
      <c r="R173" s="80"/>
      <c r="S173" s="80"/>
      <c r="T173" s="80"/>
      <c r="U173" s="80"/>
      <c r="V173" s="80"/>
      <c r="W173" s="80"/>
      <c r="X173" s="80"/>
      <c r="Y173" s="80"/>
      <c r="Z173" s="80"/>
      <c r="AA173" s="80"/>
      <c r="AB173" s="80"/>
      <c r="AC173" s="80"/>
      <c r="AD173" s="80"/>
      <c r="AE173" s="80"/>
      <c r="AF173" s="80"/>
      <c r="AG173" s="80"/>
      <c r="AH173" s="80"/>
      <c r="AI173" s="80"/>
      <c r="AJ173" s="80"/>
      <c r="AK173" s="80"/>
      <c r="AL173" s="80"/>
      <c r="AM173" s="80"/>
      <c r="AN173" s="80"/>
      <c r="AO173" s="80"/>
      <c r="AP173" s="80"/>
      <c r="AQ173" s="80"/>
      <c r="AR173" s="81"/>
      <c r="AS173" s="63"/>
      <c r="AT173" s="64"/>
      <c r="AU173" s="64"/>
      <c r="AV173" s="64"/>
      <c r="AW173" s="64"/>
      <c r="AX173" s="64"/>
      <c r="AY173" s="64"/>
      <c r="AZ173" s="64"/>
      <c r="BA173" s="64"/>
      <c r="BB173" s="64"/>
      <c r="BC173" s="64"/>
      <c r="BD173" s="64"/>
      <c r="BE173" s="64"/>
      <c r="BF173" s="64"/>
      <c r="BG173" s="64"/>
      <c r="BH173" s="64"/>
      <c r="BI173" s="64"/>
      <c r="BJ173" s="64"/>
      <c r="BK173" s="64"/>
      <c r="BL173" s="64"/>
      <c r="BM173" s="64"/>
      <c r="BN173" s="64"/>
      <c r="BO173" s="64"/>
      <c r="BP173" s="64"/>
      <c r="BQ173" s="64"/>
      <c r="BR173" s="64"/>
      <c r="BS173" s="64"/>
      <c r="BT173" s="64"/>
      <c r="BU173" s="64"/>
      <c r="BV173" s="64"/>
      <c r="BW173" s="64"/>
      <c r="BX173" s="64"/>
      <c r="BY173" s="64"/>
      <c r="BZ173" s="64"/>
      <c r="CA173" s="65"/>
      <c r="CB173" s="74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43"/>
      <c r="CY173" s="43"/>
      <c r="CZ173" s="43"/>
      <c r="DA173" s="43"/>
      <c r="DB173" s="43"/>
      <c r="DC173" s="43"/>
      <c r="DD173" s="43"/>
      <c r="DE173" s="43"/>
      <c r="DF173" s="43"/>
      <c r="DG173" s="43"/>
      <c r="DH173" s="43"/>
      <c r="DI173" s="43"/>
      <c r="DJ173" s="43"/>
      <c r="DK173" s="43"/>
      <c r="DL173" s="43"/>
      <c r="DM173" s="43"/>
      <c r="DN173" s="43"/>
      <c r="DO173" s="43"/>
      <c r="DP173" s="43"/>
      <c r="DQ173" s="43"/>
      <c r="DR173" s="43"/>
      <c r="DS173" s="43"/>
      <c r="DT173" s="43"/>
      <c r="DU173" s="43"/>
      <c r="DV173" s="43"/>
      <c r="DW173" s="43"/>
      <c r="DX173" s="43"/>
      <c r="DY173" s="43"/>
      <c r="DZ173" s="43"/>
    </row>
    <row r="174" spans="2:130" s="46" customFormat="1" x14ac:dyDescent="0.15">
      <c r="B174" s="75" t="str">
        <f>IF(G174&lt;&gt;"",SUBTOTAL(3,$G$5:G174),"")</f>
        <v/>
      </c>
      <c r="C174" s="75"/>
      <c r="D174" s="75"/>
      <c r="E174" s="76"/>
      <c r="F174" s="76"/>
      <c r="G174" s="74"/>
      <c r="H174" s="61"/>
      <c r="I174" s="70">
        <v>1</v>
      </c>
      <c r="J174" s="79" t="s">
        <v>325</v>
      </c>
      <c r="K174" s="80"/>
      <c r="L174" s="80"/>
      <c r="M174" s="80"/>
      <c r="N174" s="80"/>
      <c r="O174" s="80"/>
      <c r="P174" s="80"/>
      <c r="Q174" s="80"/>
      <c r="R174" s="80"/>
      <c r="S174" s="80"/>
      <c r="T174" s="80"/>
      <c r="U174" s="80"/>
      <c r="V174" s="80"/>
      <c r="W174" s="80"/>
      <c r="X174" s="80"/>
      <c r="Y174" s="80"/>
      <c r="Z174" s="80"/>
      <c r="AA174" s="80"/>
      <c r="AB174" s="80"/>
      <c r="AC174" s="80"/>
      <c r="AD174" s="80"/>
      <c r="AE174" s="80"/>
      <c r="AF174" s="80"/>
      <c r="AG174" s="80"/>
      <c r="AH174" s="80"/>
      <c r="AI174" s="80"/>
      <c r="AJ174" s="80"/>
      <c r="AK174" s="80"/>
      <c r="AL174" s="80"/>
      <c r="AM174" s="80"/>
      <c r="AN174" s="80"/>
      <c r="AO174" s="80"/>
      <c r="AP174" s="80"/>
      <c r="AQ174" s="80"/>
      <c r="AR174" s="81"/>
      <c r="AS174" s="63"/>
      <c r="AT174" s="64"/>
      <c r="AU174" s="64"/>
      <c r="AV174" s="64"/>
      <c r="AW174" s="64"/>
      <c r="AX174" s="64"/>
      <c r="AY174" s="64"/>
      <c r="AZ174" s="64"/>
      <c r="BA174" s="64"/>
      <c r="BB174" s="64"/>
      <c r="BC174" s="64"/>
      <c r="BD174" s="64"/>
      <c r="BE174" s="64"/>
      <c r="BF174" s="64"/>
      <c r="BG174" s="64"/>
      <c r="BH174" s="64"/>
      <c r="BI174" s="64"/>
      <c r="BJ174" s="64"/>
      <c r="BK174" s="64"/>
      <c r="BL174" s="64"/>
      <c r="BM174" s="64"/>
      <c r="BN174" s="64"/>
      <c r="BO174" s="64"/>
      <c r="BP174" s="64"/>
      <c r="BQ174" s="64"/>
      <c r="BR174" s="64"/>
      <c r="BS174" s="64"/>
      <c r="BT174" s="64"/>
      <c r="BU174" s="64"/>
      <c r="BV174" s="64"/>
      <c r="BW174" s="64"/>
      <c r="BX174" s="64"/>
      <c r="BY174" s="64"/>
      <c r="BZ174" s="64"/>
      <c r="CA174" s="65"/>
      <c r="CB174" s="74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43"/>
      <c r="CY174" s="43"/>
      <c r="CZ174" s="43"/>
      <c r="DA174" s="43"/>
      <c r="DB174" s="43"/>
      <c r="DC174" s="43"/>
      <c r="DD174" s="43"/>
      <c r="DE174" s="43"/>
      <c r="DF174" s="43"/>
      <c r="DG174" s="43"/>
      <c r="DH174" s="43"/>
      <c r="DI174" s="43"/>
      <c r="DJ174" s="43"/>
      <c r="DK174" s="43"/>
      <c r="DL174" s="43"/>
      <c r="DM174" s="43"/>
      <c r="DN174" s="43"/>
      <c r="DO174" s="43"/>
      <c r="DP174" s="43"/>
      <c r="DQ174" s="43"/>
      <c r="DR174" s="43"/>
      <c r="DS174" s="43"/>
      <c r="DT174" s="43"/>
      <c r="DU174" s="43"/>
      <c r="DV174" s="43"/>
      <c r="DW174" s="43"/>
      <c r="DX174" s="43"/>
      <c r="DY174" s="43"/>
      <c r="DZ174" s="43"/>
    </row>
    <row r="175" spans="2:130" s="46" customFormat="1" x14ac:dyDescent="0.15">
      <c r="B175" s="75" t="str">
        <f>IF(G175&lt;&gt;"",SUBTOTAL(3,$G$5:G175),"")</f>
        <v/>
      </c>
      <c r="C175" s="75"/>
      <c r="D175" s="75"/>
      <c r="E175" s="76"/>
      <c r="F175" s="76"/>
      <c r="G175" s="74"/>
      <c r="H175" s="61"/>
      <c r="I175" s="70">
        <v>1</v>
      </c>
      <c r="J175" s="79"/>
      <c r="K175" s="80"/>
      <c r="L175" s="80"/>
      <c r="M175" s="80"/>
      <c r="N175" s="80"/>
      <c r="O175" s="80"/>
      <c r="P175" s="80"/>
      <c r="Q175" s="80"/>
      <c r="R175" s="80"/>
      <c r="S175" s="80"/>
      <c r="T175" s="80"/>
      <c r="U175" s="80"/>
      <c r="V175" s="80"/>
      <c r="W175" s="80"/>
      <c r="X175" s="80"/>
      <c r="Y175" s="80"/>
      <c r="Z175" s="80"/>
      <c r="AA175" s="80"/>
      <c r="AB175" s="80"/>
      <c r="AC175" s="80"/>
      <c r="AD175" s="80"/>
      <c r="AE175" s="80"/>
      <c r="AF175" s="80"/>
      <c r="AG175" s="80"/>
      <c r="AH175" s="80"/>
      <c r="AI175" s="80"/>
      <c r="AJ175" s="80"/>
      <c r="AK175" s="80"/>
      <c r="AL175" s="80"/>
      <c r="AM175" s="80"/>
      <c r="AN175" s="80"/>
      <c r="AO175" s="80"/>
      <c r="AP175" s="80"/>
      <c r="AQ175" s="80"/>
      <c r="AR175" s="81"/>
      <c r="AS175" s="63"/>
      <c r="AT175" s="64"/>
      <c r="AU175" s="64"/>
      <c r="AV175" s="64"/>
      <c r="AW175" s="64"/>
      <c r="AX175" s="64"/>
      <c r="AY175" s="64"/>
      <c r="AZ175" s="64"/>
      <c r="BA175" s="64"/>
      <c r="BB175" s="64"/>
      <c r="BC175" s="64"/>
      <c r="BD175" s="64"/>
      <c r="BE175" s="64"/>
      <c r="BF175" s="64"/>
      <c r="BG175" s="64"/>
      <c r="BH175" s="64"/>
      <c r="BI175" s="64"/>
      <c r="BJ175" s="64"/>
      <c r="BK175" s="64"/>
      <c r="BL175" s="64"/>
      <c r="BM175" s="64"/>
      <c r="BN175" s="64"/>
      <c r="BO175" s="64"/>
      <c r="BP175" s="64"/>
      <c r="BQ175" s="64"/>
      <c r="BR175" s="64"/>
      <c r="BS175" s="64"/>
      <c r="BT175" s="64"/>
      <c r="BU175" s="64"/>
      <c r="BV175" s="64"/>
      <c r="BW175" s="64"/>
      <c r="BX175" s="64"/>
      <c r="BY175" s="64"/>
      <c r="BZ175" s="64"/>
      <c r="CA175" s="65"/>
      <c r="CB175" s="74"/>
      <c r="CC175" s="43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43"/>
      <c r="CY175" s="43"/>
      <c r="CZ175" s="43"/>
      <c r="DA175" s="43"/>
      <c r="DB175" s="43"/>
      <c r="DC175" s="43"/>
      <c r="DD175" s="43"/>
      <c r="DE175" s="43"/>
      <c r="DF175" s="43"/>
      <c r="DG175" s="43"/>
      <c r="DH175" s="43"/>
      <c r="DI175" s="43"/>
      <c r="DJ175" s="43"/>
      <c r="DK175" s="43"/>
      <c r="DL175" s="43"/>
      <c r="DM175" s="43"/>
      <c r="DN175" s="43"/>
      <c r="DO175" s="43"/>
      <c r="DP175" s="43"/>
      <c r="DQ175" s="43"/>
      <c r="DR175" s="43"/>
      <c r="DS175" s="43"/>
      <c r="DT175" s="43"/>
      <c r="DU175" s="43"/>
      <c r="DV175" s="43"/>
      <c r="DW175" s="43"/>
      <c r="DX175" s="43"/>
      <c r="DY175" s="43"/>
      <c r="DZ175" s="43"/>
    </row>
    <row r="176" spans="2:130" s="46" customFormat="1" ht="13.5" customHeight="1" x14ac:dyDescent="0.15">
      <c r="B176" s="75">
        <f>IF(G176&lt;&gt;"",SUBTOTAL(3,$G$5:G176),"")</f>
        <v>52</v>
      </c>
      <c r="C176" s="75"/>
      <c r="D176" s="75"/>
      <c r="E176" s="76" t="s">
        <v>139</v>
      </c>
      <c r="F176" s="76" t="s">
        <v>135</v>
      </c>
      <c r="G176" s="74" t="s">
        <v>177</v>
      </c>
      <c r="H176" s="61">
        <v>43967</v>
      </c>
      <c r="I176" s="103">
        <v>1</v>
      </c>
      <c r="J176" s="77" t="s">
        <v>426</v>
      </c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78"/>
      <c r="AS176" s="77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43"/>
      <c r="BR176" s="43"/>
      <c r="BS176" s="43"/>
      <c r="BT176" s="43"/>
      <c r="BU176" s="43"/>
      <c r="BV176" s="43"/>
      <c r="BW176" s="43"/>
      <c r="BX176" s="43"/>
      <c r="BY176" s="43"/>
      <c r="BZ176" s="43"/>
      <c r="CA176" s="78"/>
      <c r="CB176" s="74"/>
      <c r="CC176" s="43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43"/>
      <c r="CY176" s="43"/>
      <c r="CZ176" s="43"/>
      <c r="DA176" s="43"/>
      <c r="DB176" s="43"/>
      <c r="DC176" s="43"/>
      <c r="DD176" s="43"/>
      <c r="DE176" s="43"/>
      <c r="DF176" s="43"/>
      <c r="DG176" s="43"/>
      <c r="DH176" s="43"/>
      <c r="DI176" s="43"/>
      <c r="DJ176" s="43"/>
      <c r="DK176" s="43"/>
      <c r="DL176" s="43"/>
      <c r="DM176" s="43"/>
      <c r="DN176" s="43"/>
      <c r="DO176" s="43"/>
      <c r="DP176" s="43"/>
      <c r="DQ176" s="43"/>
      <c r="DR176" s="43"/>
      <c r="DS176" s="43"/>
      <c r="DT176" s="43"/>
      <c r="DU176" s="43"/>
      <c r="DV176" s="43"/>
      <c r="DW176" s="43"/>
      <c r="DX176" s="43"/>
      <c r="DY176" s="43"/>
      <c r="DZ176" s="43"/>
    </row>
    <row r="177" spans="2:130" s="46" customFormat="1" ht="13.5" customHeight="1" x14ac:dyDescent="0.15">
      <c r="B177" s="102" t="str">
        <f>IF(G177&lt;&gt;"",SUBTOTAL(3,$G$5:G177),"")</f>
        <v/>
      </c>
      <c r="C177" s="75"/>
      <c r="D177" s="75"/>
      <c r="E177" s="76"/>
      <c r="F177" s="76"/>
      <c r="G177" s="74"/>
      <c r="H177" s="61"/>
      <c r="I177" s="70">
        <v>1</v>
      </c>
      <c r="J177" s="77" t="s">
        <v>427</v>
      </c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78"/>
      <c r="AS177" s="77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43"/>
      <c r="BR177" s="43"/>
      <c r="BS177" s="43"/>
      <c r="BT177" s="43"/>
      <c r="BU177" s="43"/>
      <c r="BV177" s="43"/>
      <c r="BW177" s="43"/>
      <c r="BX177" s="43"/>
      <c r="BY177" s="43"/>
      <c r="BZ177" s="43"/>
      <c r="CA177" s="78"/>
      <c r="CB177" s="74"/>
      <c r="CC177" s="43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</row>
    <row r="178" spans="2:130" s="46" customFormat="1" ht="13.5" customHeight="1" x14ac:dyDescent="0.15">
      <c r="B178" s="75">
        <f>IF(G178&lt;&gt;"",SUBTOTAL(3,$G$5:G178),"")</f>
        <v>53</v>
      </c>
      <c r="C178" s="75"/>
      <c r="D178" s="75"/>
      <c r="E178" s="76" t="s">
        <v>139</v>
      </c>
      <c r="F178" s="76" t="s">
        <v>135</v>
      </c>
      <c r="G178" s="74" t="s">
        <v>178</v>
      </c>
      <c r="H178" s="61">
        <v>43870</v>
      </c>
      <c r="I178" s="62">
        <v>1</v>
      </c>
      <c r="J178" s="77" t="s">
        <v>423</v>
      </c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78"/>
      <c r="AS178" s="77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43"/>
      <c r="BO178" s="43"/>
      <c r="BP178" s="43"/>
      <c r="BQ178" s="43"/>
      <c r="BR178" s="43"/>
      <c r="BS178" s="43"/>
      <c r="BT178" s="43"/>
      <c r="BU178" s="43"/>
      <c r="BV178" s="43"/>
      <c r="BW178" s="43"/>
      <c r="BX178" s="43"/>
      <c r="BY178" s="43"/>
      <c r="BZ178" s="43"/>
      <c r="CA178" s="78"/>
      <c r="CB178" s="74"/>
      <c r="CC178" s="43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43"/>
      <c r="CY178" s="43"/>
      <c r="CZ178" s="43"/>
      <c r="DA178" s="43"/>
      <c r="DB178" s="43"/>
      <c r="DC178" s="43"/>
      <c r="DD178" s="43"/>
      <c r="DE178" s="43"/>
      <c r="DF178" s="43"/>
      <c r="DG178" s="43"/>
      <c r="DH178" s="43"/>
      <c r="DI178" s="43"/>
      <c r="DJ178" s="43"/>
      <c r="DK178" s="43"/>
      <c r="DL178" s="43"/>
      <c r="DM178" s="43"/>
      <c r="DN178" s="43"/>
      <c r="DO178" s="43"/>
      <c r="DP178" s="43"/>
      <c r="DQ178" s="43"/>
      <c r="DR178" s="43"/>
      <c r="DS178" s="43"/>
      <c r="DT178" s="43"/>
      <c r="DU178" s="43"/>
      <c r="DV178" s="43"/>
      <c r="DW178" s="43"/>
      <c r="DX178" s="43"/>
      <c r="DY178" s="43"/>
      <c r="DZ178" s="43"/>
    </row>
    <row r="179" spans="2:130" s="46" customFormat="1" ht="13.5" customHeight="1" x14ac:dyDescent="0.15">
      <c r="B179" s="102" t="str">
        <f>IF(G179&lt;&gt;"",SUBTOTAL(3,$G$5:G179),"")</f>
        <v/>
      </c>
      <c r="C179" s="75"/>
      <c r="D179" s="75"/>
      <c r="E179" s="76"/>
      <c r="F179" s="76"/>
      <c r="G179" s="74"/>
      <c r="H179" s="61"/>
      <c r="I179" s="68"/>
      <c r="J179" s="77" t="s">
        <v>424</v>
      </c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78"/>
      <c r="AS179" s="77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43"/>
      <c r="BN179" s="43"/>
      <c r="BO179" s="43"/>
      <c r="BP179" s="43"/>
      <c r="BQ179" s="43"/>
      <c r="BR179" s="43"/>
      <c r="BS179" s="43"/>
      <c r="BT179" s="43"/>
      <c r="BU179" s="43"/>
      <c r="BV179" s="43"/>
      <c r="BW179" s="43"/>
      <c r="BX179" s="43"/>
      <c r="BY179" s="43"/>
      <c r="BZ179" s="43"/>
      <c r="CA179" s="78"/>
      <c r="CB179" s="74"/>
      <c r="CC179" s="43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43"/>
      <c r="CY179" s="43"/>
      <c r="CZ179" s="43"/>
      <c r="DA179" s="43"/>
      <c r="DB179" s="43"/>
      <c r="DC179" s="43"/>
      <c r="DD179" s="43"/>
      <c r="DE179" s="43"/>
      <c r="DF179" s="43"/>
      <c r="DG179" s="43"/>
      <c r="DH179" s="43"/>
      <c r="DI179" s="43"/>
      <c r="DJ179" s="43"/>
      <c r="DK179" s="43"/>
      <c r="DL179" s="43"/>
      <c r="DM179" s="43"/>
      <c r="DN179" s="43"/>
      <c r="DO179" s="43"/>
      <c r="DP179" s="43"/>
      <c r="DQ179" s="43"/>
      <c r="DR179" s="43"/>
      <c r="DS179" s="43"/>
      <c r="DT179" s="43"/>
      <c r="DU179" s="43"/>
      <c r="DV179" s="43"/>
      <c r="DW179" s="43"/>
      <c r="DX179" s="43"/>
      <c r="DY179" s="43"/>
      <c r="DZ179" s="43"/>
    </row>
    <row r="180" spans="2:130" s="46" customFormat="1" ht="13.5" customHeight="1" x14ac:dyDescent="0.15">
      <c r="B180" s="102" t="str">
        <f>IF(G180&lt;&gt;"",SUBTOTAL(3,$G$5:G180),"")</f>
        <v/>
      </c>
      <c r="C180" s="75"/>
      <c r="D180" s="75"/>
      <c r="E180" s="76"/>
      <c r="F180" s="76"/>
      <c r="G180" s="74"/>
      <c r="H180" s="61"/>
      <c r="I180" s="68"/>
      <c r="J180" s="77" t="s">
        <v>425</v>
      </c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78"/>
      <c r="AS180" s="77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43"/>
      <c r="BI180" s="43"/>
      <c r="BJ180" s="43"/>
      <c r="BK180" s="43"/>
      <c r="BL180" s="43"/>
      <c r="BM180" s="43"/>
      <c r="BN180" s="43"/>
      <c r="BO180" s="43"/>
      <c r="BP180" s="43"/>
      <c r="BQ180" s="43"/>
      <c r="BR180" s="43"/>
      <c r="BS180" s="43"/>
      <c r="BT180" s="43"/>
      <c r="BU180" s="43"/>
      <c r="BV180" s="43"/>
      <c r="BW180" s="43"/>
      <c r="BX180" s="43"/>
      <c r="BY180" s="43"/>
      <c r="BZ180" s="43"/>
      <c r="CA180" s="78"/>
      <c r="CB180" s="74"/>
      <c r="CC180" s="43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43"/>
      <c r="CY180" s="43"/>
      <c r="CZ180" s="43"/>
      <c r="DA180" s="43"/>
      <c r="DB180" s="43"/>
      <c r="DC180" s="43"/>
      <c r="DD180" s="43"/>
      <c r="DE180" s="43"/>
      <c r="DF180" s="43"/>
      <c r="DG180" s="43"/>
      <c r="DH180" s="43"/>
      <c r="DI180" s="43"/>
      <c r="DJ180" s="43"/>
      <c r="DK180" s="43"/>
      <c r="DL180" s="43"/>
      <c r="DM180" s="43"/>
      <c r="DN180" s="43"/>
      <c r="DO180" s="43"/>
      <c r="DP180" s="43"/>
      <c r="DQ180" s="43"/>
      <c r="DR180" s="43"/>
      <c r="DS180" s="43"/>
      <c r="DT180" s="43"/>
      <c r="DU180" s="43"/>
      <c r="DV180" s="43"/>
      <c r="DW180" s="43"/>
      <c r="DX180" s="43"/>
      <c r="DY180" s="43"/>
      <c r="DZ180" s="43"/>
    </row>
    <row r="181" spans="2:130" s="46" customFormat="1" ht="13.5" customHeight="1" x14ac:dyDescent="0.15">
      <c r="B181" s="102" t="str">
        <f>IF(G181&lt;&gt;"",SUBTOTAL(3,$G$5:G181),"")</f>
        <v/>
      </c>
      <c r="C181" s="75"/>
      <c r="D181" s="75"/>
      <c r="E181" s="76"/>
      <c r="F181" s="76"/>
      <c r="G181" s="74"/>
      <c r="H181" s="61"/>
      <c r="I181" s="68"/>
      <c r="J181" s="77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78"/>
      <c r="AS181" s="77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43"/>
      <c r="BI181" s="43"/>
      <c r="BJ181" s="43"/>
      <c r="BK181" s="43"/>
      <c r="BL181" s="43"/>
      <c r="BM181" s="43"/>
      <c r="BN181" s="43"/>
      <c r="BO181" s="43"/>
      <c r="BP181" s="43"/>
      <c r="BQ181" s="43"/>
      <c r="BR181" s="43"/>
      <c r="BS181" s="43"/>
      <c r="BT181" s="43"/>
      <c r="BU181" s="43"/>
      <c r="BV181" s="43"/>
      <c r="BW181" s="43"/>
      <c r="BX181" s="43"/>
      <c r="BY181" s="43"/>
      <c r="BZ181" s="43"/>
      <c r="CA181" s="78"/>
      <c r="CB181" s="74"/>
      <c r="CC181" s="43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</row>
    <row r="182" spans="2:130" s="46" customFormat="1" x14ac:dyDescent="0.15">
      <c r="B182" s="75">
        <f>IF(G182&lt;&gt;"",SUBTOTAL(3,$G$5:G182),"")</f>
        <v>54</v>
      </c>
      <c r="C182" s="75"/>
      <c r="D182" s="75"/>
      <c r="E182" s="76" t="s">
        <v>139</v>
      </c>
      <c r="F182" s="76" t="s">
        <v>135</v>
      </c>
      <c r="G182" s="74" t="s">
        <v>179</v>
      </c>
      <c r="H182" s="61">
        <v>43869</v>
      </c>
      <c r="I182" s="62">
        <v>1</v>
      </c>
      <c r="J182" s="77" t="s">
        <v>440</v>
      </c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78"/>
      <c r="AS182" s="77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43"/>
      <c r="BI182" s="43"/>
      <c r="BJ182" s="43"/>
      <c r="BK182" s="43"/>
      <c r="BL182" s="43"/>
      <c r="BM182" s="43"/>
      <c r="BN182" s="43"/>
      <c r="BO182" s="43"/>
      <c r="BP182" s="43"/>
      <c r="BQ182" s="43"/>
      <c r="BR182" s="43"/>
      <c r="BS182" s="43"/>
      <c r="BT182" s="43"/>
      <c r="BU182" s="43"/>
      <c r="BV182" s="43"/>
      <c r="BW182" s="43"/>
      <c r="BX182" s="43"/>
      <c r="BY182" s="43"/>
      <c r="BZ182" s="43"/>
      <c r="CA182" s="78"/>
      <c r="CB182" s="74"/>
      <c r="CC182" s="43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</row>
    <row r="183" spans="2:130" s="46" customFormat="1" x14ac:dyDescent="0.15">
      <c r="B183" s="102" t="str">
        <f>IF(G183&lt;&gt;"",SUBTOTAL(3,$G$5:G183),"")</f>
        <v/>
      </c>
      <c r="C183" s="75"/>
      <c r="D183" s="75"/>
      <c r="E183" s="76"/>
      <c r="F183" s="76"/>
      <c r="G183" s="74"/>
      <c r="H183" s="61"/>
      <c r="I183" s="70">
        <v>1</v>
      </c>
      <c r="J183" s="77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3"/>
      <c r="AN183" s="43"/>
      <c r="AO183" s="43"/>
      <c r="AP183" s="43"/>
      <c r="AQ183" s="43"/>
      <c r="AR183" s="78"/>
      <c r="AS183" s="77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43"/>
      <c r="BI183" s="43"/>
      <c r="BJ183" s="43"/>
      <c r="BK183" s="43"/>
      <c r="BL183" s="43"/>
      <c r="BM183" s="43"/>
      <c r="BN183" s="43"/>
      <c r="BO183" s="43"/>
      <c r="BP183" s="43"/>
      <c r="BQ183" s="43"/>
      <c r="BR183" s="43"/>
      <c r="BS183" s="43"/>
      <c r="BT183" s="43"/>
      <c r="BU183" s="43"/>
      <c r="BV183" s="43"/>
      <c r="BW183" s="43"/>
      <c r="BX183" s="43"/>
      <c r="BY183" s="43"/>
      <c r="BZ183" s="43"/>
      <c r="CA183" s="78"/>
      <c r="CB183" s="74"/>
      <c r="CC183" s="43"/>
      <c r="CD183" s="43"/>
      <c r="CE183" s="43"/>
      <c r="CF183" s="43"/>
      <c r="CG183" s="43"/>
      <c r="CH183" s="43"/>
      <c r="CI183" s="43"/>
      <c r="CJ183" s="43"/>
      <c r="CK183" s="43"/>
      <c r="CL183" s="43"/>
      <c r="CM183" s="43"/>
      <c r="CN183" s="43"/>
      <c r="CO183" s="43"/>
      <c r="CP183" s="43"/>
      <c r="CQ183" s="43"/>
      <c r="CR183" s="43"/>
      <c r="CS183" s="43"/>
      <c r="CT183" s="43"/>
      <c r="CU183" s="43"/>
      <c r="CV183" s="43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</row>
    <row r="184" spans="2:130" s="46" customFormat="1" x14ac:dyDescent="0.15">
      <c r="B184" s="75">
        <f>IF(G184&lt;&gt;"",SUBTOTAL(3,$G$5:G184),"")</f>
        <v>55</v>
      </c>
      <c r="C184" s="75"/>
      <c r="D184" s="75"/>
      <c r="E184" s="76" t="s">
        <v>139</v>
      </c>
      <c r="F184" s="76" t="s">
        <v>135</v>
      </c>
      <c r="G184" s="74" t="s">
        <v>89</v>
      </c>
      <c r="H184" s="61">
        <v>43961</v>
      </c>
      <c r="I184" s="62">
        <v>1</v>
      </c>
      <c r="J184" s="79" t="s">
        <v>326</v>
      </c>
      <c r="K184" s="80"/>
      <c r="L184" s="80"/>
      <c r="M184" s="80"/>
      <c r="N184" s="80"/>
      <c r="O184" s="80"/>
      <c r="P184" s="80"/>
      <c r="Q184" s="80"/>
      <c r="R184" s="80"/>
      <c r="S184" s="80"/>
      <c r="T184" s="80"/>
      <c r="U184" s="80"/>
      <c r="V184" s="80"/>
      <c r="W184" s="80"/>
      <c r="X184" s="80"/>
      <c r="Y184" s="80"/>
      <c r="Z184" s="80"/>
      <c r="AA184" s="80"/>
      <c r="AB184" s="80"/>
      <c r="AC184" s="80"/>
      <c r="AD184" s="80"/>
      <c r="AE184" s="80"/>
      <c r="AF184" s="80"/>
      <c r="AG184" s="80"/>
      <c r="AH184" s="80"/>
      <c r="AI184" s="80"/>
      <c r="AJ184" s="80"/>
      <c r="AK184" s="80"/>
      <c r="AL184" s="80"/>
      <c r="AM184" s="80"/>
      <c r="AN184" s="80"/>
      <c r="AO184" s="80"/>
      <c r="AP184" s="80"/>
      <c r="AQ184" s="80"/>
      <c r="AR184" s="81"/>
      <c r="AS184" s="63"/>
      <c r="AT184" s="64"/>
      <c r="AU184" s="64"/>
      <c r="AV184" s="64"/>
      <c r="AW184" s="64"/>
      <c r="AX184" s="64"/>
      <c r="AY184" s="64"/>
      <c r="AZ184" s="64"/>
      <c r="BA184" s="64"/>
      <c r="BB184" s="64"/>
      <c r="BC184" s="64"/>
      <c r="BD184" s="64"/>
      <c r="BE184" s="64"/>
      <c r="BF184" s="64"/>
      <c r="BG184" s="64"/>
      <c r="BH184" s="64"/>
      <c r="BI184" s="64"/>
      <c r="BJ184" s="64"/>
      <c r="BK184" s="64"/>
      <c r="BL184" s="64"/>
      <c r="BM184" s="64"/>
      <c r="BN184" s="64"/>
      <c r="BO184" s="64"/>
      <c r="BP184" s="64"/>
      <c r="BQ184" s="64"/>
      <c r="BR184" s="64"/>
      <c r="BS184" s="64"/>
      <c r="BT184" s="64"/>
      <c r="BU184" s="64"/>
      <c r="BV184" s="64"/>
      <c r="BW184" s="64"/>
      <c r="BX184" s="64"/>
      <c r="BY184" s="64"/>
      <c r="BZ184" s="64"/>
      <c r="CA184" s="65"/>
      <c r="CB184" s="74"/>
      <c r="CC184" s="43"/>
      <c r="CD184" s="43"/>
      <c r="CE184" s="43"/>
      <c r="CF184" s="43"/>
      <c r="CG184" s="43"/>
      <c r="CH184" s="43"/>
      <c r="CI184" s="43"/>
      <c r="CJ184" s="43"/>
      <c r="CK184" s="43"/>
      <c r="CL184" s="43"/>
      <c r="CM184" s="43"/>
      <c r="CN184" s="43"/>
      <c r="CO184" s="43"/>
      <c r="CP184" s="43"/>
      <c r="CQ184" s="43"/>
      <c r="CR184" s="43"/>
      <c r="CS184" s="43"/>
      <c r="CT184" s="43"/>
      <c r="CU184" s="43"/>
      <c r="CV184" s="43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</row>
    <row r="185" spans="2:130" s="46" customFormat="1" x14ac:dyDescent="0.15">
      <c r="B185" s="75" t="str">
        <f>IF(G185&lt;&gt;"",SUBTOTAL(3,$G$5:G185),"")</f>
        <v/>
      </c>
      <c r="C185" s="75"/>
      <c r="D185" s="75"/>
      <c r="E185" s="76"/>
      <c r="F185" s="76"/>
      <c r="G185" s="74"/>
      <c r="H185" s="61"/>
      <c r="I185" s="70">
        <v>1</v>
      </c>
      <c r="J185" s="79" t="s">
        <v>262</v>
      </c>
      <c r="K185" s="80"/>
      <c r="L185" s="80"/>
      <c r="M185" s="80"/>
      <c r="N185" s="80"/>
      <c r="O185" s="80"/>
      <c r="P185" s="80"/>
      <c r="Q185" s="80"/>
      <c r="R185" s="80"/>
      <c r="S185" s="80"/>
      <c r="T185" s="80"/>
      <c r="U185" s="80"/>
      <c r="V185" s="80"/>
      <c r="W185" s="80"/>
      <c r="X185" s="80"/>
      <c r="Y185" s="80"/>
      <c r="Z185" s="80"/>
      <c r="AA185" s="80"/>
      <c r="AB185" s="80"/>
      <c r="AC185" s="80"/>
      <c r="AD185" s="80"/>
      <c r="AE185" s="80"/>
      <c r="AF185" s="80"/>
      <c r="AG185" s="80"/>
      <c r="AH185" s="80"/>
      <c r="AI185" s="80"/>
      <c r="AJ185" s="80"/>
      <c r="AK185" s="80"/>
      <c r="AL185" s="80"/>
      <c r="AM185" s="80"/>
      <c r="AN185" s="80"/>
      <c r="AO185" s="80"/>
      <c r="AP185" s="80"/>
      <c r="AQ185" s="80"/>
      <c r="AR185" s="81"/>
      <c r="AS185" s="63"/>
      <c r="AT185" s="64"/>
      <c r="AU185" s="64"/>
      <c r="AV185" s="64"/>
      <c r="AW185" s="64"/>
      <c r="AX185" s="64"/>
      <c r="AY185" s="64"/>
      <c r="AZ185" s="64"/>
      <c r="BA185" s="64"/>
      <c r="BB185" s="64"/>
      <c r="BC185" s="64"/>
      <c r="BD185" s="64"/>
      <c r="BE185" s="64"/>
      <c r="BF185" s="64"/>
      <c r="BG185" s="64"/>
      <c r="BH185" s="64"/>
      <c r="BI185" s="64"/>
      <c r="BJ185" s="64"/>
      <c r="BK185" s="64"/>
      <c r="BL185" s="64"/>
      <c r="BM185" s="64"/>
      <c r="BN185" s="64"/>
      <c r="BO185" s="64"/>
      <c r="BP185" s="64"/>
      <c r="BQ185" s="64"/>
      <c r="BR185" s="64"/>
      <c r="BS185" s="64"/>
      <c r="BT185" s="64"/>
      <c r="BU185" s="64"/>
      <c r="BV185" s="64"/>
      <c r="BW185" s="64"/>
      <c r="BX185" s="64"/>
      <c r="BY185" s="64"/>
      <c r="BZ185" s="64"/>
      <c r="CA185" s="65"/>
      <c r="CB185" s="74"/>
      <c r="CC185" s="43"/>
      <c r="CD185" s="43"/>
      <c r="CE185" s="43"/>
      <c r="CF185" s="43"/>
      <c r="CG185" s="43"/>
      <c r="CH185" s="43"/>
      <c r="CI185" s="43"/>
      <c r="CJ185" s="43"/>
      <c r="CK185" s="43"/>
      <c r="CL185" s="43"/>
      <c r="CM185" s="43"/>
      <c r="CN185" s="43"/>
      <c r="CO185" s="43"/>
      <c r="CP185" s="43"/>
      <c r="CQ185" s="43"/>
      <c r="CR185" s="43"/>
      <c r="CS185" s="43"/>
      <c r="CT185" s="43"/>
      <c r="CU185" s="43"/>
      <c r="CV185" s="43"/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</row>
    <row r="186" spans="2:130" s="46" customFormat="1" x14ac:dyDescent="0.15">
      <c r="B186" s="75" t="str">
        <f>IF(G186&lt;&gt;"",SUBTOTAL(3,$G$5:G186),"")</f>
        <v/>
      </c>
      <c r="C186" s="75"/>
      <c r="D186" s="75"/>
      <c r="E186" s="76"/>
      <c r="F186" s="76"/>
      <c r="G186" s="74"/>
      <c r="H186" s="61"/>
      <c r="I186" s="70">
        <v>1</v>
      </c>
      <c r="J186" s="79" t="s">
        <v>327</v>
      </c>
      <c r="K186" s="80"/>
      <c r="L186" s="80"/>
      <c r="M186" s="80"/>
      <c r="N186" s="80"/>
      <c r="O186" s="80"/>
      <c r="P186" s="80"/>
      <c r="Q186" s="80"/>
      <c r="R186" s="80"/>
      <c r="S186" s="80"/>
      <c r="T186" s="80"/>
      <c r="U186" s="80"/>
      <c r="V186" s="80"/>
      <c r="W186" s="80"/>
      <c r="X186" s="80"/>
      <c r="Y186" s="80"/>
      <c r="Z186" s="80"/>
      <c r="AA186" s="80"/>
      <c r="AB186" s="80"/>
      <c r="AC186" s="80"/>
      <c r="AD186" s="80"/>
      <c r="AE186" s="80"/>
      <c r="AF186" s="80"/>
      <c r="AG186" s="80"/>
      <c r="AH186" s="80"/>
      <c r="AI186" s="80"/>
      <c r="AJ186" s="80"/>
      <c r="AK186" s="80"/>
      <c r="AL186" s="80"/>
      <c r="AM186" s="80"/>
      <c r="AN186" s="80"/>
      <c r="AO186" s="80"/>
      <c r="AP186" s="80"/>
      <c r="AQ186" s="80"/>
      <c r="AR186" s="81"/>
      <c r="AS186" s="63"/>
      <c r="AT186" s="64"/>
      <c r="AU186" s="64"/>
      <c r="AV186" s="64"/>
      <c r="AW186" s="64"/>
      <c r="AX186" s="64"/>
      <c r="AY186" s="64"/>
      <c r="AZ186" s="64"/>
      <c r="BA186" s="64"/>
      <c r="BB186" s="64"/>
      <c r="BC186" s="64"/>
      <c r="BD186" s="64"/>
      <c r="BE186" s="64"/>
      <c r="BF186" s="64"/>
      <c r="BG186" s="64"/>
      <c r="BH186" s="64"/>
      <c r="BI186" s="64"/>
      <c r="BJ186" s="64"/>
      <c r="BK186" s="64"/>
      <c r="BL186" s="64"/>
      <c r="BM186" s="64"/>
      <c r="BN186" s="64"/>
      <c r="BO186" s="64"/>
      <c r="BP186" s="64"/>
      <c r="BQ186" s="64"/>
      <c r="BR186" s="64"/>
      <c r="BS186" s="64"/>
      <c r="BT186" s="64"/>
      <c r="BU186" s="64"/>
      <c r="BV186" s="64"/>
      <c r="BW186" s="64"/>
      <c r="BX186" s="64"/>
      <c r="BY186" s="64"/>
      <c r="BZ186" s="64"/>
      <c r="CA186" s="65"/>
      <c r="CB186" s="74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43"/>
      <c r="CV186" s="43"/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</row>
    <row r="187" spans="2:130" s="46" customFormat="1" x14ac:dyDescent="0.15">
      <c r="B187" s="75" t="str">
        <f>IF(G187&lt;&gt;"",SUBTOTAL(3,$G$5:G187),"")</f>
        <v/>
      </c>
      <c r="C187" s="75"/>
      <c r="D187" s="75"/>
      <c r="E187" s="76"/>
      <c r="F187" s="76"/>
      <c r="G187" s="74"/>
      <c r="H187" s="61"/>
      <c r="I187" s="70">
        <v>1</v>
      </c>
      <c r="J187" s="79" t="s">
        <v>328</v>
      </c>
      <c r="K187" s="80"/>
      <c r="L187" s="80"/>
      <c r="M187" s="80"/>
      <c r="N187" s="80"/>
      <c r="O187" s="80"/>
      <c r="P187" s="80"/>
      <c r="Q187" s="80"/>
      <c r="R187" s="80"/>
      <c r="S187" s="80"/>
      <c r="T187" s="80"/>
      <c r="U187" s="80"/>
      <c r="V187" s="80"/>
      <c r="W187" s="80"/>
      <c r="X187" s="80"/>
      <c r="Y187" s="80"/>
      <c r="Z187" s="80"/>
      <c r="AA187" s="80"/>
      <c r="AB187" s="80"/>
      <c r="AC187" s="80"/>
      <c r="AD187" s="80"/>
      <c r="AE187" s="80"/>
      <c r="AF187" s="80"/>
      <c r="AG187" s="80"/>
      <c r="AH187" s="80"/>
      <c r="AI187" s="80"/>
      <c r="AJ187" s="80"/>
      <c r="AK187" s="80"/>
      <c r="AL187" s="80"/>
      <c r="AM187" s="80"/>
      <c r="AN187" s="80"/>
      <c r="AO187" s="80"/>
      <c r="AP187" s="80"/>
      <c r="AQ187" s="80"/>
      <c r="AR187" s="81"/>
      <c r="AS187" s="63"/>
      <c r="AT187" s="64"/>
      <c r="AU187" s="64"/>
      <c r="AV187" s="64"/>
      <c r="AW187" s="64"/>
      <c r="AX187" s="64"/>
      <c r="AY187" s="64"/>
      <c r="AZ187" s="64"/>
      <c r="BA187" s="64"/>
      <c r="BB187" s="64"/>
      <c r="BC187" s="64"/>
      <c r="BD187" s="64"/>
      <c r="BE187" s="64"/>
      <c r="BF187" s="64"/>
      <c r="BG187" s="64"/>
      <c r="BH187" s="64"/>
      <c r="BI187" s="64"/>
      <c r="BJ187" s="64"/>
      <c r="BK187" s="64"/>
      <c r="BL187" s="64"/>
      <c r="BM187" s="64"/>
      <c r="BN187" s="64"/>
      <c r="BO187" s="64"/>
      <c r="BP187" s="64"/>
      <c r="BQ187" s="64"/>
      <c r="BR187" s="64"/>
      <c r="BS187" s="64"/>
      <c r="BT187" s="64"/>
      <c r="BU187" s="64"/>
      <c r="BV187" s="64"/>
      <c r="BW187" s="64"/>
      <c r="BX187" s="64"/>
      <c r="BY187" s="64"/>
      <c r="BZ187" s="64"/>
      <c r="CA187" s="65"/>
      <c r="CB187" s="74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43"/>
      <c r="CV187" s="43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</row>
    <row r="188" spans="2:130" s="46" customFormat="1" x14ac:dyDescent="0.15">
      <c r="B188" s="75" t="str">
        <f>IF(G188&lt;&gt;"",SUBTOTAL(3,$G$5:G188),"")</f>
        <v/>
      </c>
      <c r="C188" s="75"/>
      <c r="D188" s="75"/>
      <c r="E188" s="76"/>
      <c r="F188" s="76"/>
      <c r="G188" s="74"/>
      <c r="H188" s="61"/>
      <c r="I188" s="70">
        <v>1</v>
      </c>
      <c r="J188" s="79" t="s">
        <v>266</v>
      </c>
      <c r="K188" s="80"/>
      <c r="L188" s="80"/>
      <c r="M188" s="80"/>
      <c r="N188" s="80"/>
      <c r="O188" s="80"/>
      <c r="P188" s="80"/>
      <c r="Q188" s="80"/>
      <c r="R188" s="80"/>
      <c r="S188" s="80"/>
      <c r="T188" s="80"/>
      <c r="U188" s="80"/>
      <c r="V188" s="80"/>
      <c r="W188" s="80"/>
      <c r="X188" s="80"/>
      <c r="Y188" s="80"/>
      <c r="Z188" s="80"/>
      <c r="AA188" s="80"/>
      <c r="AB188" s="80"/>
      <c r="AC188" s="80"/>
      <c r="AD188" s="80"/>
      <c r="AE188" s="80"/>
      <c r="AF188" s="80"/>
      <c r="AG188" s="80"/>
      <c r="AH188" s="80"/>
      <c r="AI188" s="80"/>
      <c r="AJ188" s="80"/>
      <c r="AK188" s="80"/>
      <c r="AL188" s="80"/>
      <c r="AM188" s="80"/>
      <c r="AN188" s="80"/>
      <c r="AO188" s="80"/>
      <c r="AP188" s="80"/>
      <c r="AQ188" s="80"/>
      <c r="AR188" s="81"/>
      <c r="AS188" s="63"/>
      <c r="AT188" s="64"/>
      <c r="AU188" s="64"/>
      <c r="AV188" s="64"/>
      <c r="AW188" s="64"/>
      <c r="AX188" s="64"/>
      <c r="AY188" s="64"/>
      <c r="AZ188" s="64"/>
      <c r="BA188" s="64"/>
      <c r="BB188" s="64"/>
      <c r="BC188" s="64"/>
      <c r="BD188" s="64"/>
      <c r="BE188" s="64"/>
      <c r="BF188" s="64"/>
      <c r="BG188" s="64"/>
      <c r="BH188" s="64"/>
      <c r="BI188" s="64"/>
      <c r="BJ188" s="64"/>
      <c r="BK188" s="64"/>
      <c r="BL188" s="64"/>
      <c r="BM188" s="64"/>
      <c r="BN188" s="64"/>
      <c r="BO188" s="64"/>
      <c r="BP188" s="64"/>
      <c r="BQ188" s="64"/>
      <c r="BR188" s="64"/>
      <c r="BS188" s="64"/>
      <c r="BT188" s="64"/>
      <c r="BU188" s="64"/>
      <c r="BV188" s="64"/>
      <c r="BW188" s="64"/>
      <c r="BX188" s="64"/>
      <c r="BY188" s="64"/>
      <c r="BZ188" s="64"/>
      <c r="CA188" s="65"/>
      <c r="CB188" s="74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43"/>
      <c r="CV188" s="43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</row>
    <row r="189" spans="2:130" s="46" customFormat="1" x14ac:dyDescent="0.15">
      <c r="B189" s="75" t="str">
        <f>IF(G189&lt;&gt;"",SUBTOTAL(3,$G$5:G189),"")</f>
        <v/>
      </c>
      <c r="C189" s="75"/>
      <c r="D189" s="75"/>
      <c r="E189" s="76"/>
      <c r="F189" s="76"/>
      <c r="G189" s="74"/>
      <c r="H189" s="61"/>
      <c r="I189" s="70">
        <v>1</v>
      </c>
      <c r="J189" s="79" t="s">
        <v>320</v>
      </c>
      <c r="K189" s="80"/>
      <c r="L189" s="80"/>
      <c r="M189" s="80"/>
      <c r="N189" s="80"/>
      <c r="O189" s="80"/>
      <c r="P189" s="80"/>
      <c r="Q189" s="80"/>
      <c r="R189" s="80"/>
      <c r="S189" s="80"/>
      <c r="T189" s="80"/>
      <c r="U189" s="80"/>
      <c r="V189" s="80"/>
      <c r="W189" s="80"/>
      <c r="X189" s="80"/>
      <c r="Y189" s="80"/>
      <c r="Z189" s="80"/>
      <c r="AA189" s="80"/>
      <c r="AB189" s="80"/>
      <c r="AC189" s="80"/>
      <c r="AD189" s="80"/>
      <c r="AE189" s="80"/>
      <c r="AF189" s="80"/>
      <c r="AG189" s="80"/>
      <c r="AH189" s="80"/>
      <c r="AI189" s="80"/>
      <c r="AJ189" s="80"/>
      <c r="AK189" s="80"/>
      <c r="AL189" s="80"/>
      <c r="AM189" s="80"/>
      <c r="AN189" s="80"/>
      <c r="AO189" s="80"/>
      <c r="AP189" s="80"/>
      <c r="AQ189" s="80"/>
      <c r="AR189" s="81"/>
      <c r="AS189" s="63"/>
      <c r="AT189" s="64"/>
      <c r="AU189" s="64"/>
      <c r="AV189" s="64"/>
      <c r="AW189" s="64"/>
      <c r="AX189" s="64"/>
      <c r="AY189" s="64"/>
      <c r="AZ189" s="64"/>
      <c r="BA189" s="64"/>
      <c r="BB189" s="64"/>
      <c r="BC189" s="64"/>
      <c r="BD189" s="64"/>
      <c r="BE189" s="64"/>
      <c r="BF189" s="64"/>
      <c r="BG189" s="64"/>
      <c r="BH189" s="64"/>
      <c r="BI189" s="64"/>
      <c r="BJ189" s="64"/>
      <c r="BK189" s="64"/>
      <c r="BL189" s="64"/>
      <c r="BM189" s="64"/>
      <c r="BN189" s="64"/>
      <c r="BO189" s="64"/>
      <c r="BP189" s="64"/>
      <c r="BQ189" s="64"/>
      <c r="BR189" s="64"/>
      <c r="BS189" s="64"/>
      <c r="BT189" s="64"/>
      <c r="BU189" s="64"/>
      <c r="BV189" s="64"/>
      <c r="BW189" s="64"/>
      <c r="BX189" s="64"/>
      <c r="BY189" s="64"/>
      <c r="BZ189" s="64"/>
      <c r="CA189" s="65"/>
      <c r="CB189" s="74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43"/>
      <c r="CV189" s="43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</row>
    <row r="190" spans="2:130" s="46" customFormat="1" x14ac:dyDescent="0.15">
      <c r="B190" s="75" t="str">
        <f>IF(G190&lt;&gt;"",SUBTOTAL(3,$G$5:G190),"")</f>
        <v/>
      </c>
      <c r="C190" s="75"/>
      <c r="D190" s="75"/>
      <c r="E190" s="76"/>
      <c r="F190" s="76"/>
      <c r="G190" s="74"/>
      <c r="H190" s="61"/>
      <c r="I190" s="70">
        <v>1</v>
      </c>
      <c r="J190" s="79" t="s">
        <v>329</v>
      </c>
      <c r="K190" s="80"/>
      <c r="L190" s="80"/>
      <c r="M190" s="80"/>
      <c r="N190" s="80"/>
      <c r="O190" s="80"/>
      <c r="P190" s="80"/>
      <c r="Q190" s="80"/>
      <c r="R190" s="80"/>
      <c r="S190" s="80"/>
      <c r="T190" s="80"/>
      <c r="U190" s="80"/>
      <c r="V190" s="80"/>
      <c r="W190" s="80"/>
      <c r="X190" s="80"/>
      <c r="Y190" s="80"/>
      <c r="Z190" s="80"/>
      <c r="AA190" s="80"/>
      <c r="AB190" s="80"/>
      <c r="AC190" s="80"/>
      <c r="AD190" s="80"/>
      <c r="AE190" s="80"/>
      <c r="AF190" s="80"/>
      <c r="AG190" s="80"/>
      <c r="AH190" s="80"/>
      <c r="AI190" s="80"/>
      <c r="AJ190" s="80"/>
      <c r="AK190" s="80"/>
      <c r="AL190" s="80"/>
      <c r="AM190" s="80"/>
      <c r="AN190" s="80"/>
      <c r="AO190" s="80"/>
      <c r="AP190" s="80"/>
      <c r="AQ190" s="80"/>
      <c r="AR190" s="81"/>
      <c r="AS190" s="63"/>
      <c r="AT190" s="64"/>
      <c r="AU190" s="64"/>
      <c r="AV190" s="64"/>
      <c r="AW190" s="64"/>
      <c r="AX190" s="64"/>
      <c r="AY190" s="64"/>
      <c r="AZ190" s="64"/>
      <c r="BA190" s="64"/>
      <c r="BB190" s="64"/>
      <c r="BC190" s="64"/>
      <c r="BD190" s="64"/>
      <c r="BE190" s="64"/>
      <c r="BF190" s="64"/>
      <c r="BG190" s="64"/>
      <c r="BH190" s="64"/>
      <c r="BI190" s="64"/>
      <c r="BJ190" s="64"/>
      <c r="BK190" s="64"/>
      <c r="BL190" s="64"/>
      <c r="BM190" s="64"/>
      <c r="BN190" s="64"/>
      <c r="BO190" s="64"/>
      <c r="BP190" s="64"/>
      <c r="BQ190" s="64"/>
      <c r="BR190" s="64"/>
      <c r="BS190" s="64"/>
      <c r="BT190" s="64"/>
      <c r="BU190" s="64"/>
      <c r="BV190" s="64"/>
      <c r="BW190" s="64"/>
      <c r="BX190" s="64"/>
      <c r="BY190" s="64"/>
      <c r="BZ190" s="64"/>
      <c r="CA190" s="65"/>
      <c r="CB190" s="74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43"/>
      <c r="CV190" s="43"/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</row>
    <row r="191" spans="2:130" s="46" customFormat="1" x14ac:dyDescent="0.15">
      <c r="B191" s="75" t="str">
        <f>IF(G191&lt;&gt;"",SUBTOTAL(3,$G$5:G191),"")</f>
        <v/>
      </c>
      <c r="C191" s="75"/>
      <c r="D191" s="75"/>
      <c r="E191" s="76"/>
      <c r="F191" s="76"/>
      <c r="G191" s="74"/>
      <c r="H191" s="61"/>
      <c r="I191" s="70">
        <v>1</v>
      </c>
      <c r="J191" s="79" t="s">
        <v>330</v>
      </c>
      <c r="K191" s="80"/>
      <c r="L191" s="80"/>
      <c r="M191" s="80"/>
      <c r="N191" s="80"/>
      <c r="O191" s="80"/>
      <c r="P191" s="80"/>
      <c r="Q191" s="80"/>
      <c r="R191" s="80"/>
      <c r="S191" s="80"/>
      <c r="T191" s="80"/>
      <c r="U191" s="80"/>
      <c r="V191" s="80"/>
      <c r="W191" s="80"/>
      <c r="X191" s="80"/>
      <c r="Y191" s="80"/>
      <c r="Z191" s="80"/>
      <c r="AA191" s="80"/>
      <c r="AB191" s="80"/>
      <c r="AC191" s="80"/>
      <c r="AD191" s="80"/>
      <c r="AE191" s="80"/>
      <c r="AF191" s="80"/>
      <c r="AG191" s="80"/>
      <c r="AH191" s="80"/>
      <c r="AI191" s="80"/>
      <c r="AJ191" s="80"/>
      <c r="AK191" s="80"/>
      <c r="AL191" s="80"/>
      <c r="AM191" s="80"/>
      <c r="AN191" s="80"/>
      <c r="AO191" s="80"/>
      <c r="AP191" s="80"/>
      <c r="AQ191" s="80"/>
      <c r="AR191" s="81"/>
      <c r="AS191" s="63"/>
      <c r="AT191" s="64"/>
      <c r="AU191" s="64"/>
      <c r="AV191" s="64"/>
      <c r="AW191" s="64"/>
      <c r="AX191" s="64"/>
      <c r="AY191" s="64"/>
      <c r="AZ191" s="64"/>
      <c r="BA191" s="64"/>
      <c r="BB191" s="64"/>
      <c r="BC191" s="64"/>
      <c r="BD191" s="64"/>
      <c r="BE191" s="64"/>
      <c r="BF191" s="64"/>
      <c r="BG191" s="64"/>
      <c r="BH191" s="64"/>
      <c r="BI191" s="64"/>
      <c r="BJ191" s="64"/>
      <c r="BK191" s="64"/>
      <c r="BL191" s="64"/>
      <c r="BM191" s="64"/>
      <c r="BN191" s="64"/>
      <c r="BO191" s="64"/>
      <c r="BP191" s="64"/>
      <c r="BQ191" s="64"/>
      <c r="BR191" s="64"/>
      <c r="BS191" s="64"/>
      <c r="BT191" s="64"/>
      <c r="BU191" s="64"/>
      <c r="BV191" s="64"/>
      <c r="BW191" s="64"/>
      <c r="BX191" s="64"/>
      <c r="BY191" s="64"/>
      <c r="BZ191" s="64"/>
      <c r="CA191" s="65"/>
      <c r="CB191" s="74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43"/>
      <c r="CV191" s="43"/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</row>
    <row r="192" spans="2:130" s="46" customFormat="1" x14ac:dyDescent="0.15">
      <c r="B192" s="75" t="str">
        <f>IF(G192&lt;&gt;"",SUBTOTAL(3,$G$5:G192),"")</f>
        <v/>
      </c>
      <c r="C192" s="75"/>
      <c r="D192" s="75"/>
      <c r="E192" s="76"/>
      <c r="F192" s="76"/>
      <c r="G192" s="74"/>
      <c r="H192" s="61"/>
      <c r="I192" s="70">
        <v>1</v>
      </c>
      <c r="J192" s="79" t="s">
        <v>323</v>
      </c>
      <c r="K192" s="80"/>
      <c r="L192" s="80"/>
      <c r="M192" s="80"/>
      <c r="N192" s="80"/>
      <c r="O192" s="80"/>
      <c r="P192" s="80"/>
      <c r="Q192" s="80"/>
      <c r="R192" s="80"/>
      <c r="S192" s="80"/>
      <c r="T192" s="80"/>
      <c r="U192" s="80"/>
      <c r="V192" s="80"/>
      <c r="W192" s="80"/>
      <c r="X192" s="80"/>
      <c r="Y192" s="80"/>
      <c r="Z192" s="80"/>
      <c r="AA192" s="80"/>
      <c r="AB192" s="80"/>
      <c r="AC192" s="80"/>
      <c r="AD192" s="80"/>
      <c r="AE192" s="80"/>
      <c r="AF192" s="80"/>
      <c r="AG192" s="80"/>
      <c r="AH192" s="80"/>
      <c r="AI192" s="80"/>
      <c r="AJ192" s="80"/>
      <c r="AK192" s="80"/>
      <c r="AL192" s="80"/>
      <c r="AM192" s="80"/>
      <c r="AN192" s="80"/>
      <c r="AO192" s="80"/>
      <c r="AP192" s="80"/>
      <c r="AQ192" s="80"/>
      <c r="AR192" s="81"/>
      <c r="AS192" s="63"/>
      <c r="AT192" s="64"/>
      <c r="AU192" s="64"/>
      <c r="AV192" s="64"/>
      <c r="AW192" s="64"/>
      <c r="AX192" s="64"/>
      <c r="AY192" s="64"/>
      <c r="AZ192" s="64"/>
      <c r="BA192" s="64"/>
      <c r="BB192" s="64"/>
      <c r="BC192" s="64"/>
      <c r="BD192" s="64"/>
      <c r="BE192" s="64"/>
      <c r="BF192" s="64"/>
      <c r="BG192" s="64"/>
      <c r="BH192" s="64"/>
      <c r="BI192" s="64"/>
      <c r="BJ192" s="64"/>
      <c r="BK192" s="64"/>
      <c r="BL192" s="64"/>
      <c r="BM192" s="64"/>
      <c r="BN192" s="64"/>
      <c r="BO192" s="64"/>
      <c r="BP192" s="64"/>
      <c r="BQ192" s="64"/>
      <c r="BR192" s="64"/>
      <c r="BS192" s="64"/>
      <c r="BT192" s="64"/>
      <c r="BU192" s="64"/>
      <c r="BV192" s="64"/>
      <c r="BW192" s="64"/>
      <c r="BX192" s="64"/>
      <c r="BY192" s="64"/>
      <c r="BZ192" s="64"/>
      <c r="CA192" s="65"/>
      <c r="CB192" s="74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43"/>
      <c r="CV192" s="43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</row>
    <row r="193" spans="2:130" s="46" customFormat="1" x14ac:dyDescent="0.15">
      <c r="B193" s="75" t="str">
        <f>IF(G193&lt;&gt;"",SUBTOTAL(3,$G$5:G193),"")</f>
        <v/>
      </c>
      <c r="C193" s="75"/>
      <c r="D193" s="75"/>
      <c r="E193" s="76"/>
      <c r="F193" s="76"/>
      <c r="G193" s="74"/>
      <c r="H193" s="61"/>
      <c r="I193" s="70">
        <v>1</v>
      </c>
      <c r="J193" s="79" t="s">
        <v>272</v>
      </c>
      <c r="K193" s="80"/>
      <c r="L193" s="80"/>
      <c r="M193" s="80"/>
      <c r="N193" s="80"/>
      <c r="O193" s="80"/>
      <c r="P193" s="80"/>
      <c r="Q193" s="80"/>
      <c r="R193" s="80"/>
      <c r="S193" s="80"/>
      <c r="T193" s="80"/>
      <c r="U193" s="80"/>
      <c r="V193" s="80"/>
      <c r="W193" s="80"/>
      <c r="X193" s="80"/>
      <c r="Y193" s="80"/>
      <c r="Z193" s="80"/>
      <c r="AA193" s="80"/>
      <c r="AB193" s="80"/>
      <c r="AC193" s="80"/>
      <c r="AD193" s="80"/>
      <c r="AE193" s="80"/>
      <c r="AF193" s="80"/>
      <c r="AG193" s="80"/>
      <c r="AH193" s="80"/>
      <c r="AI193" s="80"/>
      <c r="AJ193" s="80"/>
      <c r="AK193" s="80"/>
      <c r="AL193" s="80"/>
      <c r="AM193" s="80"/>
      <c r="AN193" s="80"/>
      <c r="AO193" s="80"/>
      <c r="AP193" s="80"/>
      <c r="AQ193" s="80"/>
      <c r="AR193" s="81"/>
      <c r="AS193" s="63"/>
      <c r="AT193" s="64"/>
      <c r="AU193" s="64"/>
      <c r="AV193" s="64"/>
      <c r="AW193" s="64"/>
      <c r="AX193" s="64"/>
      <c r="AY193" s="64"/>
      <c r="AZ193" s="64"/>
      <c r="BA193" s="64"/>
      <c r="BB193" s="64"/>
      <c r="BC193" s="64"/>
      <c r="BD193" s="64"/>
      <c r="BE193" s="64"/>
      <c r="BF193" s="64"/>
      <c r="BG193" s="64"/>
      <c r="BH193" s="64"/>
      <c r="BI193" s="64"/>
      <c r="BJ193" s="64"/>
      <c r="BK193" s="64"/>
      <c r="BL193" s="64"/>
      <c r="BM193" s="64"/>
      <c r="BN193" s="64"/>
      <c r="BO193" s="64"/>
      <c r="BP193" s="64"/>
      <c r="BQ193" s="64"/>
      <c r="BR193" s="64"/>
      <c r="BS193" s="64"/>
      <c r="BT193" s="64"/>
      <c r="BU193" s="64"/>
      <c r="BV193" s="64"/>
      <c r="BW193" s="64"/>
      <c r="BX193" s="64"/>
      <c r="BY193" s="64"/>
      <c r="BZ193" s="64"/>
      <c r="CA193" s="65"/>
      <c r="CB193" s="74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43"/>
      <c r="CV193" s="43"/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</row>
    <row r="194" spans="2:130" s="46" customFormat="1" x14ac:dyDescent="0.15">
      <c r="B194" s="75" t="str">
        <f>IF(G194&lt;&gt;"",SUBTOTAL(3,$G$5:G194),"")</f>
        <v/>
      </c>
      <c r="C194" s="75"/>
      <c r="D194" s="75"/>
      <c r="E194" s="76"/>
      <c r="F194" s="76"/>
      <c r="G194" s="74"/>
      <c r="H194" s="61"/>
      <c r="I194" s="70">
        <v>1</v>
      </c>
      <c r="J194" s="79"/>
      <c r="K194" s="80"/>
      <c r="L194" s="80"/>
      <c r="M194" s="80"/>
      <c r="N194" s="80"/>
      <c r="O194" s="80"/>
      <c r="P194" s="80"/>
      <c r="Q194" s="80"/>
      <c r="R194" s="80"/>
      <c r="S194" s="80"/>
      <c r="T194" s="80"/>
      <c r="U194" s="80"/>
      <c r="V194" s="80"/>
      <c r="W194" s="80"/>
      <c r="X194" s="80"/>
      <c r="Y194" s="80"/>
      <c r="Z194" s="80"/>
      <c r="AA194" s="80"/>
      <c r="AB194" s="80"/>
      <c r="AC194" s="80"/>
      <c r="AD194" s="80"/>
      <c r="AE194" s="80"/>
      <c r="AF194" s="80"/>
      <c r="AG194" s="80"/>
      <c r="AH194" s="80"/>
      <c r="AI194" s="80"/>
      <c r="AJ194" s="80"/>
      <c r="AK194" s="80"/>
      <c r="AL194" s="80"/>
      <c r="AM194" s="80"/>
      <c r="AN194" s="80"/>
      <c r="AO194" s="80"/>
      <c r="AP194" s="80"/>
      <c r="AQ194" s="80"/>
      <c r="AR194" s="81"/>
      <c r="AS194" s="63"/>
      <c r="AT194" s="64"/>
      <c r="AU194" s="64"/>
      <c r="AV194" s="64"/>
      <c r="AW194" s="64"/>
      <c r="AX194" s="64"/>
      <c r="AY194" s="64"/>
      <c r="AZ194" s="64"/>
      <c r="BA194" s="64"/>
      <c r="BB194" s="64"/>
      <c r="BC194" s="64"/>
      <c r="BD194" s="64"/>
      <c r="BE194" s="64"/>
      <c r="BF194" s="64"/>
      <c r="BG194" s="64"/>
      <c r="BH194" s="64"/>
      <c r="BI194" s="64"/>
      <c r="BJ194" s="64"/>
      <c r="BK194" s="64"/>
      <c r="BL194" s="64"/>
      <c r="BM194" s="64"/>
      <c r="BN194" s="64"/>
      <c r="BO194" s="64"/>
      <c r="BP194" s="64"/>
      <c r="BQ194" s="64"/>
      <c r="BR194" s="64"/>
      <c r="BS194" s="64"/>
      <c r="BT194" s="64"/>
      <c r="BU194" s="64"/>
      <c r="BV194" s="64"/>
      <c r="BW194" s="64"/>
      <c r="BX194" s="64"/>
      <c r="BY194" s="64"/>
      <c r="BZ194" s="64"/>
      <c r="CA194" s="65"/>
      <c r="CB194" s="74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43"/>
      <c r="CV194" s="43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</row>
    <row r="195" spans="2:130" s="46" customFormat="1" ht="13.5" customHeight="1" x14ac:dyDescent="0.15">
      <c r="B195" s="75">
        <f>IF(G195&lt;&gt;"",SUBTOTAL(3,$G$5:G195),"")</f>
        <v>56</v>
      </c>
      <c r="C195" s="75"/>
      <c r="D195" s="75"/>
      <c r="E195" s="76" t="s">
        <v>139</v>
      </c>
      <c r="F195" s="76" t="s">
        <v>135</v>
      </c>
      <c r="G195" s="74" t="s">
        <v>180</v>
      </c>
      <c r="H195" s="61">
        <v>43961</v>
      </c>
      <c r="I195" s="62"/>
      <c r="J195" s="77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3"/>
      <c r="AN195" s="43"/>
      <c r="AO195" s="43"/>
      <c r="AP195" s="43"/>
      <c r="AQ195" s="43"/>
      <c r="AR195" s="78"/>
      <c r="AS195" s="77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43"/>
      <c r="BR195" s="43"/>
      <c r="BS195" s="43"/>
      <c r="BT195" s="43"/>
      <c r="BU195" s="43"/>
      <c r="BV195" s="43"/>
      <c r="BW195" s="43"/>
      <c r="BX195" s="43"/>
      <c r="BY195" s="43"/>
      <c r="BZ195" s="43"/>
      <c r="CA195" s="78"/>
      <c r="CB195" s="82" t="s">
        <v>13</v>
      </c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43"/>
      <c r="CV195" s="43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</row>
    <row r="196" spans="2:130" s="46" customFormat="1" ht="13.5" customHeight="1" x14ac:dyDescent="0.15">
      <c r="B196" s="75">
        <f>IF(G196&lt;&gt;"",SUBTOTAL(3,$G$5:G196),"")</f>
        <v>57</v>
      </c>
      <c r="C196" s="75"/>
      <c r="D196" s="75"/>
      <c r="E196" s="76" t="s">
        <v>139</v>
      </c>
      <c r="F196" s="76" t="s">
        <v>135</v>
      </c>
      <c r="G196" s="74" t="s">
        <v>181</v>
      </c>
      <c r="H196" s="61">
        <v>43995</v>
      </c>
      <c r="I196" s="62">
        <v>1</v>
      </c>
      <c r="J196" s="77" t="s">
        <v>441</v>
      </c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3"/>
      <c r="AN196" s="43"/>
      <c r="AO196" s="43"/>
      <c r="AP196" s="43"/>
      <c r="AQ196" s="43"/>
      <c r="AR196" s="78"/>
      <c r="AS196" s="77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43"/>
      <c r="BR196" s="43"/>
      <c r="BS196" s="43"/>
      <c r="BT196" s="43"/>
      <c r="BU196" s="43"/>
      <c r="BV196" s="43"/>
      <c r="BW196" s="43"/>
      <c r="BX196" s="43"/>
      <c r="BY196" s="43"/>
      <c r="BZ196" s="43"/>
      <c r="CA196" s="78"/>
      <c r="CB196" s="74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43"/>
      <c r="CV196" s="43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</row>
    <row r="197" spans="2:130" s="46" customFormat="1" ht="13.5" customHeight="1" x14ac:dyDescent="0.15">
      <c r="B197" s="102" t="str">
        <f>IF(G197&lt;&gt;"",SUBTOTAL(3,$G$5:G197),"")</f>
        <v/>
      </c>
      <c r="C197" s="75"/>
      <c r="D197" s="75"/>
      <c r="E197" s="76"/>
      <c r="F197" s="76"/>
      <c r="G197" s="74"/>
      <c r="H197" s="61"/>
      <c r="I197" s="70">
        <v>1</v>
      </c>
      <c r="J197" s="77" t="s">
        <v>442</v>
      </c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3"/>
      <c r="AN197" s="43"/>
      <c r="AO197" s="43"/>
      <c r="AP197" s="43"/>
      <c r="AQ197" s="43"/>
      <c r="AR197" s="78"/>
      <c r="AS197" s="77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43"/>
      <c r="BR197" s="43"/>
      <c r="BS197" s="43"/>
      <c r="BT197" s="43"/>
      <c r="BU197" s="43"/>
      <c r="BV197" s="43"/>
      <c r="BW197" s="43"/>
      <c r="BX197" s="43"/>
      <c r="BY197" s="43"/>
      <c r="BZ197" s="43"/>
      <c r="CA197" s="78"/>
      <c r="CB197" s="74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43"/>
      <c r="CV197" s="43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</row>
    <row r="198" spans="2:130" s="46" customFormat="1" ht="13.5" customHeight="1" x14ac:dyDescent="0.15">
      <c r="B198" s="102" t="str">
        <f>IF(G198&lt;&gt;"",SUBTOTAL(3,$G$5:G198),"")</f>
        <v/>
      </c>
      <c r="C198" s="75"/>
      <c r="D198" s="75"/>
      <c r="E198" s="76"/>
      <c r="F198" s="76"/>
      <c r="G198" s="74"/>
      <c r="H198" s="61"/>
      <c r="I198" s="70">
        <v>1</v>
      </c>
      <c r="J198" s="77" t="s">
        <v>443</v>
      </c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43"/>
      <c r="AN198" s="43"/>
      <c r="AO198" s="43"/>
      <c r="AP198" s="43"/>
      <c r="AQ198" s="43"/>
      <c r="AR198" s="78"/>
      <c r="AS198" s="77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43"/>
      <c r="BR198" s="43"/>
      <c r="BS198" s="43"/>
      <c r="BT198" s="43"/>
      <c r="BU198" s="43"/>
      <c r="BV198" s="43"/>
      <c r="BW198" s="43"/>
      <c r="BX198" s="43"/>
      <c r="BY198" s="43"/>
      <c r="BZ198" s="43"/>
      <c r="CA198" s="78"/>
      <c r="CB198" s="74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43"/>
      <c r="CV198" s="43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</row>
    <row r="199" spans="2:130" s="46" customFormat="1" ht="13.5" customHeight="1" x14ac:dyDescent="0.15">
      <c r="B199" s="102" t="str">
        <f>IF(G199&lt;&gt;"",SUBTOTAL(3,$G$5:G199),"")</f>
        <v/>
      </c>
      <c r="C199" s="75"/>
      <c r="D199" s="75"/>
      <c r="E199" s="76"/>
      <c r="F199" s="76"/>
      <c r="G199" s="74"/>
      <c r="H199" s="61"/>
      <c r="I199" s="70">
        <v>1</v>
      </c>
      <c r="J199" s="77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43"/>
      <c r="AN199" s="43"/>
      <c r="AO199" s="43"/>
      <c r="AP199" s="43"/>
      <c r="AQ199" s="43"/>
      <c r="AR199" s="78"/>
      <c r="AS199" s="77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43"/>
      <c r="BR199" s="43"/>
      <c r="BS199" s="43"/>
      <c r="BT199" s="43"/>
      <c r="BU199" s="43"/>
      <c r="BV199" s="43"/>
      <c r="BW199" s="43"/>
      <c r="BX199" s="43"/>
      <c r="BY199" s="43"/>
      <c r="BZ199" s="43"/>
      <c r="CA199" s="78"/>
      <c r="CB199" s="74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43"/>
      <c r="CV199" s="43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</row>
    <row r="200" spans="2:130" s="46" customFormat="1" ht="13.5" customHeight="1" x14ac:dyDescent="0.15">
      <c r="B200" s="75">
        <f>IF(G200&lt;&gt;"",SUBTOTAL(3,$G$5:G200),"")</f>
        <v>58</v>
      </c>
      <c r="C200" s="75"/>
      <c r="D200" s="75"/>
      <c r="E200" s="76" t="s">
        <v>139</v>
      </c>
      <c r="F200" s="76" t="s">
        <v>135</v>
      </c>
      <c r="G200" s="74" t="s">
        <v>182</v>
      </c>
      <c r="H200" s="61">
        <v>43961</v>
      </c>
      <c r="I200" s="62"/>
      <c r="J200" s="77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43"/>
      <c r="AN200" s="43"/>
      <c r="AO200" s="43"/>
      <c r="AP200" s="43"/>
      <c r="AQ200" s="43"/>
      <c r="AR200" s="78"/>
      <c r="AS200" s="77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43"/>
      <c r="BR200" s="43"/>
      <c r="BS200" s="43"/>
      <c r="BT200" s="43"/>
      <c r="BU200" s="43"/>
      <c r="BV200" s="43"/>
      <c r="BW200" s="43"/>
      <c r="BX200" s="43"/>
      <c r="BY200" s="43"/>
      <c r="BZ200" s="43"/>
      <c r="CA200" s="78"/>
      <c r="CB200" s="74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43"/>
      <c r="CV200" s="43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</row>
    <row r="201" spans="2:130" s="46" customFormat="1" ht="13.5" customHeight="1" x14ac:dyDescent="0.15">
      <c r="B201" s="75">
        <f>IF(G201&lt;&gt;"",SUBTOTAL(3,$G$5:G201),"")</f>
        <v>59</v>
      </c>
      <c r="C201" s="75"/>
      <c r="D201" s="75"/>
      <c r="E201" s="76" t="s">
        <v>139</v>
      </c>
      <c r="F201" s="76" t="s">
        <v>135</v>
      </c>
      <c r="G201" s="74" t="s">
        <v>183</v>
      </c>
      <c r="H201" s="61">
        <v>43961</v>
      </c>
      <c r="I201" s="62"/>
      <c r="J201" s="77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3"/>
      <c r="AN201" s="43"/>
      <c r="AO201" s="43"/>
      <c r="AP201" s="43"/>
      <c r="AQ201" s="43"/>
      <c r="AR201" s="78"/>
      <c r="AS201" s="77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43"/>
      <c r="BR201" s="43"/>
      <c r="BS201" s="43"/>
      <c r="BT201" s="43"/>
      <c r="BU201" s="43"/>
      <c r="BV201" s="43"/>
      <c r="BW201" s="43"/>
      <c r="BX201" s="43"/>
      <c r="BY201" s="43"/>
      <c r="BZ201" s="43"/>
      <c r="CA201" s="78"/>
      <c r="CB201" s="74"/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43"/>
      <c r="CV201" s="43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</row>
    <row r="202" spans="2:130" s="46" customFormat="1" ht="13.5" customHeight="1" x14ac:dyDescent="0.15">
      <c r="B202" s="75">
        <f>IF(G202&lt;&gt;"",SUBTOTAL(3,$G$5:G202),"")</f>
        <v>60</v>
      </c>
      <c r="C202" s="75"/>
      <c r="D202" s="75"/>
      <c r="E202" s="76" t="s">
        <v>139</v>
      </c>
      <c r="F202" s="76" t="s">
        <v>135</v>
      </c>
      <c r="G202" s="74" t="s">
        <v>184</v>
      </c>
      <c r="H202" s="61">
        <v>43995</v>
      </c>
      <c r="I202" s="62"/>
      <c r="J202" s="77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3"/>
      <c r="AN202" s="43"/>
      <c r="AO202" s="43"/>
      <c r="AP202" s="43"/>
      <c r="AQ202" s="43"/>
      <c r="AR202" s="78"/>
      <c r="AS202" s="77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43"/>
      <c r="BR202" s="43"/>
      <c r="BS202" s="43"/>
      <c r="BT202" s="43"/>
      <c r="BU202" s="43"/>
      <c r="BV202" s="43"/>
      <c r="BW202" s="43"/>
      <c r="BX202" s="43"/>
      <c r="BY202" s="43"/>
      <c r="BZ202" s="43"/>
      <c r="CA202" s="78"/>
      <c r="CB202" s="74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43"/>
      <c r="CV202" s="43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</row>
    <row r="203" spans="2:130" s="46" customFormat="1" ht="13.5" customHeight="1" x14ac:dyDescent="0.15">
      <c r="B203" s="75">
        <f>IF(G203&lt;&gt;"",SUBTOTAL(3,$G$5:G203),"")</f>
        <v>61</v>
      </c>
      <c r="C203" s="75"/>
      <c r="D203" s="75"/>
      <c r="E203" s="76" t="s">
        <v>139</v>
      </c>
      <c r="F203" s="76" t="s">
        <v>135</v>
      </c>
      <c r="G203" s="74" t="s">
        <v>185</v>
      </c>
      <c r="H203" s="61">
        <v>44006</v>
      </c>
      <c r="I203" s="62"/>
      <c r="J203" s="77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3"/>
      <c r="AN203" s="43"/>
      <c r="AO203" s="43"/>
      <c r="AP203" s="43"/>
      <c r="AQ203" s="43"/>
      <c r="AR203" s="78"/>
      <c r="AS203" s="77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43"/>
      <c r="BR203" s="43"/>
      <c r="BS203" s="43"/>
      <c r="BT203" s="43"/>
      <c r="BU203" s="43"/>
      <c r="BV203" s="43"/>
      <c r="BW203" s="43"/>
      <c r="BX203" s="43"/>
      <c r="BY203" s="43"/>
      <c r="BZ203" s="43"/>
      <c r="CA203" s="78"/>
      <c r="CB203" s="82" t="s">
        <v>13</v>
      </c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43"/>
      <c r="CV203" s="43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</row>
    <row r="204" spans="2:130" s="46" customFormat="1" ht="13.5" customHeight="1" x14ac:dyDescent="0.15">
      <c r="B204" s="75">
        <f>IF(G204&lt;&gt;"",SUBTOTAL(3,$G$5:G204),"")</f>
        <v>62</v>
      </c>
      <c r="C204" s="75"/>
      <c r="D204" s="75"/>
      <c r="E204" s="76" t="s">
        <v>139</v>
      </c>
      <c r="F204" s="76" t="s">
        <v>135</v>
      </c>
      <c r="G204" s="74" t="s">
        <v>15</v>
      </c>
      <c r="H204" s="61">
        <v>43995</v>
      </c>
      <c r="I204" s="62">
        <v>1</v>
      </c>
      <c r="J204" s="77" t="s">
        <v>428</v>
      </c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43"/>
      <c r="AN204" s="43"/>
      <c r="AO204" s="43"/>
      <c r="AP204" s="43"/>
      <c r="AQ204" s="43"/>
      <c r="AR204" s="78"/>
      <c r="AS204" s="77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43"/>
      <c r="BR204" s="43"/>
      <c r="BS204" s="43"/>
      <c r="BT204" s="43"/>
      <c r="BU204" s="43"/>
      <c r="BV204" s="43"/>
      <c r="BW204" s="43"/>
      <c r="BX204" s="43"/>
      <c r="BY204" s="43"/>
      <c r="BZ204" s="43"/>
      <c r="CA204" s="78"/>
      <c r="CB204" s="82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43"/>
      <c r="CV204" s="43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</row>
    <row r="205" spans="2:130" s="46" customFormat="1" ht="13.5" customHeight="1" x14ac:dyDescent="0.15">
      <c r="B205" s="102" t="str">
        <f>IF(G205&lt;&gt;"",SUBTOTAL(3,$G$5:G205),"")</f>
        <v/>
      </c>
      <c r="C205" s="75"/>
      <c r="D205" s="75"/>
      <c r="E205" s="76"/>
      <c r="F205" s="76"/>
      <c r="G205" s="74"/>
      <c r="H205" s="61"/>
      <c r="I205" s="70">
        <v>1</v>
      </c>
      <c r="J205" s="77" t="s">
        <v>429</v>
      </c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43"/>
      <c r="AN205" s="43"/>
      <c r="AO205" s="43"/>
      <c r="AP205" s="43"/>
      <c r="AQ205" s="43"/>
      <c r="AR205" s="78"/>
      <c r="AS205" s="77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43"/>
      <c r="BR205" s="43"/>
      <c r="BS205" s="43"/>
      <c r="BT205" s="43"/>
      <c r="BU205" s="43"/>
      <c r="BV205" s="43"/>
      <c r="BW205" s="43"/>
      <c r="BX205" s="43"/>
      <c r="BY205" s="43"/>
      <c r="BZ205" s="43"/>
      <c r="CA205" s="78"/>
      <c r="CB205" s="82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43"/>
      <c r="CV205" s="43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</row>
    <row r="206" spans="2:130" s="46" customFormat="1" ht="13.5" customHeight="1" x14ac:dyDescent="0.15">
      <c r="B206" s="102" t="str">
        <f>IF(G206&lt;&gt;"",SUBTOTAL(3,$G$5:G206),"")</f>
        <v/>
      </c>
      <c r="C206" s="75"/>
      <c r="D206" s="75"/>
      <c r="E206" s="76"/>
      <c r="F206" s="76"/>
      <c r="G206" s="74"/>
      <c r="H206" s="61"/>
      <c r="I206" s="70">
        <v>1</v>
      </c>
      <c r="J206" s="77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43"/>
      <c r="AN206" s="43"/>
      <c r="AO206" s="43"/>
      <c r="AP206" s="43"/>
      <c r="AQ206" s="43"/>
      <c r="AR206" s="78"/>
      <c r="AS206" s="77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43"/>
      <c r="BR206" s="43"/>
      <c r="BS206" s="43"/>
      <c r="BT206" s="43"/>
      <c r="BU206" s="43"/>
      <c r="BV206" s="43"/>
      <c r="BW206" s="43"/>
      <c r="BX206" s="43"/>
      <c r="BY206" s="43"/>
      <c r="BZ206" s="43"/>
      <c r="CA206" s="78"/>
      <c r="CB206" s="82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43"/>
      <c r="CV206" s="43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</row>
    <row r="207" spans="2:130" s="46" customFormat="1" ht="13.5" customHeight="1" x14ac:dyDescent="0.15">
      <c r="B207" s="75">
        <f>IF(G207&lt;&gt;"",SUBTOTAL(3,$G$5:G207),"")</f>
        <v>63</v>
      </c>
      <c r="C207" s="75"/>
      <c r="D207" s="75"/>
      <c r="E207" s="76" t="s">
        <v>139</v>
      </c>
      <c r="F207" s="76" t="s">
        <v>135</v>
      </c>
      <c r="G207" s="74" t="s">
        <v>186</v>
      </c>
      <c r="H207" s="61">
        <v>43871</v>
      </c>
      <c r="I207" s="62">
        <v>1</v>
      </c>
      <c r="J207" s="77" t="s">
        <v>436</v>
      </c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3"/>
      <c r="AN207" s="43"/>
      <c r="AO207" s="43"/>
      <c r="AP207" s="43"/>
      <c r="AQ207" s="43"/>
      <c r="AR207" s="78"/>
      <c r="AS207" s="77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43"/>
      <c r="BR207" s="43"/>
      <c r="BS207" s="43"/>
      <c r="BT207" s="43"/>
      <c r="BU207" s="43"/>
      <c r="BV207" s="43"/>
      <c r="BW207" s="43"/>
      <c r="BX207" s="43"/>
      <c r="BY207" s="43"/>
      <c r="BZ207" s="43"/>
      <c r="CA207" s="78"/>
      <c r="CB207" s="82" t="s">
        <v>13</v>
      </c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43"/>
      <c r="CV207" s="43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</row>
    <row r="208" spans="2:130" s="46" customFormat="1" ht="13.5" customHeight="1" x14ac:dyDescent="0.15">
      <c r="B208" s="102" t="str">
        <f>IF(G208&lt;&gt;"",SUBTOTAL(3,$G$5:G208),"")</f>
        <v/>
      </c>
      <c r="C208" s="75"/>
      <c r="D208" s="75"/>
      <c r="E208" s="76"/>
      <c r="F208" s="76"/>
      <c r="G208" s="74"/>
      <c r="H208" s="61"/>
      <c r="I208" s="70">
        <v>1</v>
      </c>
      <c r="J208" s="77" t="s">
        <v>437</v>
      </c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3"/>
      <c r="AN208" s="43"/>
      <c r="AO208" s="43"/>
      <c r="AP208" s="43"/>
      <c r="AQ208" s="43"/>
      <c r="AR208" s="78"/>
      <c r="AS208" s="77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43"/>
      <c r="BR208" s="43"/>
      <c r="BS208" s="43"/>
      <c r="BT208" s="43"/>
      <c r="BU208" s="43"/>
      <c r="BV208" s="43"/>
      <c r="BW208" s="43"/>
      <c r="BX208" s="43"/>
      <c r="BY208" s="43"/>
      <c r="BZ208" s="43"/>
      <c r="CA208" s="78"/>
      <c r="CB208" s="82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43"/>
      <c r="CV208" s="43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</row>
    <row r="209" spans="2:130" s="46" customFormat="1" ht="13.5" customHeight="1" x14ac:dyDescent="0.15">
      <c r="B209" s="102" t="str">
        <f>IF(G209&lt;&gt;"",SUBTOTAL(3,$G$5:G209),"")</f>
        <v/>
      </c>
      <c r="C209" s="75"/>
      <c r="D209" s="75"/>
      <c r="E209" s="76"/>
      <c r="F209" s="76"/>
      <c r="G209" s="74"/>
      <c r="H209" s="61"/>
      <c r="I209" s="70">
        <v>1</v>
      </c>
      <c r="J209" s="77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3"/>
      <c r="AN209" s="43"/>
      <c r="AO209" s="43"/>
      <c r="AP209" s="43"/>
      <c r="AQ209" s="43"/>
      <c r="AR209" s="78"/>
      <c r="AS209" s="77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43"/>
      <c r="BR209" s="43"/>
      <c r="BS209" s="43"/>
      <c r="BT209" s="43"/>
      <c r="BU209" s="43"/>
      <c r="BV209" s="43"/>
      <c r="BW209" s="43"/>
      <c r="BX209" s="43"/>
      <c r="BY209" s="43"/>
      <c r="BZ209" s="43"/>
      <c r="CA209" s="78"/>
      <c r="CB209" s="82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43"/>
      <c r="CV209" s="43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</row>
    <row r="210" spans="2:130" s="46" customFormat="1" ht="13.5" customHeight="1" x14ac:dyDescent="0.15">
      <c r="B210" s="75">
        <f>IF(G210&lt;&gt;"",SUBTOTAL(3,$G$5:G210),"")</f>
        <v>64</v>
      </c>
      <c r="C210" s="75"/>
      <c r="D210" s="75"/>
      <c r="E210" s="76" t="s">
        <v>139</v>
      </c>
      <c r="F210" s="76" t="s">
        <v>135</v>
      </c>
      <c r="G210" s="74" t="s">
        <v>187</v>
      </c>
      <c r="H210" s="61">
        <v>43936</v>
      </c>
      <c r="I210" s="62">
        <v>1</v>
      </c>
      <c r="J210" s="77" t="s">
        <v>432</v>
      </c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43"/>
      <c r="AN210" s="43"/>
      <c r="AO210" s="43"/>
      <c r="AP210" s="43"/>
      <c r="AQ210" s="43"/>
      <c r="AR210" s="78"/>
      <c r="AS210" s="77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43"/>
      <c r="BR210" s="43"/>
      <c r="BS210" s="43"/>
      <c r="BT210" s="43"/>
      <c r="BU210" s="43"/>
      <c r="BV210" s="43"/>
      <c r="BW210" s="43"/>
      <c r="BX210" s="43"/>
      <c r="BY210" s="43"/>
      <c r="BZ210" s="43"/>
      <c r="CA210" s="78"/>
      <c r="CB210" s="74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43"/>
      <c r="CV210" s="43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</row>
    <row r="211" spans="2:130" s="46" customFormat="1" ht="13.5" customHeight="1" x14ac:dyDescent="0.15">
      <c r="B211" s="102" t="str">
        <f>IF(G211&lt;&gt;"",SUBTOTAL(3,$G$5:G211),"")</f>
        <v/>
      </c>
      <c r="C211" s="75"/>
      <c r="D211" s="75"/>
      <c r="E211" s="76"/>
      <c r="F211" s="76"/>
      <c r="G211" s="74"/>
      <c r="H211" s="61"/>
      <c r="I211" s="70">
        <v>1</v>
      </c>
      <c r="J211" s="77" t="s">
        <v>433</v>
      </c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43"/>
      <c r="AN211" s="43"/>
      <c r="AO211" s="43"/>
      <c r="AP211" s="43"/>
      <c r="AQ211" s="43"/>
      <c r="AR211" s="78"/>
      <c r="AS211" s="77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43"/>
      <c r="BR211" s="43"/>
      <c r="BS211" s="43"/>
      <c r="BT211" s="43"/>
      <c r="BU211" s="43"/>
      <c r="BV211" s="43"/>
      <c r="BW211" s="43"/>
      <c r="BX211" s="43"/>
      <c r="BY211" s="43"/>
      <c r="BZ211" s="43"/>
      <c r="CA211" s="78"/>
      <c r="CB211" s="74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43"/>
      <c r="CV211" s="43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</row>
    <row r="212" spans="2:130" s="46" customFormat="1" ht="13.5" customHeight="1" x14ac:dyDescent="0.15">
      <c r="B212" s="102" t="str">
        <f>IF(G212&lt;&gt;"",SUBTOTAL(3,$G$5:G212),"")</f>
        <v/>
      </c>
      <c r="C212" s="75"/>
      <c r="D212" s="75"/>
      <c r="E212" s="76"/>
      <c r="F212" s="76"/>
      <c r="G212" s="74"/>
      <c r="H212" s="61"/>
      <c r="I212" s="70">
        <v>1</v>
      </c>
      <c r="J212" s="77" t="s">
        <v>434</v>
      </c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43"/>
      <c r="AN212" s="43"/>
      <c r="AO212" s="43"/>
      <c r="AP212" s="43"/>
      <c r="AQ212" s="43"/>
      <c r="AR212" s="78"/>
      <c r="AS212" s="77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43"/>
      <c r="BR212" s="43"/>
      <c r="BS212" s="43"/>
      <c r="BT212" s="43"/>
      <c r="BU212" s="43"/>
      <c r="BV212" s="43"/>
      <c r="BW212" s="43"/>
      <c r="BX212" s="43"/>
      <c r="BY212" s="43"/>
      <c r="BZ212" s="43"/>
      <c r="CA212" s="78"/>
      <c r="CB212" s="74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43"/>
      <c r="CV212" s="43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</row>
    <row r="213" spans="2:130" s="46" customFormat="1" ht="13.5" customHeight="1" x14ac:dyDescent="0.15">
      <c r="B213" s="102" t="str">
        <f>IF(G213&lt;&gt;"",SUBTOTAL(3,$G$5:G213),"")</f>
        <v/>
      </c>
      <c r="C213" s="75"/>
      <c r="D213" s="75"/>
      <c r="E213" s="76"/>
      <c r="F213" s="76"/>
      <c r="G213" s="74"/>
      <c r="H213" s="61"/>
      <c r="I213" s="70">
        <v>1</v>
      </c>
      <c r="J213" s="77" t="s">
        <v>435</v>
      </c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3"/>
      <c r="AN213" s="43"/>
      <c r="AO213" s="43"/>
      <c r="AP213" s="43"/>
      <c r="AQ213" s="43"/>
      <c r="AR213" s="78"/>
      <c r="AS213" s="77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43"/>
      <c r="BR213" s="43"/>
      <c r="BS213" s="43"/>
      <c r="BT213" s="43"/>
      <c r="BU213" s="43"/>
      <c r="BV213" s="43"/>
      <c r="BW213" s="43"/>
      <c r="BX213" s="43"/>
      <c r="BY213" s="43"/>
      <c r="BZ213" s="43"/>
      <c r="CA213" s="78"/>
      <c r="CB213" s="74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43"/>
      <c r="CV213" s="43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</row>
    <row r="214" spans="2:130" s="46" customFormat="1" ht="13.5" customHeight="1" x14ac:dyDescent="0.15">
      <c r="B214" s="102" t="str">
        <f>IF(G214&lt;&gt;"",SUBTOTAL(3,$G$5:G214),"")</f>
        <v/>
      </c>
      <c r="C214" s="75"/>
      <c r="D214" s="75"/>
      <c r="E214" s="76"/>
      <c r="F214" s="76"/>
      <c r="G214" s="74"/>
      <c r="H214" s="61"/>
      <c r="I214" s="70">
        <v>1</v>
      </c>
      <c r="J214" s="77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3"/>
      <c r="AN214" s="43"/>
      <c r="AO214" s="43"/>
      <c r="AP214" s="43"/>
      <c r="AQ214" s="43"/>
      <c r="AR214" s="78"/>
      <c r="AS214" s="77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43"/>
      <c r="BR214" s="43"/>
      <c r="BS214" s="43"/>
      <c r="BT214" s="43"/>
      <c r="BU214" s="43"/>
      <c r="BV214" s="43"/>
      <c r="BW214" s="43"/>
      <c r="BX214" s="43"/>
      <c r="BY214" s="43"/>
      <c r="BZ214" s="43"/>
      <c r="CA214" s="78"/>
      <c r="CB214" s="74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43"/>
      <c r="CV214" s="43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</row>
    <row r="215" spans="2:130" s="46" customFormat="1" ht="13.5" customHeight="1" x14ac:dyDescent="0.15">
      <c r="B215" s="75">
        <f>IF(G215&lt;&gt;"",SUBTOTAL(3,$G$5:G215),"")</f>
        <v>65</v>
      </c>
      <c r="C215" s="75"/>
      <c r="D215" s="75"/>
      <c r="E215" s="76" t="s">
        <v>139</v>
      </c>
      <c r="F215" s="76" t="s">
        <v>135</v>
      </c>
      <c r="G215" s="74" t="s">
        <v>188</v>
      </c>
      <c r="H215" s="61">
        <v>43935</v>
      </c>
      <c r="I215" s="62">
        <v>1</v>
      </c>
      <c r="J215" s="77" t="s">
        <v>431</v>
      </c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3"/>
      <c r="AN215" s="43"/>
      <c r="AO215" s="43"/>
      <c r="AP215" s="43"/>
      <c r="AQ215" s="43"/>
      <c r="AR215" s="78"/>
      <c r="AS215" s="77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43"/>
      <c r="BR215" s="43"/>
      <c r="BS215" s="43"/>
      <c r="BT215" s="43"/>
      <c r="BU215" s="43"/>
      <c r="BV215" s="43"/>
      <c r="BW215" s="43"/>
      <c r="BX215" s="43"/>
      <c r="BY215" s="43"/>
      <c r="BZ215" s="43"/>
      <c r="CA215" s="78"/>
      <c r="CB215" s="74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43"/>
      <c r="CV215" s="43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</row>
    <row r="216" spans="2:130" s="46" customFormat="1" ht="13.5" customHeight="1" x14ac:dyDescent="0.15">
      <c r="B216" s="102" t="str">
        <f>IF(G216&lt;&gt;"",SUBTOTAL(3,$G$5:G216),"")</f>
        <v/>
      </c>
      <c r="C216" s="75"/>
      <c r="D216" s="75"/>
      <c r="E216" s="76"/>
      <c r="F216" s="76"/>
      <c r="G216" s="74"/>
      <c r="H216" s="61"/>
      <c r="I216" s="70">
        <v>1</v>
      </c>
      <c r="J216" s="77" t="s">
        <v>430</v>
      </c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43"/>
      <c r="AN216" s="43"/>
      <c r="AO216" s="43"/>
      <c r="AP216" s="43"/>
      <c r="AQ216" s="43"/>
      <c r="AR216" s="78"/>
      <c r="AS216" s="77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43"/>
      <c r="BR216" s="43"/>
      <c r="BS216" s="43"/>
      <c r="BT216" s="43"/>
      <c r="BU216" s="43"/>
      <c r="BV216" s="43"/>
      <c r="BW216" s="43"/>
      <c r="BX216" s="43"/>
      <c r="BY216" s="43"/>
      <c r="BZ216" s="43"/>
      <c r="CA216" s="78"/>
      <c r="CB216" s="74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43"/>
      <c r="CV216" s="43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</row>
    <row r="217" spans="2:130" s="46" customFormat="1" ht="13.5" customHeight="1" x14ac:dyDescent="0.15">
      <c r="B217" s="102" t="str">
        <f>IF(G217&lt;&gt;"",SUBTOTAL(3,$G$5:G217),"")</f>
        <v/>
      </c>
      <c r="C217" s="75"/>
      <c r="D217" s="75"/>
      <c r="E217" s="76"/>
      <c r="F217" s="76"/>
      <c r="G217" s="74"/>
      <c r="H217" s="61"/>
      <c r="I217" s="70">
        <v>1</v>
      </c>
      <c r="J217" s="77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43"/>
      <c r="AN217" s="43"/>
      <c r="AO217" s="43"/>
      <c r="AP217" s="43"/>
      <c r="AQ217" s="43"/>
      <c r="AR217" s="78"/>
      <c r="AS217" s="77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43"/>
      <c r="BR217" s="43"/>
      <c r="BS217" s="43"/>
      <c r="BT217" s="43"/>
      <c r="BU217" s="43"/>
      <c r="BV217" s="43"/>
      <c r="BW217" s="43"/>
      <c r="BX217" s="43"/>
      <c r="BY217" s="43"/>
      <c r="BZ217" s="43"/>
      <c r="CA217" s="78"/>
      <c r="CB217" s="74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43"/>
      <c r="CV217" s="43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</row>
    <row r="218" spans="2:130" s="46" customFormat="1" ht="13.5" customHeight="1" x14ac:dyDescent="0.15">
      <c r="B218" s="75">
        <f>IF(G218&lt;&gt;"",SUBTOTAL(3,$G$5:G218),"")</f>
        <v>66</v>
      </c>
      <c r="C218" s="75"/>
      <c r="D218" s="75"/>
      <c r="E218" s="76" t="s">
        <v>139</v>
      </c>
      <c r="F218" s="76" t="s">
        <v>135</v>
      </c>
      <c r="G218" s="74" t="s">
        <v>189</v>
      </c>
      <c r="H218" s="61">
        <v>43919</v>
      </c>
      <c r="I218" s="62"/>
      <c r="J218" s="77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43"/>
      <c r="AN218" s="43"/>
      <c r="AO218" s="43"/>
      <c r="AP218" s="43"/>
      <c r="AQ218" s="43"/>
      <c r="AR218" s="78"/>
      <c r="AS218" s="77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43"/>
      <c r="BR218" s="43"/>
      <c r="BS218" s="43"/>
      <c r="BT218" s="43"/>
      <c r="BU218" s="43"/>
      <c r="BV218" s="43"/>
      <c r="BW218" s="43"/>
      <c r="BX218" s="43"/>
      <c r="BY218" s="43"/>
      <c r="BZ218" s="43"/>
      <c r="CA218" s="78"/>
      <c r="CB218" s="74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43"/>
      <c r="CV218" s="43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</row>
    <row r="219" spans="2:130" s="46" customFormat="1" ht="13.5" customHeight="1" x14ac:dyDescent="0.15">
      <c r="B219" s="75">
        <f>IF(G219&lt;&gt;"",SUBTOTAL(3,$G$5:G219),"")</f>
        <v>67</v>
      </c>
      <c r="C219" s="75"/>
      <c r="D219" s="75"/>
      <c r="E219" s="76" t="s">
        <v>139</v>
      </c>
      <c r="F219" s="76" t="s">
        <v>135</v>
      </c>
      <c r="G219" s="74" t="s">
        <v>190</v>
      </c>
      <c r="H219" s="61">
        <v>43995</v>
      </c>
      <c r="I219" s="62">
        <v>1</v>
      </c>
      <c r="J219" s="77" t="s">
        <v>444</v>
      </c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3"/>
      <c r="AN219" s="43"/>
      <c r="AO219" s="43"/>
      <c r="AP219" s="43"/>
      <c r="AQ219" s="43"/>
      <c r="AR219" s="78"/>
      <c r="AS219" s="77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43"/>
      <c r="BR219" s="43"/>
      <c r="BS219" s="43"/>
      <c r="BT219" s="43"/>
      <c r="BU219" s="43"/>
      <c r="BV219" s="43"/>
      <c r="BW219" s="43"/>
      <c r="BX219" s="43"/>
      <c r="BY219" s="43"/>
      <c r="BZ219" s="43"/>
      <c r="CA219" s="78"/>
      <c r="CB219" s="74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43"/>
      <c r="CV219" s="43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</row>
    <row r="220" spans="2:130" s="46" customFormat="1" ht="13.5" customHeight="1" x14ac:dyDescent="0.15">
      <c r="B220" s="102" t="str">
        <f>IF(G220&lt;&gt;"",SUBTOTAL(3,$G$5:G220),"")</f>
        <v/>
      </c>
      <c r="C220" s="75"/>
      <c r="D220" s="75"/>
      <c r="E220" s="76"/>
      <c r="F220" s="76"/>
      <c r="G220" s="74"/>
      <c r="H220" s="61"/>
      <c r="I220" s="70">
        <v>1</v>
      </c>
      <c r="J220" s="77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3"/>
      <c r="AN220" s="43"/>
      <c r="AO220" s="43"/>
      <c r="AP220" s="43"/>
      <c r="AQ220" s="43"/>
      <c r="AR220" s="78"/>
      <c r="AS220" s="77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43"/>
      <c r="BR220" s="43"/>
      <c r="BS220" s="43"/>
      <c r="BT220" s="43"/>
      <c r="BU220" s="43"/>
      <c r="BV220" s="43"/>
      <c r="BW220" s="43"/>
      <c r="BX220" s="43"/>
      <c r="BY220" s="43"/>
      <c r="BZ220" s="43"/>
      <c r="CA220" s="78"/>
      <c r="CB220" s="74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43"/>
      <c r="CV220" s="43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</row>
    <row r="221" spans="2:130" s="46" customFormat="1" ht="13.5" customHeight="1" x14ac:dyDescent="0.15">
      <c r="B221" s="75">
        <f>IF(G221&lt;&gt;"",SUBTOTAL(3,$G$5:G221),"")</f>
        <v>68</v>
      </c>
      <c r="C221" s="75"/>
      <c r="D221" s="75"/>
      <c r="E221" s="76" t="s">
        <v>139</v>
      </c>
      <c r="F221" s="76" t="s">
        <v>135</v>
      </c>
      <c r="G221" s="74" t="s">
        <v>191</v>
      </c>
      <c r="H221" s="61">
        <v>43975</v>
      </c>
      <c r="I221" s="62"/>
      <c r="J221" s="77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3"/>
      <c r="AN221" s="43"/>
      <c r="AO221" s="43"/>
      <c r="AP221" s="43"/>
      <c r="AQ221" s="43"/>
      <c r="AR221" s="78"/>
      <c r="AS221" s="77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43"/>
      <c r="BR221" s="43"/>
      <c r="BS221" s="43"/>
      <c r="BT221" s="43"/>
      <c r="BU221" s="43"/>
      <c r="BV221" s="43"/>
      <c r="BW221" s="43"/>
      <c r="BX221" s="43"/>
      <c r="BY221" s="43"/>
      <c r="BZ221" s="43"/>
      <c r="CA221" s="78"/>
      <c r="CB221" s="74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43"/>
      <c r="CV221" s="43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</row>
    <row r="222" spans="2:130" s="46" customFormat="1" ht="13.5" customHeight="1" x14ac:dyDescent="0.15">
      <c r="B222" s="75">
        <f>IF(G222&lt;&gt;"",SUBTOTAL(3,$G$5:G222),"")</f>
        <v>69</v>
      </c>
      <c r="C222" s="75"/>
      <c r="D222" s="75"/>
      <c r="E222" s="76" t="s">
        <v>139</v>
      </c>
      <c r="F222" s="76" t="s">
        <v>135</v>
      </c>
      <c r="G222" s="74" t="s">
        <v>192</v>
      </c>
      <c r="H222" s="61">
        <v>43975</v>
      </c>
      <c r="I222" s="62"/>
      <c r="J222" s="77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43"/>
      <c r="AN222" s="43"/>
      <c r="AO222" s="43"/>
      <c r="AP222" s="43"/>
      <c r="AQ222" s="43"/>
      <c r="AR222" s="78"/>
      <c r="AS222" s="77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43"/>
      <c r="BR222" s="43"/>
      <c r="BS222" s="43"/>
      <c r="BT222" s="43"/>
      <c r="BU222" s="43"/>
      <c r="BV222" s="43"/>
      <c r="BW222" s="43"/>
      <c r="BX222" s="43"/>
      <c r="BY222" s="43"/>
      <c r="BZ222" s="43"/>
      <c r="CA222" s="78"/>
      <c r="CB222" s="74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43"/>
      <c r="CV222" s="43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</row>
    <row r="223" spans="2:130" s="46" customFormat="1" ht="13.5" customHeight="1" x14ac:dyDescent="0.15">
      <c r="B223" s="75">
        <f>IF(G223&lt;&gt;"",SUBTOTAL(3,$G$5:G223),"")</f>
        <v>70</v>
      </c>
      <c r="C223" s="75"/>
      <c r="D223" s="75"/>
      <c r="E223" s="76" t="s">
        <v>139</v>
      </c>
      <c r="F223" s="76" t="s">
        <v>135</v>
      </c>
      <c r="G223" s="74" t="s">
        <v>193</v>
      </c>
      <c r="H223" s="61">
        <v>43975</v>
      </c>
      <c r="I223" s="62"/>
      <c r="J223" s="77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43"/>
      <c r="AN223" s="43"/>
      <c r="AO223" s="43"/>
      <c r="AP223" s="43"/>
      <c r="AQ223" s="43"/>
      <c r="AR223" s="78"/>
      <c r="AS223" s="77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43"/>
      <c r="BR223" s="43"/>
      <c r="BS223" s="43"/>
      <c r="BT223" s="43"/>
      <c r="BU223" s="43"/>
      <c r="BV223" s="43"/>
      <c r="BW223" s="43"/>
      <c r="BX223" s="43"/>
      <c r="BY223" s="43"/>
      <c r="BZ223" s="43"/>
      <c r="CA223" s="78"/>
      <c r="CB223" s="74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43"/>
      <c r="CV223" s="43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</row>
    <row r="224" spans="2:130" s="46" customFormat="1" ht="13.5" customHeight="1" x14ac:dyDescent="0.15">
      <c r="B224" s="75">
        <f>IF(G224&lt;&gt;"",SUBTOTAL(3,$G$5:G224),"")</f>
        <v>71</v>
      </c>
      <c r="C224" s="75"/>
      <c r="D224" s="75"/>
      <c r="E224" s="76" t="s">
        <v>139</v>
      </c>
      <c r="F224" s="76" t="s">
        <v>135</v>
      </c>
      <c r="G224" s="74" t="s">
        <v>194</v>
      </c>
      <c r="H224" s="61">
        <v>43975</v>
      </c>
      <c r="I224" s="62">
        <v>1</v>
      </c>
      <c r="J224" s="77" t="s">
        <v>445</v>
      </c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43"/>
      <c r="AN224" s="43"/>
      <c r="AO224" s="43"/>
      <c r="AP224" s="43"/>
      <c r="AQ224" s="43"/>
      <c r="AR224" s="78"/>
      <c r="AS224" s="77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43"/>
      <c r="BR224" s="43"/>
      <c r="BS224" s="43"/>
      <c r="BT224" s="43"/>
      <c r="BU224" s="43"/>
      <c r="BV224" s="43"/>
      <c r="BW224" s="43"/>
      <c r="BX224" s="43"/>
      <c r="BY224" s="43"/>
      <c r="BZ224" s="43"/>
      <c r="CA224" s="78"/>
      <c r="CB224" s="74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43"/>
      <c r="CV224" s="43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</row>
    <row r="225" spans="2:130" s="46" customFormat="1" ht="13.5" customHeight="1" x14ac:dyDescent="0.15">
      <c r="B225" s="102" t="str">
        <f>IF(G225&lt;&gt;"",SUBTOTAL(3,$G$5:G225),"")</f>
        <v/>
      </c>
      <c r="C225" s="75"/>
      <c r="D225" s="75"/>
      <c r="E225" s="76"/>
      <c r="F225" s="76"/>
      <c r="G225" s="74"/>
      <c r="H225" s="61"/>
      <c r="I225" s="70">
        <v>1</v>
      </c>
      <c r="J225" s="77" t="s">
        <v>446</v>
      </c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3"/>
      <c r="AN225" s="43"/>
      <c r="AO225" s="43"/>
      <c r="AP225" s="43"/>
      <c r="AQ225" s="43"/>
      <c r="AR225" s="78"/>
      <c r="AS225" s="77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43"/>
      <c r="BR225" s="43"/>
      <c r="BS225" s="43"/>
      <c r="BT225" s="43"/>
      <c r="BU225" s="43"/>
      <c r="BV225" s="43"/>
      <c r="BW225" s="43"/>
      <c r="BX225" s="43"/>
      <c r="BY225" s="43"/>
      <c r="BZ225" s="43"/>
      <c r="CA225" s="78"/>
      <c r="CB225" s="74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43"/>
      <c r="CV225" s="43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</row>
    <row r="226" spans="2:130" s="46" customFormat="1" ht="13.5" customHeight="1" x14ac:dyDescent="0.15">
      <c r="B226" s="102" t="str">
        <f>IF(G226&lt;&gt;"",SUBTOTAL(3,$G$5:G226),"")</f>
        <v/>
      </c>
      <c r="C226" s="75"/>
      <c r="D226" s="75"/>
      <c r="E226" s="76"/>
      <c r="F226" s="76"/>
      <c r="G226" s="74"/>
      <c r="H226" s="61"/>
      <c r="I226" s="70">
        <v>1</v>
      </c>
      <c r="J226" s="77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3"/>
      <c r="AN226" s="43"/>
      <c r="AO226" s="43"/>
      <c r="AP226" s="43"/>
      <c r="AQ226" s="43"/>
      <c r="AR226" s="78"/>
      <c r="AS226" s="77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43"/>
      <c r="BR226" s="43"/>
      <c r="BS226" s="43"/>
      <c r="BT226" s="43"/>
      <c r="BU226" s="43"/>
      <c r="BV226" s="43"/>
      <c r="BW226" s="43"/>
      <c r="BX226" s="43"/>
      <c r="BY226" s="43"/>
      <c r="BZ226" s="43"/>
      <c r="CA226" s="78"/>
      <c r="CB226" s="74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43"/>
      <c r="CV226" s="43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</row>
    <row r="227" spans="2:130" s="46" customFormat="1" ht="13.5" customHeight="1" x14ac:dyDescent="0.15">
      <c r="B227" s="75">
        <f>IF(G227&lt;&gt;"",SUBTOTAL(3,$G$5:G227),"")</f>
        <v>72</v>
      </c>
      <c r="C227" s="75"/>
      <c r="D227" s="75"/>
      <c r="E227" s="76" t="s">
        <v>139</v>
      </c>
      <c r="F227" s="76" t="s">
        <v>135</v>
      </c>
      <c r="G227" s="74" t="s">
        <v>195</v>
      </c>
      <c r="H227" s="61">
        <v>43977</v>
      </c>
      <c r="I227" s="62">
        <v>1</v>
      </c>
      <c r="J227" s="77" t="s">
        <v>447</v>
      </c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3"/>
      <c r="AN227" s="43"/>
      <c r="AO227" s="43"/>
      <c r="AP227" s="43"/>
      <c r="AQ227" s="43"/>
      <c r="AR227" s="78"/>
      <c r="AS227" s="77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43"/>
      <c r="BR227" s="43"/>
      <c r="BS227" s="43"/>
      <c r="BT227" s="43"/>
      <c r="BU227" s="43"/>
      <c r="BV227" s="43"/>
      <c r="BW227" s="43"/>
      <c r="BX227" s="43"/>
      <c r="BY227" s="43"/>
      <c r="BZ227" s="43"/>
      <c r="CA227" s="78"/>
      <c r="CB227" s="74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43"/>
      <c r="CV227" s="43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</row>
    <row r="228" spans="2:130" s="46" customFormat="1" ht="13.5" customHeight="1" x14ac:dyDescent="0.15">
      <c r="B228" s="102" t="str">
        <f>IF(G228&lt;&gt;"",SUBTOTAL(3,$G$5:G228),"")</f>
        <v/>
      </c>
      <c r="C228" s="75"/>
      <c r="D228" s="75"/>
      <c r="E228" s="76"/>
      <c r="F228" s="76"/>
      <c r="G228" s="74"/>
      <c r="H228" s="61"/>
      <c r="I228" s="70">
        <v>1</v>
      </c>
      <c r="J228" s="77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43"/>
      <c r="AN228" s="43"/>
      <c r="AO228" s="43"/>
      <c r="AP228" s="43"/>
      <c r="AQ228" s="43"/>
      <c r="AR228" s="78"/>
      <c r="AS228" s="77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43"/>
      <c r="BR228" s="43"/>
      <c r="BS228" s="43"/>
      <c r="BT228" s="43"/>
      <c r="BU228" s="43"/>
      <c r="BV228" s="43"/>
      <c r="BW228" s="43"/>
      <c r="BX228" s="43"/>
      <c r="BY228" s="43"/>
      <c r="BZ228" s="43"/>
      <c r="CA228" s="78"/>
      <c r="CB228" s="74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43"/>
      <c r="CV228" s="43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</row>
    <row r="229" spans="2:130" s="46" customFormat="1" ht="13.5" customHeight="1" x14ac:dyDescent="0.15">
      <c r="B229" s="75">
        <f>IF(G229&lt;&gt;"",SUBTOTAL(3,$G$5:G229),"")</f>
        <v>73</v>
      </c>
      <c r="C229" s="75"/>
      <c r="D229" s="75"/>
      <c r="E229" s="76" t="s">
        <v>139</v>
      </c>
      <c r="F229" s="76" t="s">
        <v>135</v>
      </c>
      <c r="G229" s="74" t="s">
        <v>196</v>
      </c>
      <c r="H229" s="61">
        <v>43977</v>
      </c>
      <c r="I229" s="62">
        <v>1</v>
      </c>
      <c r="J229" s="77" t="s">
        <v>448</v>
      </c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43"/>
      <c r="AN229" s="43"/>
      <c r="AO229" s="43"/>
      <c r="AP229" s="43"/>
      <c r="AQ229" s="43"/>
      <c r="AR229" s="78"/>
      <c r="AS229" s="77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43"/>
      <c r="BR229" s="43"/>
      <c r="BS229" s="43"/>
      <c r="BT229" s="43"/>
      <c r="BU229" s="43"/>
      <c r="BV229" s="43"/>
      <c r="BW229" s="43"/>
      <c r="BX229" s="43"/>
      <c r="BY229" s="43"/>
      <c r="BZ229" s="43"/>
      <c r="CA229" s="78"/>
      <c r="CB229" s="74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43"/>
      <c r="CV229" s="43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</row>
    <row r="230" spans="2:130" s="46" customFormat="1" ht="13.5" customHeight="1" x14ac:dyDescent="0.15">
      <c r="B230" s="102" t="str">
        <f>IF(G230&lt;&gt;"",SUBTOTAL(3,$G$5:G230),"")</f>
        <v/>
      </c>
      <c r="C230" s="75"/>
      <c r="D230" s="75"/>
      <c r="E230" s="76"/>
      <c r="F230" s="76"/>
      <c r="G230" s="74"/>
      <c r="H230" s="61"/>
      <c r="I230" s="70">
        <v>1</v>
      </c>
      <c r="J230" s="77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43"/>
      <c r="AN230" s="43"/>
      <c r="AO230" s="43"/>
      <c r="AP230" s="43"/>
      <c r="AQ230" s="43"/>
      <c r="AR230" s="78"/>
      <c r="AS230" s="77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43"/>
      <c r="BR230" s="43"/>
      <c r="BS230" s="43"/>
      <c r="BT230" s="43"/>
      <c r="BU230" s="43"/>
      <c r="BV230" s="43"/>
      <c r="BW230" s="43"/>
      <c r="BX230" s="43"/>
      <c r="BY230" s="43"/>
      <c r="BZ230" s="43"/>
      <c r="CA230" s="78"/>
      <c r="CB230" s="74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43"/>
      <c r="CV230" s="43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</row>
    <row r="231" spans="2:130" s="46" customFormat="1" ht="13.5" customHeight="1" x14ac:dyDescent="0.15">
      <c r="B231" s="75">
        <f>IF(G231&lt;&gt;"",SUBTOTAL(3,$G$5:G231),"")</f>
        <v>74</v>
      </c>
      <c r="C231" s="75"/>
      <c r="D231" s="75"/>
      <c r="E231" s="76" t="s">
        <v>139</v>
      </c>
      <c r="F231" s="76" t="s">
        <v>135</v>
      </c>
      <c r="G231" s="74" t="s">
        <v>197</v>
      </c>
      <c r="H231" s="61">
        <v>43977</v>
      </c>
      <c r="I231" s="62"/>
      <c r="J231" s="77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3"/>
      <c r="AN231" s="43"/>
      <c r="AO231" s="43"/>
      <c r="AP231" s="43"/>
      <c r="AQ231" s="43"/>
      <c r="AR231" s="78"/>
      <c r="AS231" s="77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43"/>
      <c r="BR231" s="43"/>
      <c r="BS231" s="43"/>
      <c r="BT231" s="43"/>
      <c r="BU231" s="43"/>
      <c r="BV231" s="43"/>
      <c r="BW231" s="43"/>
      <c r="BX231" s="43"/>
      <c r="BY231" s="43"/>
      <c r="BZ231" s="43"/>
      <c r="CA231" s="78"/>
      <c r="CB231" s="74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43"/>
      <c r="CV231" s="43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</row>
    <row r="232" spans="2:130" s="46" customFormat="1" ht="13.5" customHeight="1" x14ac:dyDescent="0.15">
      <c r="B232" s="75">
        <f>IF(G232&lt;&gt;"",SUBTOTAL(3,$G$5:G232),"")</f>
        <v>75</v>
      </c>
      <c r="C232" s="75"/>
      <c r="D232" s="75"/>
      <c r="E232" s="76" t="s">
        <v>139</v>
      </c>
      <c r="F232" s="76" t="s">
        <v>135</v>
      </c>
      <c r="G232" s="74" t="s">
        <v>198</v>
      </c>
      <c r="H232" s="61">
        <v>43995</v>
      </c>
      <c r="I232" s="62">
        <v>1</v>
      </c>
      <c r="J232" s="77" t="s">
        <v>452</v>
      </c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3"/>
      <c r="AN232" s="43"/>
      <c r="AO232" s="43"/>
      <c r="AP232" s="43"/>
      <c r="AQ232" s="43"/>
      <c r="AR232" s="78"/>
      <c r="AS232" s="77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43"/>
      <c r="BR232" s="43"/>
      <c r="BS232" s="43"/>
      <c r="BT232" s="43"/>
      <c r="BU232" s="43"/>
      <c r="BV232" s="43"/>
      <c r="BW232" s="43"/>
      <c r="BX232" s="43"/>
      <c r="BY232" s="43"/>
      <c r="BZ232" s="43"/>
      <c r="CA232" s="78"/>
      <c r="CB232" s="74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43"/>
      <c r="CV232" s="43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</row>
    <row r="233" spans="2:130" s="46" customFormat="1" ht="13.5" customHeight="1" x14ac:dyDescent="0.15">
      <c r="B233" s="102" t="str">
        <f>IF(G233&lt;&gt;"",SUBTOTAL(3,$G$5:G233),"")</f>
        <v/>
      </c>
      <c r="C233" s="75"/>
      <c r="D233" s="75"/>
      <c r="E233" s="76"/>
      <c r="F233" s="76"/>
      <c r="G233" s="74"/>
      <c r="H233" s="61"/>
      <c r="I233" s="70">
        <v>1</v>
      </c>
      <c r="J233" s="77" t="s">
        <v>453</v>
      </c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3"/>
      <c r="AN233" s="43"/>
      <c r="AO233" s="43"/>
      <c r="AP233" s="43"/>
      <c r="AQ233" s="43"/>
      <c r="AR233" s="78"/>
      <c r="AS233" s="77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43"/>
      <c r="BR233" s="43"/>
      <c r="BS233" s="43"/>
      <c r="BT233" s="43"/>
      <c r="BU233" s="43"/>
      <c r="BV233" s="43"/>
      <c r="BW233" s="43"/>
      <c r="BX233" s="43"/>
      <c r="BY233" s="43"/>
      <c r="BZ233" s="43"/>
      <c r="CA233" s="78"/>
      <c r="CB233" s="74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43"/>
      <c r="CV233" s="43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</row>
    <row r="234" spans="2:130" s="46" customFormat="1" ht="13.5" customHeight="1" x14ac:dyDescent="0.15">
      <c r="B234" s="102" t="str">
        <f>IF(G234&lt;&gt;"",SUBTOTAL(3,$G$5:G234),"")</f>
        <v/>
      </c>
      <c r="C234" s="75"/>
      <c r="D234" s="75"/>
      <c r="E234" s="76"/>
      <c r="F234" s="76"/>
      <c r="G234" s="74"/>
      <c r="H234" s="61"/>
      <c r="I234" s="70">
        <v>1</v>
      </c>
      <c r="J234" s="77" t="s">
        <v>454</v>
      </c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43"/>
      <c r="AN234" s="43"/>
      <c r="AO234" s="43"/>
      <c r="AP234" s="43"/>
      <c r="AQ234" s="43"/>
      <c r="AR234" s="78"/>
      <c r="AS234" s="77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43"/>
      <c r="BR234" s="43"/>
      <c r="BS234" s="43"/>
      <c r="BT234" s="43"/>
      <c r="BU234" s="43"/>
      <c r="BV234" s="43"/>
      <c r="BW234" s="43"/>
      <c r="BX234" s="43"/>
      <c r="BY234" s="43"/>
      <c r="BZ234" s="43"/>
      <c r="CA234" s="78"/>
      <c r="CB234" s="74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43"/>
      <c r="CV234" s="43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</row>
    <row r="235" spans="2:130" s="46" customFormat="1" ht="13.5" customHeight="1" x14ac:dyDescent="0.15">
      <c r="B235" s="102" t="str">
        <f>IF(G235&lt;&gt;"",SUBTOTAL(3,$G$5:G235),"")</f>
        <v/>
      </c>
      <c r="C235" s="75"/>
      <c r="D235" s="75"/>
      <c r="E235" s="76"/>
      <c r="F235" s="76"/>
      <c r="G235" s="74"/>
      <c r="H235" s="61"/>
      <c r="I235" s="70">
        <v>1</v>
      </c>
      <c r="J235" s="77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43"/>
      <c r="AN235" s="43"/>
      <c r="AO235" s="43"/>
      <c r="AP235" s="43"/>
      <c r="AQ235" s="43"/>
      <c r="AR235" s="78"/>
      <c r="AS235" s="77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43"/>
      <c r="BR235" s="43"/>
      <c r="BS235" s="43"/>
      <c r="BT235" s="43"/>
      <c r="BU235" s="43"/>
      <c r="BV235" s="43"/>
      <c r="BW235" s="43"/>
      <c r="BX235" s="43"/>
      <c r="BY235" s="43"/>
      <c r="BZ235" s="43"/>
      <c r="CA235" s="78"/>
      <c r="CB235" s="74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43"/>
      <c r="CV235" s="43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</row>
    <row r="236" spans="2:130" s="46" customFormat="1" ht="13.5" customHeight="1" x14ac:dyDescent="0.15">
      <c r="B236" s="75">
        <f>IF(G236&lt;&gt;"",SUBTOTAL(3,$G$5:G236),"")</f>
        <v>76</v>
      </c>
      <c r="C236" s="75"/>
      <c r="D236" s="75"/>
      <c r="E236" s="76" t="s">
        <v>139</v>
      </c>
      <c r="F236" s="76" t="s">
        <v>135</v>
      </c>
      <c r="G236" s="74" t="s">
        <v>199</v>
      </c>
      <c r="H236" s="61">
        <v>43982</v>
      </c>
      <c r="I236" s="62">
        <v>1</v>
      </c>
      <c r="J236" s="77" t="s">
        <v>455</v>
      </c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43"/>
      <c r="AN236" s="43"/>
      <c r="AO236" s="43"/>
      <c r="AP236" s="43"/>
      <c r="AQ236" s="43"/>
      <c r="AR236" s="78"/>
      <c r="AS236" s="77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43"/>
      <c r="BR236" s="43"/>
      <c r="BS236" s="43"/>
      <c r="BT236" s="43"/>
      <c r="BU236" s="43"/>
      <c r="BV236" s="43"/>
      <c r="BW236" s="43"/>
      <c r="BX236" s="43"/>
      <c r="BY236" s="43"/>
      <c r="BZ236" s="43"/>
      <c r="CA236" s="78"/>
      <c r="CB236" s="74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43"/>
      <c r="CV236" s="43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</row>
    <row r="237" spans="2:130" s="46" customFormat="1" ht="13.5" customHeight="1" x14ac:dyDescent="0.15">
      <c r="B237" s="102" t="str">
        <f>IF(G237&lt;&gt;"",SUBTOTAL(3,$G$5:G237),"")</f>
        <v/>
      </c>
      <c r="C237" s="75"/>
      <c r="D237" s="75"/>
      <c r="E237" s="76"/>
      <c r="F237" s="76"/>
      <c r="G237" s="74"/>
      <c r="H237" s="61"/>
      <c r="I237" s="70">
        <v>1</v>
      </c>
      <c r="J237" s="77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3"/>
      <c r="AN237" s="43"/>
      <c r="AO237" s="43"/>
      <c r="AP237" s="43"/>
      <c r="AQ237" s="43"/>
      <c r="AR237" s="78"/>
      <c r="AS237" s="77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43"/>
      <c r="BR237" s="43"/>
      <c r="BS237" s="43"/>
      <c r="BT237" s="43"/>
      <c r="BU237" s="43"/>
      <c r="BV237" s="43"/>
      <c r="BW237" s="43"/>
      <c r="BX237" s="43"/>
      <c r="BY237" s="43"/>
      <c r="BZ237" s="43"/>
      <c r="CA237" s="78"/>
      <c r="CB237" s="74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43"/>
      <c r="CV237" s="43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</row>
    <row r="238" spans="2:130" s="46" customFormat="1" ht="13.5" customHeight="1" x14ac:dyDescent="0.15">
      <c r="B238" s="75">
        <f>IF(G238&lt;&gt;"",SUBTOTAL(3,$G$5:G238),"")</f>
        <v>77</v>
      </c>
      <c r="C238" s="75"/>
      <c r="D238" s="75"/>
      <c r="E238" s="76" t="s">
        <v>139</v>
      </c>
      <c r="F238" s="76" t="s">
        <v>135</v>
      </c>
      <c r="G238" s="74" t="s">
        <v>200</v>
      </c>
      <c r="H238" s="61">
        <v>43989</v>
      </c>
      <c r="I238" s="62"/>
      <c r="J238" s="77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3"/>
      <c r="AN238" s="43"/>
      <c r="AO238" s="43"/>
      <c r="AP238" s="43"/>
      <c r="AQ238" s="43"/>
      <c r="AR238" s="78"/>
      <c r="AS238" s="77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43"/>
      <c r="BR238" s="43"/>
      <c r="BS238" s="43"/>
      <c r="BT238" s="43"/>
      <c r="BU238" s="43"/>
      <c r="BV238" s="43"/>
      <c r="BW238" s="43"/>
      <c r="BX238" s="43"/>
      <c r="BY238" s="43"/>
      <c r="BZ238" s="43"/>
      <c r="CA238" s="78"/>
      <c r="CB238" s="74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43"/>
      <c r="CV238" s="43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</row>
    <row r="239" spans="2:130" s="46" customFormat="1" ht="13.5" customHeight="1" x14ac:dyDescent="0.15">
      <c r="B239" s="75">
        <f>IF(G239&lt;&gt;"",SUBTOTAL(3,$G$5:G239),"")</f>
        <v>78</v>
      </c>
      <c r="C239" s="75"/>
      <c r="D239" s="75"/>
      <c r="E239" s="76" t="s">
        <v>139</v>
      </c>
      <c r="F239" s="76" t="s">
        <v>135</v>
      </c>
      <c r="G239" s="74" t="s">
        <v>201</v>
      </c>
      <c r="H239" s="61">
        <v>43989</v>
      </c>
      <c r="I239" s="62"/>
      <c r="J239" s="77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3"/>
      <c r="AN239" s="43"/>
      <c r="AO239" s="43"/>
      <c r="AP239" s="43"/>
      <c r="AQ239" s="43"/>
      <c r="AR239" s="78"/>
      <c r="AS239" s="77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43"/>
      <c r="BR239" s="43"/>
      <c r="BS239" s="43"/>
      <c r="BT239" s="43"/>
      <c r="BU239" s="43"/>
      <c r="BV239" s="43"/>
      <c r="BW239" s="43"/>
      <c r="BX239" s="43"/>
      <c r="BY239" s="43"/>
      <c r="BZ239" s="43"/>
      <c r="CA239" s="78"/>
      <c r="CB239" s="74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43"/>
      <c r="CV239" s="43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</row>
    <row r="240" spans="2:130" s="46" customFormat="1" ht="13.5" customHeight="1" x14ac:dyDescent="0.15">
      <c r="B240" s="75">
        <f>IF(G240&lt;&gt;"",SUBTOTAL(3,$G$5:G240),"")</f>
        <v>79</v>
      </c>
      <c r="C240" s="75"/>
      <c r="D240" s="75"/>
      <c r="E240" s="76" t="s">
        <v>139</v>
      </c>
      <c r="F240" s="76" t="s">
        <v>135</v>
      </c>
      <c r="G240" s="74" t="s">
        <v>202</v>
      </c>
      <c r="H240" s="61">
        <v>43991</v>
      </c>
      <c r="I240" s="62"/>
      <c r="J240" s="77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43"/>
      <c r="AN240" s="43"/>
      <c r="AO240" s="43"/>
      <c r="AP240" s="43"/>
      <c r="AQ240" s="43"/>
      <c r="AR240" s="78"/>
      <c r="AS240" s="77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43"/>
      <c r="BR240" s="43"/>
      <c r="BS240" s="43"/>
      <c r="BT240" s="43"/>
      <c r="BU240" s="43"/>
      <c r="BV240" s="43"/>
      <c r="BW240" s="43"/>
      <c r="BX240" s="43"/>
      <c r="BY240" s="43"/>
      <c r="BZ240" s="43"/>
      <c r="CA240" s="78"/>
      <c r="CB240" s="74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43"/>
      <c r="CV240" s="43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</row>
    <row r="241" spans="2:130" s="46" customFormat="1" ht="13.5" customHeight="1" x14ac:dyDescent="0.15">
      <c r="B241" s="75">
        <f>IF(G241&lt;&gt;"",SUBTOTAL(3,$G$5:G241),"")</f>
        <v>80</v>
      </c>
      <c r="C241" s="75"/>
      <c r="D241" s="75"/>
      <c r="E241" s="76" t="s">
        <v>139</v>
      </c>
      <c r="F241" s="76" t="s">
        <v>135</v>
      </c>
      <c r="G241" s="74" t="s">
        <v>203</v>
      </c>
      <c r="H241" s="61">
        <v>43991</v>
      </c>
      <c r="I241" s="62"/>
      <c r="J241" s="77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43"/>
      <c r="AN241" s="43"/>
      <c r="AO241" s="43"/>
      <c r="AP241" s="43"/>
      <c r="AQ241" s="43"/>
      <c r="AR241" s="78"/>
      <c r="AS241" s="77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43"/>
      <c r="BR241" s="43"/>
      <c r="BS241" s="43"/>
      <c r="BT241" s="43"/>
      <c r="BU241" s="43"/>
      <c r="BV241" s="43"/>
      <c r="BW241" s="43"/>
      <c r="BX241" s="43"/>
      <c r="BY241" s="43"/>
      <c r="BZ241" s="43"/>
      <c r="CA241" s="78"/>
      <c r="CB241" s="74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43"/>
      <c r="CV241" s="43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</row>
    <row r="242" spans="2:130" s="46" customFormat="1" ht="13.5" customHeight="1" x14ac:dyDescent="0.15">
      <c r="B242" s="75">
        <f>IF(G242&lt;&gt;"",SUBTOTAL(3,$G$5:G242),"")</f>
        <v>81</v>
      </c>
      <c r="C242" s="75"/>
      <c r="D242" s="75"/>
      <c r="E242" s="76" t="s">
        <v>139</v>
      </c>
      <c r="F242" s="76" t="s">
        <v>135</v>
      </c>
      <c r="G242" s="74" t="s">
        <v>204</v>
      </c>
      <c r="H242" s="61">
        <v>43992</v>
      </c>
      <c r="I242" s="62"/>
      <c r="J242" s="77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43"/>
      <c r="AN242" s="43"/>
      <c r="AO242" s="43"/>
      <c r="AP242" s="43"/>
      <c r="AQ242" s="43"/>
      <c r="AR242" s="78"/>
      <c r="AS242" s="77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43"/>
      <c r="BR242" s="43"/>
      <c r="BS242" s="43"/>
      <c r="BT242" s="43"/>
      <c r="BU242" s="43"/>
      <c r="BV242" s="43"/>
      <c r="BW242" s="43"/>
      <c r="BX242" s="43"/>
      <c r="BY242" s="43"/>
      <c r="BZ242" s="43"/>
      <c r="CA242" s="78"/>
      <c r="CB242" s="74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43"/>
      <c r="CV242" s="43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</row>
    <row r="243" spans="2:130" s="46" customFormat="1" x14ac:dyDescent="0.15">
      <c r="B243" s="75">
        <f>IF(G243&lt;&gt;"",SUBTOTAL(3,$G$5:G243),"")</f>
        <v>82</v>
      </c>
      <c r="C243" s="75"/>
      <c r="D243" s="75"/>
      <c r="E243" s="76" t="s">
        <v>139</v>
      </c>
      <c r="F243" s="76" t="s">
        <v>135</v>
      </c>
      <c r="G243" s="74" t="s">
        <v>205</v>
      </c>
      <c r="H243" s="61">
        <v>43994</v>
      </c>
      <c r="I243" s="62">
        <v>0.8</v>
      </c>
      <c r="J243" s="77" t="s">
        <v>331</v>
      </c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3"/>
      <c r="AN243" s="43"/>
      <c r="AO243" s="43"/>
      <c r="AP243" s="43"/>
      <c r="AQ243" s="43"/>
      <c r="AR243" s="78"/>
      <c r="AS243" s="77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43"/>
      <c r="BR243" s="43"/>
      <c r="BS243" s="43"/>
      <c r="BT243" s="43"/>
      <c r="BU243" s="43"/>
      <c r="BV243" s="43"/>
      <c r="BW243" s="43"/>
      <c r="BX243" s="43"/>
      <c r="BY243" s="43"/>
      <c r="BZ243" s="43"/>
      <c r="CA243" s="78"/>
      <c r="CB243" s="74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43"/>
      <c r="CV243" s="43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</row>
    <row r="244" spans="2:130" s="46" customFormat="1" x14ac:dyDescent="0.15">
      <c r="B244" s="75" t="str">
        <f>IF(G244&lt;&gt;"",SUBTOTAL(3,$G$5:G244),"")</f>
        <v/>
      </c>
      <c r="C244" s="75"/>
      <c r="D244" s="75"/>
      <c r="E244" s="76"/>
      <c r="F244" s="76"/>
      <c r="G244" s="74"/>
      <c r="H244" s="61"/>
      <c r="I244" s="68">
        <v>0.8</v>
      </c>
      <c r="J244" s="77" t="s">
        <v>332</v>
      </c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3"/>
      <c r="AN244" s="43"/>
      <c r="AO244" s="43"/>
      <c r="AP244" s="43"/>
      <c r="AQ244" s="43"/>
      <c r="AR244" s="78"/>
      <c r="AS244" s="77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43"/>
      <c r="BR244" s="43"/>
      <c r="BS244" s="43"/>
      <c r="BT244" s="43"/>
      <c r="BU244" s="43"/>
      <c r="BV244" s="43"/>
      <c r="BW244" s="43"/>
      <c r="BX244" s="43"/>
      <c r="BY244" s="43"/>
      <c r="BZ244" s="43"/>
      <c r="CA244" s="78"/>
      <c r="CB244" s="74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43"/>
      <c r="CV244" s="43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</row>
    <row r="245" spans="2:130" s="46" customFormat="1" x14ac:dyDescent="0.15">
      <c r="B245" s="75" t="str">
        <f>IF(G245&lt;&gt;"",SUBTOTAL(3,$G$5:G245),"")</f>
        <v/>
      </c>
      <c r="C245" s="75"/>
      <c r="D245" s="75"/>
      <c r="E245" s="76"/>
      <c r="F245" s="76"/>
      <c r="G245" s="74"/>
      <c r="H245" s="61"/>
      <c r="I245" s="68">
        <v>0.8</v>
      </c>
      <c r="J245" s="77" t="s">
        <v>333</v>
      </c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3"/>
      <c r="AN245" s="43"/>
      <c r="AO245" s="43"/>
      <c r="AP245" s="43"/>
      <c r="AQ245" s="43"/>
      <c r="AR245" s="78"/>
      <c r="AS245" s="77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43"/>
      <c r="BR245" s="43"/>
      <c r="BS245" s="43"/>
      <c r="BT245" s="43"/>
      <c r="BU245" s="43"/>
      <c r="BV245" s="43"/>
      <c r="BW245" s="43"/>
      <c r="BX245" s="43"/>
      <c r="BY245" s="43"/>
      <c r="BZ245" s="43"/>
      <c r="CA245" s="78"/>
      <c r="CB245" s="74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43"/>
      <c r="CV245" s="43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</row>
    <row r="246" spans="2:130" s="46" customFormat="1" x14ac:dyDescent="0.15">
      <c r="B246" s="75" t="str">
        <f>IF(G246&lt;&gt;"",SUBTOTAL(3,$G$5:G246),"")</f>
        <v/>
      </c>
      <c r="C246" s="75"/>
      <c r="D246" s="75"/>
      <c r="E246" s="76"/>
      <c r="F246" s="76"/>
      <c r="G246" s="74"/>
      <c r="H246" s="61"/>
      <c r="I246" s="68">
        <v>0.8</v>
      </c>
      <c r="J246" s="77" t="s">
        <v>334</v>
      </c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43"/>
      <c r="AN246" s="43"/>
      <c r="AO246" s="43"/>
      <c r="AP246" s="43"/>
      <c r="AQ246" s="43"/>
      <c r="AR246" s="78"/>
      <c r="AS246" s="77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43"/>
      <c r="BR246" s="43"/>
      <c r="BS246" s="43"/>
      <c r="BT246" s="43"/>
      <c r="BU246" s="43"/>
      <c r="BV246" s="43"/>
      <c r="BW246" s="43"/>
      <c r="BX246" s="43"/>
      <c r="BY246" s="43"/>
      <c r="BZ246" s="43"/>
      <c r="CA246" s="78"/>
      <c r="CB246" s="74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43"/>
      <c r="CV246" s="43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</row>
    <row r="247" spans="2:130" s="46" customFormat="1" x14ac:dyDescent="0.15">
      <c r="B247" s="75" t="str">
        <f>IF(G247&lt;&gt;"",SUBTOTAL(3,$G$5:G247),"")</f>
        <v/>
      </c>
      <c r="C247" s="75"/>
      <c r="D247" s="75"/>
      <c r="E247" s="76"/>
      <c r="F247" s="76"/>
      <c r="G247" s="74"/>
      <c r="H247" s="61"/>
      <c r="I247" s="68">
        <v>0.8</v>
      </c>
      <c r="J247" s="77" t="s">
        <v>335</v>
      </c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43"/>
      <c r="AN247" s="43"/>
      <c r="AO247" s="43"/>
      <c r="AP247" s="43"/>
      <c r="AQ247" s="43"/>
      <c r="AR247" s="78"/>
      <c r="AS247" s="77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43"/>
      <c r="BR247" s="43"/>
      <c r="BS247" s="43"/>
      <c r="BT247" s="43"/>
      <c r="BU247" s="43"/>
      <c r="BV247" s="43"/>
      <c r="BW247" s="43"/>
      <c r="BX247" s="43"/>
      <c r="BY247" s="43"/>
      <c r="BZ247" s="43"/>
      <c r="CA247" s="78"/>
      <c r="CB247" s="74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43"/>
      <c r="CV247" s="43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</row>
    <row r="248" spans="2:130" s="46" customFormat="1" x14ac:dyDescent="0.15">
      <c r="B248" s="75" t="str">
        <f>IF(G248&lt;&gt;"",SUBTOTAL(3,$G$5:G248),"")</f>
        <v/>
      </c>
      <c r="C248" s="75"/>
      <c r="D248" s="75"/>
      <c r="E248" s="76"/>
      <c r="F248" s="76"/>
      <c r="G248" s="74"/>
      <c r="H248" s="61"/>
      <c r="I248" s="68">
        <v>0.8</v>
      </c>
      <c r="J248" s="77" t="s">
        <v>336</v>
      </c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43"/>
      <c r="AN248" s="43"/>
      <c r="AO248" s="43"/>
      <c r="AP248" s="43"/>
      <c r="AQ248" s="43"/>
      <c r="AR248" s="78"/>
      <c r="AS248" s="77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43"/>
      <c r="BR248" s="43"/>
      <c r="BS248" s="43"/>
      <c r="BT248" s="43"/>
      <c r="BU248" s="43"/>
      <c r="BV248" s="43"/>
      <c r="BW248" s="43"/>
      <c r="BX248" s="43"/>
      <c r="BY248" s="43"/>
      <c r="BZ248" s="43"/>
      <c r="CA248" s="78"/>
      <c r="CB248" s="74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43"/>
      <c r="CV248" s="43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</row>
    <row r="249" spans="2:130" s="46" customFormat="1" x14ac:dyDescent="0.15">
      <c r="B249" s="75" t="str">
        <f>IF(G249&lt;&gt;"",SUBTOTAL(3,$G$5:G249),"")</f>
        <v/>
      </c>
      <c r="C249" s="75"/>
      <c r="D249" s="75"/>
      <c r="E249" s="76"/>
      <c r="F249" s="76"/>
      <c r="G249" s="74"/>
      <c r="H249" s="61"/>
      <c r="I249" s="68">
        <v>0.8</v>
      </c>
      <c r="J249" s="77" t="s">
        <v>337</v>
      </c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3"/>
      <c r="AN249" s="43"/>
      <c r="AO249" s="43"/>
      <c r="AP249" s="43"/>
      <c r="AQ249" s="43"/>
      <c r="AR249" s="78"/>
      <c r="AS249" s="77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43"/>
      <c r="BR249" s="43"/>
      <c r="BS249" s="43"/>
      <c r="BT249" s="43"/>
      <c r="BU249" s="43"/>
      <c r="BV249" s="43"/>
      <c r="BW249" s="43"/>
      <c r="BX249" s="43"/>
      <c r="BY249" s="43"/>
      <c r="BZ249" s="43"/>
      <c r="CA249" s="78"/>
      <c r="CB249" s="74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43"/>
      <c r="CV249" s="43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</row>
    <row r="250" spans="2:130" s="46" customFormat="1" x14ac:dyDescent="0.15">
      <c r="B250" s="75" t="str">
        <f>IF(G250&lt;&gt;"",SUBTOTAL(3,$G$5:G250),"")</f>
        <v/>
      </c>
      <c r="C250" s="75"/>
      <c r="D250" s="75"/>
      <c r="E250" s="76"/>
      <c r="F250" s="76"/>
      <c r="G250" s="74"/>
      <c r="H250" s="61"/>
      <c r="I250" s="68">
        <v>0.8</v>
      </c>
      <c r="J250" s="37" t="str">
        <f>HYPERLINK("C:\Users\roshi_000.000\MyImp\MyOwn\Develop\C++\At_Coder\◆C++_Language解説◆.xlsm#'C++ Language解説'!double型_int型キャスト","◆C++_Languge解説◆.xlsm#'C++ Language解説'!double型_int型キャスト")</f>
        <v>◆C++_Languge解説◆.xlsm#'C++ Language解説'!double型_int型キャスト</v>
      </c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3"/>
      <c r="AN250" s="43"/>
      <c r="AO250" s="43"/>
      <c r="AP250" s="43"/>
      <c r="AQ250" s="43"/>
      <c r="AR250" s="78"/>
      <c r="AS250" s="77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43"/>
      <c r="BR250" s="43"/>
      <c r="BS250" s="43"/>
      <c r="BT250" s="43"/>
      <c r="BU250" s="43"/>
      <c r="BV250" s="43"/>
      <c r="BW250" s="43"/>
      <c r="BX250" s="43"/>
      <c r="BY250" s="43"/>
      <c r="BZ250" s="43"/>
      <c r="CA250" s="78"/>
      <c r="CB250" s="74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43"/>
      <c r="CV250" s="43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</row>
    <row r="251" spans="2:130" s="46" customFormat="1" x14ac:dyDescent="0.15">
      <c r="B251" s="75" t="str">
        <f>IF(G251&lt;&gt;"",SUBTOTAL(3,$G$5:G251),"")</f>
        <v/>
      </c>
      <c r="C251" s="75"/>
      <c r="D251" s="75"/>
      <c r="E251" s="76"/>
      <c r="F251" s="76"/>
      <c r="G251" s="74"/>
      <c r="H251" s="61"/>
      <c r="I251" s="68">
        <v>0.8</v>
      </c>
      <c r="J251" s="37"/>
      <c r="K251" s="38"/>
      <c r="L251" s="38"/>
      <c r="M251" s="38"/>
      <c r="N251" s="38"/>
      <c r="O251" s="38"/>
      <c r="P251" s="38"/>
      <c r="Q251" s="38"/>
      <c r="R251" s="38"/>
      <c r="S251" s="38"/>
      <c r="T251" s="38"/>
      <c r="U251" s="38"/>
      <c r="V251" s="38"/>
      <c r="W251" s="38"/>
      <c r="X251" s="38"/>
      <c r="Y251" s="38"/>
      <c r="Z251" s="38"/>
      <c r="AA251" s="38"/>
      <c r="AB251" s="38"/>
      <c r="AC251" s="38"/>
      <c r="AD251" s="38"/>
      <c r="AE251" s="38"/>
      <c r="AF251" s="38"/>
      <c r="AG251" s="38"/>
      <c r="AH251" s="38"/>
      <c r="AI251" s="38"/>
      <c r="AJ251" s="38"/>
      <c r="AK251" s="38"/>
      <c r="AL251" s="38"/>
      <c r="AM251" s="38"/>
      <c r="AN251" s="38"/>
      <c r="AO251" s="38"/>
      <c r="AP251" s="38"/>
      <c r="AQ251" s="38"/>
      <c r="AR251" s="39"/>
      <c r="AS251" s="77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43"/>
      <c r="BR251" s="43"/>
      <c r="BS251" s="43"/>
      <c r="BT251" s="43"/>
      <c r="BU251" s="43"/>
      <c r="BV251" s="43"/>
      <c r="BW251" s="43"/>
      <c r="BX251" s="43"/>
      <c r="BY251" s="43"/>
      <c r="BZ251" s="43"/>
      <c r="CA251" s="78"/>
      <c r="CB251" s="74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43"/>
      <c r="CV251" s="43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</row>
    <row r="252" spans="2:130" s="46" customFormat="1" ht="13.5" customHeight="1" x14ac:dyDescent="0.15">
      <c r="B252" s="75">
        <f>IF(G252&lt;&gt;"",SUBTOTAL(3,$G$5:G252),"")</f>
        <v>83</v>
      </c>
      <c r="C252" s="75"/>
      <c r="D252" s="75"/>
      <c r="E252" s="76" t="s">
        <v>139</v>
      </c>
      <c r="F252" s="76" t="s">
        <v>135</v>
      </c>
      <c r="G252" s="74" t="s">
        <v>206</v>
      </c>
      <c r="H252" s="61">
        <v>43995</v>
      </c>
      <c r="I252" s="62"/>
      <c r="J252" s="77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43"/>
      <c r="AN252" s="43"/>
      <c r="AO252" s="43"/>
      <c r="AP252" s="43"/>
      <c r="AQ252" s="43"/>
      <c r="AR252" s="78"/>
      <c r="AS252" s="77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43"/>
      <c r="BR252" s="43"/>
      <c r="BS252" s="43"/>
      <c r="BT252" s="43"/>
      <c r="BU252" s="43"/>
      <c r="BV252" s="43"/>
      <c r="BW252" s="43"/>
      <c r="BX252" s="43"/>
      <c r="BY252" s="43"/>
      <c r="BZ252" s="43"/>
      <c r="CA252" s="78"/>
      <c r="CB252" s="74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43"/>
      <c r="CV252" s="43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</row>
    <row r="253" spans="2:130" s="46" customFormat="1" x14ac:dyDescent="0.15">
      <c r="B253" s="75">
        <f>IF(G253&lt;&gt;"",SUBTOTAL(3,$G$5:G253),"")</f>
        <v>84</v>
      </c>
      <c r="C253" s="75"/>
      <c r="D253" s="75"/>
      <c r="E253" s="76" t="s">
        <v>139</v>
      </c>
      <c r="F253" s="76" t="s">
        <v>135</v>
      </c>
      <c r="G253" s="74" t="s">
        <v>207</v>
      </c>
      <c r="H253" s="61">
        <v>43997</v>
      </c>
      <c r="I253" s="62">
        <v>1</v>
      </c>
      <c r="J253" s="77" t="s">
        <v>404</v>
      </c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43"/>
      <c r="AN253" s="43"/>
      <c r="AO253" s="43"/>
      <c r="AP253" s="43"/>
      <c r="AQ253" s="43"/>
      <c r="AR253" s="78"/>
      <c r="AS253" s="77" t="s">
        <v>339</v>
      </c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43"/>
      <c r="BR253" s="43"/>
      <c r="BS253" s="43"/>
      <c r="BT253" s="43"/>
      <c r="BU253" s="43"/>
      <c r="BV253" s="43"/>
      <c r="BW253" s="43"/>
      <c r="BX253" s="43"/>
      <c r="BY253" s="43"/>
      <c r="BZ253" s="43"/>
      <c r="CA253" s="78"/>
      <c r="CB253" s="74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43"/>
      <c r="CV253" s="43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</row>
    <row r="254" spans="2:130" s="46" customFormat="1" x14ac:dyDescent="0.15">
      <c r="B254" s="75" t="str">
        <f>IF(G254&lt;&gt;"",SUBTOTAL(3,$G$5:G254),"")</f>
        <v/>
      </c>
      <c r="C254" s="75"/>
      <c r="D254" s="75"/>
      <c r="E254" s="76"/>
      <c r="F254" s="76"/>
      <c r="G254" s="74"/>
      <c r="H254" s="61"/>
      <c r="I254" s="70">
        <v>1</v>
      </c>
      <c r="J254" s="77" t="s">
        <v>403</v>
      </c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43"/>
      <c r="AN254" s="43"/>
      <c r="AO254" s="43"/>
      <c r="AP254" s="43"/>
      <c r="AQ254" s="43"/>
      <c r="AR254" s="78"/>
      <c r="AS254" s="77" t="s">
        <v>405</v>
      </c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43"/>
      <c r="BR254" s="43"/>
      <c r="BS254" s="43"/>
      <c r="BT254" s="43"/>
      <c r="BU254" s="43"/>
      <c r="BV254" s="43"/>
      <c r="BW254" s="43"/>
      <c r="BX254" s="43"/>
      <c r="BY254" s="43"/>
      <c r="BZ254" s="43"/>
      <c r="CA254" s="78"/>
      <c r="CB254" s="74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43"/>
      <c r="CV254" s="43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</row>
    <row r="255" spans="2:130" s="46" customFormat="1" x14ac:dyDescent="0.15">
      <c r="B255" s="75" t="str">
        <f>IF(G255&lt;&gt;"",SUBTOTAL(3,$G$5:G255),"")</f>
        <v/>
      </c>
      <c r="C255" s="75"/>
      <c r="D255" s="75"/>
      <c r="E255" s="76"/>
      <c r="F255" s="76"/>
      <c r="G255" s="74"/>
      <c r="H255" s="61"/>
      <c r="I255" s="70">
        <v>1</v>
      </c>
      <c r="J255" s="77" t="s">
        <v>338</v>
      </c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3"/>
      <c r="AN255" s="43"/>
      <c r="AO255" s="43"/>
      <c r="AP255" s="43"/>
      <c r="AQ255" s="43"/>
      <c r="AR255" s="78"/>
      <c r="AS255" s="77" t="s">
        <v>406</v>
      </c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43"/>
      <c r="BR255" s="43"/>
      <c r="BS255" s="43"/>
      <c r="BT255" s="43"/>
      <c r="BU255" s="43"/>
      <c r="BV255" s="43"/>
      <c r="BW255" s="43"/>
      <c r="BX255" s="43"/>
      <c r="BY255" s="43"/>
      <c r="BZ255" s="43"/>
      <c r="CA255" s="78"/>
      <c r="CB255" s="74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43"/>
      <c r="CV255" s="43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</row>
    <row r="256" spans="2:130" s="46" customFormat="1" ht="13.5" customHeight="1" x14ac:dyDescent="0.15">
      <c r="B256" s="75">
        <f>IF(G256&lt;&gt;"",SUBTOTAL(3,$G$5:G256),"")</f>
        <v>85</v>
      </c>
      <c r="C256" s="75"/>
      <c r="D256" s="75"/>
      <c r="E256" s="76" t="s">
        <v>139</v>
      </c>
      <c r="F256" s="76" t="s">
        <v>135</v>
      </c>
      <c r="G256" s="74" t="s">
        <v>208</v>
      </c>
      <c r="H256" s="61">
        <v>44004</v>
      </c>
      <c r="I256" s="62"/>
      <c r="J256" s="77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3"/>
      <c r="AN256" s="43"/>
      <c r="AO256" s="43"/>
      <c r="AP256" s="43"/>
      <c r="AQ256" s="43"/>
      <c r="AR256" s="78"/>
      <c r="AS256" s="77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43"/>
      <c r="BR256" s="43"/>
      <c r="BS256" s="43"/>
      <c r="BT256" s="43"/>
      <c r="BU256" s="43"/>
      <c r="BV256" s="43"/>
      <c r="BW256" s="43"/>
      <c r="BX256" s="43"/>
      <c r="BY256" s="43"/>
      <c r="BZ256" s="43"/>
      <c r="CA256" s="78"/>
      <c r="CB256" s="74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43"/>
      <c r="CV256" s="43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</row>
    <row r="257" spans="2:130" s="46" customFormat="1" x14ac:dyDescent="0.15">
      <c r="B257" s="75">
        <f>IF(G257&lt;&gt;"",SUBTOTAL(3,$G$5:G257),"")</f>
        <v>86</v>
      </c>
      <c r="C257" s="75"/>
      <c r="D257" s="75"/>
      <c r="E257" s="76" t="s">
        <v>139</v>
      </c>
      <c r="F257" s="76" t="s">
        <v>142</v>
      </c>
      <c r="G257" s="76" t="s">
        <v>209</v>
      </c>
      <c r="H257" s="61">
        <v>44030</v>
      </c>
      <c r="I257" s="62">
        <v>1</v>
      </c>
      <c r="J257" s="77" t="s">
        <v>340</v>
      </c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3"/>
      <c r="AN257" s="43"/>
      <c r="AO257" s="43"/>
      <c r="AP257" s="43"/>
      <c r="AQ257" s="43"/>
      <c r="AR257" s="78"/>
      <c r="AS257" s="77" t="s">
        <v>407</v>
      </c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43"/>
      <c r="BR257" s="43"/>
      <c r="BS257" s="43"/>
      <c r="BT257" s="43"/>
      <c r="BU257" s="43"/>
      <c r="BV257" s="43"/>
      <c r="BW257" s="43"/>
      <c r="BX257" s="43"/>
      <c r="BY257" s="43"/>
      <c r="BZ257" s="43"/>
      <c r="CA257" s="78"/>
      <c r="CB257" s="74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43"/>
      <c r="CV257" s="43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</row>
    <row r="258" spans="2:130" s="46" customFormat="1" x14ac:dyDescent="0.15">
      <c r="B258" s="75" t="str">
        <f>IF(G258&lt;&gt;"",SUBTOTAL(3,$G$5:G258),"")</f>
        <v/>
      </c>
      <c r="C258" s="75"/>
      <c r="D258" s="75"/>
      <c r="E258" s="76"/>
      <c r="F258" s="76"/>
      <c r="G258" s="76"/>
      <c r="H258" s="61"/>
      <c r="I258" s="70">
        <v>1</v>
      </c>
      <c r="J258" s="77" t="s">
        <v>341</v>
      </c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43"/>
      <c r="AN258" s="43"/>
      <c r="AO258" s="43"/>
      <c r="AP258" s="43"/>
      <c r="AQ258" s="43"/>
      <c r="AR258" s="78"/>
      <c r="AS258" s="77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43"/>
      <c r="BR258" s="43"/>
      <c r="BS258" s="43"/>
      <c r="BT258" s="43"/>
      <c r="BU258" s="43"/>
      <c r="BV258" s="43"/>
      <c r="BW258" s="43"/>
      <c r="BX258" s="43"/>
      <c r="BY258" s="43"/>
      <c r="BZ258" s="43"/>
      <c r="CA258" s="78"/>
      <c r="CB258" s="74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43"/>
      <c r="CV258" s="43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</row>
    <row r="259" spans="2:130" s="46" customFormat="1" x14ac:dyDescent="0.15">
      <c r="B259" s="75" t="str">
        <f>IF(G259&lt;&gt;"",SUBTOTAL(3,$G$5:G259),"")</f>
        <v/>
      </c>
      <c r="C259" s="75"/>
      <c r="D259" s="75"/>
      <c r="E259" s="76"/>
      <c r="F259" s="76"/>
      <c r="G259" s="76"/>
      <c r="H259" s="61"/>
      <c r="I259" s="70">
        <v>1</v>
      </c>
      <c r="J259" s="77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43"/>
      <c r="AN259" s="43"/>
      <c r="AO259" s="43"/>
      <c r="AP259" s="43"/>
      <c r="AQ259" s="43"/>
      <c r="AR259" s="78"/>
      <c r="AS259" s="77" t="s">
        <v>408</v>
      </c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43"/>
      <c r="BR259" s="43"/>
      <c r="BS259" s="43"/>
      <c r="BT259" s="43"/>
      <c r="BU259" s="43"/>
      <c r="BV259" s="43"/>
      <c r="BW259" s="43"/>
      <c r="BX259" s="43"/>
      <c r="BY259" s="43"/>
      <c r="BZ259" s="43"/>
      <c r="CA259" s="78"/>
      <c r="CB259" s="74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43"/>
      <c r="CV259" s="43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</row>
    <row r="260" spans="2:130" s="46" customFormat="1" x14ac:dyDescent="0.15">
      <c r="B260" s="75" t="str">
        <f>IF(G260&lt;&gt;"",SUBTOTAL(3,$G$5:G260),"")</f>
        <v/>
      </c>
      <c r="C260" s="75"/>
      <c r="D260" s="75"/>
      <c r="E260" s="76"/>
      <c r="F260" s="76"/>
      <c r="G260" s="76"/>
      <c r="H260" s="61"/>
      <c r="I260" s="70">
        <v>1</v>
      </c>
      <c r="J260" s="77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43"/>
      <c r="AN260" s="43"/>
      <c r="AO260" s="43"/>
      <c r="AP260" s="43"/>
      <c r="AQ260" s="43"/>
      <c r="AR260" s="78"/>
      <c r="AS260" s="77" t="s">
        <v>342</v>
      </c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43"/>
      <c r="BR260" s="43"/>
      <c r="BS260" s="43"/>
      <c r="BT260" s="43"/>
      <c r="BU260" s="43"/>
      <c r="BV260" s="43"/>
      <c r="BW260" s="43"/>
      <c r="BX260" s="43"/>
      <c r="BY260" s="43"/>
      <c r="BZ260" s="43"/>
      <c r="CA260" s="78"/>
      <c r="CB260" s="74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43"/>
      <c r="CV260" s="43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</row>
    <row r="261" spans="2:130" s="46" customFormat="1" ht="15.75" x14ac:dyDescent="0.15">
      <c r="B261" s="75" t="str">
        <f>IF(G261&lt;&gt;"",SUBTOTAL(3,$G$5:G261),"")</f>
        <v/>
      </c>
      <c r="C261" s="75"/>
      <c r="D261" s="75"/>
      <c r="E261" s="76"/>
      <c r="F261" s="76"/>
      <c r="G261" s="76"/>
      <c r="H261" s="61"/>
      <c r="I261" s="70">
        <v>1</v>
      </c>
      <c r="J261" s="77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3"/>
      <c r="AN261" s="43"/>
      <c r="AO261" s="43"/>
      <c r="AP261" s="43"/>
      <c r="AQ261" s="43"/>
      <c r="AR261" s="78"/>
      <c r="AS261" s="77" t="s">
        <v>370</v>
      </c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43"/>
      <c r="BR261" s="43"/>
      <c r="BS261" s="43"/>
      <c r="BT261" s="43"/>
      <c r="BU261" s="43"/>
      <c r="BV261" s="43"/>
      <c r="BW261" s="43"/>
      <c r="BX261" s="43"/>
      <c r="BY261" s="43"/>
      <c r="BZ261" s="43"/>
      <c r="CA261" s="78"/>
      <c r="CB261" s="74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43"/>
      <c r="CV261" s="43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</row>
    <row r="262" spans="2:130" s="46" customFormat="1" x14ac:dyDescent="0.15">
      <c r="B262" s="75" t="str">
        <f>IF(G262&lt;&gt;"",SUBTOTAL(3,$G$5:G262),"")</f>
        <v/>
      </c>
      <c r="C262" s="75"/>
      <c r="D262" s="75"/>
      <c r="E262" s="76"/>
      <c r="F262" s="76"/>
      <c r="G262" s="76"/>
      <c r="H262" s="61"/>
      <c r="I262" s="70">
        <v>1</v>
      </c>
      <c r="J262" s="77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3"/>
      <c r="AN262" s="43"/>
      <c r="AO262" s="43"/>
      <c r="AP262" s="43"/>
      <c r="AQ262" s="43"/>
      <c r="AR262" s="78"/>
      <c r="AS262" s="77" t="s">
        <v>409</v>
      </c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43"/>
      <c r="BR262" s="43"/>
      <c r="BS262" s="43"/>
      <c r="BT262" s="43"/>
      <c r="BU262" s="43"/>
      <c r="BV262" s="43"/>
      <c r="BW262" s="43"/>
      <c r="BX262" s="43"/>
      <c r="BY262" s="43"/>
      <c r="BZ262" s="43"/>
      <c r="CA262" s="78"/>
      <c r="CB262" s="74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43"/>
      <c r="CV262" s="43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</row>
    <row r="263" spans="2:130" s="46" customFormat="1" x14ac:dyDescent="0.15">
      <c r="B263" s="75" t="str">
        <f>IF(G263&lt;&gt;"",SUBTOTAL(3,$G$5:G263),"")</f>
        <v/>
      </c>
      <c r="C263" s="75"/>
      <c r="D263" s="75"/>
      <c r="E263" s="76"/>
      <c r="F263" s="76"/>
      <c r="G263" s="76"/>
      <c r="H263" s="61"/>
      <c r="I263" s="70">
        <v>1</v>
      </c>
      <c r="J263" s="77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3"/>
      <c r="AN263" s="43"/>
      <c r="AO263" s="43"/>
      <c r="AP263" s="43"/>
      <c r="AQ263" s="43"/>
      <c r="AR263" s="78"/>
      <c r="AS263" s="77" t="s">
        <v>410</v>
      </c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43"/>
      <c r="BR263" s="43"/>
      <c r="BS263" s="43"/>
      <c r="BT263" s="43"/>
      <c r="BU263" s="43"/>
      <c r="BV263" s="43"/>
      <c r="BW263" s="43"/>
      <c r="BX263" s="43"/>
      <c r="BY263" s="43"/>
      <c r="BZ263" s="43"/>
      <c r="CA263" s="78"/>
      <c r="CB263" s="74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43"/>
      <c r="CV263" s="43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</row>
    <row r="264" spans="2:130" s="46" customFormat="1" x14ac:dyDescent="0.15">
      <c r="B264" s="75" t="str">
        <f>IF(G264&lt;&gt;"",SUBTOTAL(3,$G$5:G264),"")</f>
        <v/>
      </c>
      <c r="C264" s="75"/>
      <c r="D264" s="75"/>
      <c r="E264" s="76"/>
      <c r="F264" s="76"/>
      <c r="G264" s="76"/>
      <c r="H264" s="61"/>
      <c r="I264" s="70">
        <v>1</v>
      </c>
      <c r="J264" s="77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43"/>
      <c r="AN264" s="43"/>
      <c r="AO264" s="43"/>
      <c r="AP264" s="43"/>
      <c r="AQ264" s="43"/>
      <c r="AR264" s="78"/>
      <c r="AS264" s="77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43"/>
      <c r="BR264" s="43"/>
      <c r="BS264" s="43"/>
      <c r="BT264" s="43"/>
      <c r="BU264" s="43"/>
      <c r="BV264" s="43"/>
      <c r="BW264" s="43"/>
      <c r="BX264" s="43"/>
      <c r="BY264" s="43"/>
      <c r="BZ264" s="43"/>
      <c r="CA264" s="78"/>
      <c r="CB264" s="74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43"/>
      <c r="CV264" s="43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</row>
    <row r="265" spans="2:130" s="46" customFormat="1" x14ac:dyDescent="0.15">
      <c r="B265" s="75">
        <f>IF(G265&lt;&gt;"",SUBTOTAL(3,$G$5:G265),"")</f>
        <v>87</v>
      </c>
      <c r="C265" s="75"/>
      <c r="D265" s="75"/>
      <c r="E265" s="76" t="s">
        <v>139</v>
      </c>
      <c r="F265" s="76" t="s">
        <v>142</v>
      </c>
      <c r="G265" s="76" t="s">
        <v>216</v>
      </c>
      <c r="H265" s="61">
        <v>44052</v>
      </c>
      <c r="I265" s="62">
        <v>0.5</v>
      </c>
      <c r="J265" s="77" t="s">
        <v>343</v>
      </c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43"/>
      <c r="AN265" s="43"/>
      <c r="AO265" s="43"/>
      <c r="AP265" s="43"/>
      <c r="AQ265" s="43"/>
      <c r="AR265" s="78"/>
      <c r="AS265" s="77" t="s">
        <v>412</v>
      </c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43"/>
      <c r="BR265" s="43"/>
      <c r="BS265" s="43"/>
      <c r="BT265" s="43"/>
      <c r="BU265" s="43"/>
      <c r="BV265" s="43"/>
      <c r="BW265" s="43"/>
      <c r="BX265" s="43"/>
      <c r="BY265" s="43"/>
      <c r="BZ265" s="43"/>
      <c r="CA265" s="78"/>
      <c r="CB265" s="74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43"/>
      <c r="CV265" s="43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</row>
    <row r="266" spans="2:130" s="46" customFormat="1" x14ac:dyDescent="0.15">
      <c r="B266" s="102" t="str">
        <f>IF(G266&lt;&gt;"",SUBTOTAL(3,$G$5:G266),"")</f>
        <v/>
      </c>
      <c r="C266" s="75"/>
      <c r="D266" s="75"/>
      <c r="E266" s="76"/>
      <c r="F266" s="76"/>
      <c r="G266" s="76"/>
      <c r="H266" s="61"/>
      <c r="I266" s="68">
        <v>0.5</v>
      </c>
      <c r="J266" s="77" t="s">
        <v>371</v>
      </c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43"/>
      <c r="AN266" s="43"/>
      <c r="AO266" s="43"/>
      <c r="AP266" s="43"/>
      <c r="AQ266" s="43"/>
      <c r="AR266" s="78"/>
      <c r="AS266" s="77" t="s">
        <v>411</v>
      </c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43"/>
      <c r="BR266" s="43"/>
      <c r="BS266" s="43"/>
      <c r="BT266" s="43"/>
      <c r="BU266" s="43"/>
      <c r="BV266" s="43"/>
      <c r="BW266" s="43"/>
      <c r="BX266" s="43"/>
      <c r="BY266" s="43"/>
      <c r="BZ266" s="43"/>
      <c r="CA266" s="78"/>
      <c r="CB266" s="74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43"/>
      <c r="CV266" s="43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</row>
    <row r="267" spans="2:130" s="46" customFormat="1" x14ac:dyDescent="0.15">
      <c r="B267" s="102" t="str">
        <f>IF(G267&lt;&gt;"",SUBTOTAL(3,$G$5:G267),"")</f>
        <v/>
      </c>
      <c r="C267" s="75"/>
      <c r="D267" s="75"/>
      <c r="E267" s="76"/>
      <c r="F267" s="76"/>
      <c r="G267" s="76"/>
      <c r="H267" s="61"/>
      <c r="I267" s="68">
        <v>0.5</v>
      </c>
      <c r="J267" s="77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3"/>
      <c r="AN267" s="43"/>
      <c r="AO267" s="43"/>
      <c r="AP267" s="43"/>
      <c r="AQ267" s="43"/>
      <c r="AR267" s="78"/>
      <c r="AS267" s="77" t="s">
        <v>413</v>
      </c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43"/>
      <c r="BR267" s="43"/>
      <c r="BS267" s="43"/>
      <c r="BT267" s="43"/>
      <c r="BU267" s="43"/>
      <c r="BV267" s="43"/>
      <c r="BW267" s="43"/>
      <c r="BX267" s="43"/>
      <c r="BY267" s="43"/>
      <c r="BZ267" s="43"/>
      <c r="CA267" s="78"/>
      <c r="CB267" s="74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43"/>
      <c r="CV267" s="43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</row>
    <row r="268" spans="2:130" s="46" customFormat="1" x14ac:dyDescent="0.15">
      <c r="B268" s="102" t="str">
        <f>IF(G268&lt;&gt;"",SUBTOTAL(3,$G$5:G268),"")</f>
        <v/>
      </c>
      <c r="C268" s="75"/>
      <c r="D268" s="75"/>
      <c r="E268" s="76"/>
      <c r="F268" s="76"/>
      <c r="G268" s="76"/>
      <c r="H268" s="61"/>
      <c r="I268" s="68">
        <v>0.5</v>
      </c>
      <c r="J268" s="77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3"/>
      <c r="AN268" s="43"/>
      <c r="AO268" s="43"/>
      <c r="AP268" s="43"/>
      <c r="AQ268" s="43"/>
      <c r="AR268" s="78"/>
      <c r="AS268" s="77" t="s">
        <v>414</v>
      </c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43"/>
      <c r="BR268" s="43"/>
      <c r="BS268" s="43"/>
      <c r="BT268" s="43"/>
      <c r="BU268" s="43"/>
      <c r="BV268" s="43"/>
      <c r="BW268" s="43"/>
      <c r="BX268" s="43"/>
      <c r="BY268" s="43"/>
      <c r="BZ268" s="43"/>
      <c r="CA268" s="78"/>
      <c r="CB268" s="74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43"/>
      <c r="CV268" s="43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</row>
    <row r="269" spans="2:130" s="46" customFormat="1" x14ac:dyDescent="0.15">
      <c r="B269" s="102" t="str">
        <f>IF(G269&lt;&gt;"",SUBTOTAL(3,$G$5:G269),"")</f>
        <v/>
      </c>
      <c r="C269" s="75"/>
      <c r="D269" s="75"/>
      <c r="E269" s="76"/>
      <c r="F269" s="76"/>
      <c r="G269" s="76"/>
      <c r="H269" s="61"/>
      <c r="I269" s="68">
        <v>0.5</v>
      </c>
      <c r="J269" s="77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3"/>
      <c r="AN269" s="43"/>
      <c r="AO269" s="43"/>
      <c r="AP269" s="43"/>
      <c r="AQ269" s="43"/>
      <c r="AR269" s="78"/>
      <c r="AS269" s="77" t="s">
        <v>416</v>
      </c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43"/>
      <c r="BR269" s="43"/>
      <c r="BS269" s="43"/>
      <c r="BT269" s="43"/>
      <c r="BU269" s="43"/>
      <c r="BV269" s="43"/>
      <c r="BW269" s="43"/>
      <c r="BX269" s="43"/>
      <c r="BY269" s="43"/>
      <c r="BZ269" s="43"/>
      <c r="CA269" s="78"/>
      <c r="CB269" s="74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43"/>
      <c r="CV269" s="43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</row>
    <row r="270" spans="2:130" s="46" customFormat="1" x14ac:dyDescent="0.15">
      <c r="B270" s="75" t="str">
        <f>IF(G270&lt;&gt;"",SUBTOTAL(3,$G$5:G270),"")</f>
        <v/>
      </c>
      <c r="C270" s="75"/>
      <c r="D270" s="75"/>
      <c r="E270" s="76"/>
      <c r="F270" s="76"/>
      <c r="G270" s="76"/>
      <c r="H270" s="61"/>
      <c r="I270" s="68">
        <v>0.5</v>
      </c>
      <c r="J270" s="77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43"/>
      <c r="AN270" s="43"/>
      <c r="AO270" s="43"/>
      <c r="AP270" s="43"/>
      <c r="AQ270" s="43"/>
      <c r="AR270" s="78"/>
      <c r="AS270" s="77" t="s">
        <v>415</v>
      </c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43"/>
      <c r="BR270" s="43"/>
      <c r="BS270" s="43"/>
      <c r="BT270" s="43"/>
      <c r="BU270" s="43"/>
      <c r="BV270" s="43"/>
      <c r="BW270" s="43"/>
      <c r="BX270" s="43"/>
      <c r="BY270" s="43"/>
      <c r="BZ270" s="43"/>
      <c r="CA270" s="78"/>
      <c r="CB270" s="74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43"/>
      <c r="CV270" s="43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</row>
    <row r="271" spans="2:130" s="46" customFormat="1" x14ac:dyDescent="0.15">
      <c r="B271" s="75" t="str">
        <f>IF(G271&lt;&gt;"",SUBTOTAL(3,$G$5:G271),"")</f>
        <v/>
      </c>
      <c r="C271" s="75"/>
      <c r="D271" s="75"/>
      <c r="E271" s="76"/>
      <c r="F271" s="76"/>
      <c r="G271" s="76"/>
      <c r="H271" s="61"/>
      <c r="I271" s="68">
        <v>0.5</v>
      </c>
      <c r="J271" s="77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3"/>
      <c r="AN271" s="43"/>
      <c r="AO271" s="43"/>
      <c r="AP271" s="43"/>
      <c r="AQ271" s="43"/>
      <c r="AR271" s="78"/>
      <c r="AS271" s="77" t="s">
        <v>417</v>
      </c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43"/>
      <c r="BR271" s="43"/>
      <c r="BS271" s="43"/>
      <c r="BT271" s="43"/>
      <c r="BU271" s="43"/>
      <c r="BV271" s="43"/>
      <c r="BW271" s="43"/>
      <c r="BX271" s="43"/>
      <c r="BY271" s="43"/>
      <c r="BZ271" s="43"/>
      <c r="CA271" s="78"/>
      <c r="CB271" s="74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43"/>
      <c r="CV271" s="43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</row>
    <row r="272" spans="2:130" s="46" customFormat="1" x14ac:dyDescent="0.15">
      <c r="B272" s="75" t="str">
        <f>IF(G272&lt;&gt;"",SUBTOTAL(3,$G$5:G272),"")</f>
        <v/>
      </c>
      <c r="C272" s="75"/>
      <c r="D272" s="75"/>
      <c r="E272" s="76"/>
      <c r="F272" s="76"/>
      <c r="G272" s="76"/>
      <c r="H272" s="61"/>
      <c r="I272" s="68">
        <v>0.5</v>
      </c>
      <c r="J272" s="77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3"/>
      <c r="AN272" s="43"/>
      <c r="AO272" s="43"/>
      <c r="AP272" s="43"/>
      <c r="AQ272" s="43"/>
      <c r="AR272" s="78"/>
      <c r="AS272" s="77"/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43"/>
      <c r="BR272" s="43"/>
      <c r="BS272" s="43"/>
      <c r="BT272" s="43"/>
      <c r="BU272" s="43"/>
      <c r="BV272" s="43"/>
      <c r="BW272" s="43"/>
      <c r="BX272" s="43"/>
      <c r="BY272" s="43"/>
      <c r="BZ272" s="43"/>
      <c r="CA272" s="78"/>
      <c r="CB272" s="74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43"/>
      <c r="CV272" s="43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</row>
    <row r="273" spans="2:130" s="46" customFormat="1" x14ac:dyDescent="0.15">
      <c r="B273" s="75" t="str">
        <f>IF(G273&lt;&gt;"",SUBTOTAL(3,$G$5:G273),"")</f>
        <v/>
      </c>
      <c r="C273" s="75"/>
      <c r="D273" s="75"/>
      <c r="E273" s="76"/>
      <c r="F273" s="76"/>
      <c r="G273" s="76"/>
      <c r="H273" s="61"/>
      <c r="I273" s="68">
        <v>0.5</v>
      </c>
      <c r="J273" s="77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3"/>
      <c r="AN273" s="43"/>
      <c r="AO273" s="43"/>
      <c r="AP273" s="43"/>
      <c r="AQ273" s="43"/>
      <c r="AR273" s="78"/>
      <c r="AS273" s="77"/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43"/>
      <c r="BR273" s="43"/>
      <c r="BS273" s="43"/>
      <c r="BT273" s="43"/>
      <c r="BU273" s="43"/>
      <c r="BV273" s="43"/>
      <c r="BW273" s="43"/>
      <c r="BX273" s="43"/>
      <c r="BY273" s="43"/>
      <c r="BZ273" s="43"/>
      <c r="CA273" s="78"/>
      <c r="CB273" s="74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43"/>
      <c r="CV273" s="43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</row>
    <row r="274" spans="2:130" s="46" customFormat="1" ht="13.5" customHeight="1" x14ac:dyDescent="0.15">
      <c r="B274" s="75">
        <f>IF(G274&lt;&gt;"",SUBTOTAL(3,$G$5:G274),"")</f>
        <v>88</v>
      </c>
      <c r="C274" s="75"/>
      <c r="D274" s="75"/>
      <c r="E274" s="76" t="s">
        <v>139</v>
      </c>
      <c r="F274" s="76" t="s">
        <v>142</v>
      </c>
      <c r="G274" s="76" t="s">
        <v>223</v>
      </c>
      <c r="H274" s="61">
        <v>44062</v>
      </c>
      <c r="I274" s="62">
        <v>1</v>
      </c>
      <c r="J274" s="77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3"/>
      <c r="AN274" s="43"/>
      <c r="AO274" s="43"/>
      <c r="AP274" s="43"/>
      <c r="AQ274" s="43"/>
      <c r="AR274" s="78"/>
      <c r="AS274" s="77"/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43"/>
      <c r="BR274" s="43"/>
      <c r="BS274" s="43"/>
      <c r="BT274" s="43"/>
      <c r="BU274" s="43"/>
      <c r="BV274" s="43"/>
      <c r="BW274" s="43"/>
      <c r="BX274" s="43"/>
      <c r="BY274" s="43"/>
      <c r="BZ274" s="43"/>
      <c r="CA274" s="78"/>
      <c r="CB274" s="74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43"/>
      <c r="CV274" s="43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</row>
    <row r="275" spans="2:130" s="46" customFormat="1" ht="13.5" customHeight="1" x14ac:dyDescent="0.15">
      <c r="B275" s="75">
        <f>IF(G275&lt;&gt;"",SUBTOTAL(3,$G$5:G275),"")</f>
        <v>89</v>
      </c>
      <c r="C275" s="75"/>
      <c r="D275" s="75"/>
      <c r="E275" s="76" t="s">
        <v>139</v>
      </c>
      <c r="F275" s="76" t="s">
        <v>142</v>
      </c>
      <c r="G275" s="76" t="s">
        <v>224</v>
      </c>
      <c r="H275" s="61">
        <v>44071</v>
      </c>
      <c r="I275" s="62">
        <v>1</v>
      </c>
      <c r="J275" s="77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3"/>
      <c r="AN275" s="43"/>
      <c r="AO275" s="43"/>
      <c r="AP275" s="43"/>
      <c r="AQ275" s="43"/>
      <c r="AR275" s="78"/>
      <c r="AS275" s="77"/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43"/>
      <c r="BR275" s="43"/>
      <c r="BS275" s="43"/>
      <c r="BT275" s="43"/>
      <c r="BU275" s="43"/>
      <c r="BV275" s="43"/>
      <c r="BW275" s="43"/>
      <c r="BX275" s="43"/>
      <c r="BY275" s="43"/>
      <c r="BZ275" s="43"/>
      <c r="CA275" s="78"/>
      <c r="CB275" s="74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43"/>
      <c r="CV275" s="43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</row>
    <row r="276" spans="2:130" s="46" customFormat="1" x14ac:dyDescent="0.15">
      <c r="B276" s="75">
        <f>IF(G276&lt;&gt;"",SUBTOTAL(3,$G$5:G276),"")</f>
        <v>90</v>
      </c>
      <c r="C276" s="75"/>
      <c r="D276" s="75"/>
      <c r="E276" s="76" t="s">
        <v>139</v>
      </c>
      <c r="F276" s="76" t="s">
        <v>142</v>
      </c>
      <c r="G276" s="76" t="s">
        <v>228</v>
      </c>
      <c r="H276" s="61">
        <v>44073</v>
      </c>
      <c r="I276" s="62">
        <v>1</v>
      </c>
      <c r="J276" s="98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  <c r="AA276" s="43"/>
      <c r="AB276" s="43"/>
      <c r="AC276" s="43"/>
      <c r="AD276" s="43"/>
      <c r="AE276" s="43"/>
      <c r="AF276" s="43"/>
      <c r="AG276" s="43"/>
      <c r="AH276" s="43"/>
      <c r="AI276" s="43"/>
      <c r="AJ276" s="43"/>
      <c r="AK276" s="43"/>
      <c r="AL276" s="43"/>
      <c r="AM276" s="43"/>
      <c r="AN276" s="43"/>
      <c r="AO276" s="43"/>
      <c r="AP276" s="43"/>
      <c r="AQ276" s="43"/>
      <c r="AR276" s="78"/>
      <c r="AS276" s="98" t="s">
        <v>354</v>
      </c>
      <c r="AT276" s="43" t="s">
        <v>355</v>
      </c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43"/>
      <c r="BR276" s="43"/>
      <c r="BS276" s="43"/>
      <c r="BT276" s="43"/>
      <c r="BU276" s="43"/>
      <c r="BV276" s="43"/>
      <c r="BW276" s="43"/>
      <c r="BX276" s="43"/>
      <c r="BY276" s="43"/>
      <c r="BZ276" s="43"/>
      <c r="CA276" s="78"/>
      <c r="CB276" s="74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43"/>
      <c r="CV276" s="43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</row>
    <row r="277" spans="2:130" s="46" customFormat="1" x14ac:dyDescent="0.15">
      <c r="B277" s="75" t="str">
        <f>IF(G277&lt;&gt;"",SUBTOTAL(3,$G$5:G277),"")</f>
        <v/>
      </c>
      <c r="C277" s="75"/>
      <c r="D277" s="75"/>
      <c r="E277" s="76"/>
      <c r="F277" s="76"/>
      <c r="G277" s="76"/>
      <c r="H277" s="61"/>
      <c r="I277" s="70">
        <v>1</v>
      </c>
      <c r="J277" s="99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  <c r="AA277" s="43"/>
      <c r="AB277" s="43"/>
      <c r="AC277" s="43"/>
      <c r="AD277" s="43"/>
      <c r="AE277" s="43"/>
      <c r="AF277" s="43"/>
      <c r="AG277" s="43"/>
      <c r="AH277" s="43"/>
      <c r="AI277" s="43"/>
      <c r="AJ277" s="43"/>
      <c r="AK277" s="43"/>
      <c r="AL277" s="43"/>
      <c r="AM277" s="43"/>
      <c r="AN277" s="43"/>
      <c r="AO277" s="43"/>
      <c r="AP277" s="43"/>
      <c r="AQ277" s="43"/>
      <c r="AR277" s="78"/>
      <c r="AS277" s="99" t="s">
        <v>344</v>
      </c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43"/>
      <c r="BR277" s="43"/>
      <c r="BS277" s="43"/>
      <c r="BT277" s="43"/>
      <c r="BU277" s="43"/>
      <c r="BV277" s="43"/>
      <c r="BW277" s="43"/>
      <c r="BX277" s="43"/>
      <c r="BY277" s="43"/>
      <c r="BZ277" s="43"/>
      <c r="CA277" s="78"/>
      <c r="CB277" s="74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43"/>
      <c r="CV277" s="43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</row>
    <row r="278" spans="2:130" s="46" customFormat="1" x14ac:dyDescent="0.15">
      <c r="B278" s="75" t="str">
        <f>IF(G278&lt;&gt;"",SUBTOTAL(3,$G$5:G278),"")</f>
        <v/>
      </c>
      <c r="C278" s="75"/>
      <c r="D278" s="75"/>
      <c r="E278" s="76"/>
      <c r="F278" s="76"/>
      <c r="G278" s="76"/>
      <c r="H278" s="61"/>
      <c r="I278" s="70">
        <v>1</v>
      </c>
      <c r="J278" s="99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  <c r="AA278" s="43"/>
      <c r="AB278" s="43"/>
      <c r="AC278" s="43"/>
      <c r="AD278" s="43"/>
      <c r="AE278" s="43"/>
      <c r="AF278" s="43"/>
      <c r="AG278" s="43"/>
      <c r="AH278" s="43"/>
      <c r="AI278" s="43"/>
      <c r="AJ278" s="43"/>
      <c r="AK278" s="43"/>
      <c r="AL278" s="43"/>
      <c r="AM278" s="43"/>
      <c r="AN278" s="43"/>
      <c r="AO278" s="43"/>
      <c r="AP278" s="43"/>
      <c r="AQ278" s="43"/>
      <c r="AR278" s="78"/>
      <c r="AS278" s="99" t="s">
        <v>345</v>
      </c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43"/>
      <c r="BR278" s="43"/>
      <c r="BS278" s="43"/>
      <c r="BT278" s="43"/>
      <c r="BU278" s="43"/>
      <c r="BV278" s="43"/>
      <c r="BW278" s="43"/>
      <c r="BX278" s="43"/>
      <c r="BY278" s="43"/>
      <c r="BZ278" s="43"/>
      <c r="CA278" s="78"/>
      <c r="CB278" s="74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43"/>
      <c r="CV278" s="43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</row>
    <row r="279" spans="2:130" s="46" customFormat="1" x14ac:dyDescent="0.15">
      <c r="B279" s="75" t="str">
        <f>IF(G279&lt;&gt;"",SUBTOTAL(3,$G$5:G279),"")</f>
        <v/>
      </c>
      <c r="C279" s="75"/>
      <c r="D279" s="75"/>
      <c r="E279" s="76"/>
      <c r="F279" s="76"/>
      <c r="G279" s="76"/>
      <c r="H279" s="61"/>
      <c r="I279" s="70">
        <v>1</v>
      </c>
      <c r="J279" s="99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3"/>
      <c r="AN279" s="43"/>
      <c r="AO279" s="43"/>
      <c r="AP279" s="43"/>
      <c r="AQ279" s="43"/>
      <c r="AR279" s="78"/>
      <c r="AS279" s="99" t="s">
        <v>346</v>
      </c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43"/>
      <c r="BR279" s="43"/>
      <c r="BS279" s="43"/>
      <c r="BT279" s="43"/>
      <c r="BU279" s="43"/>
      <c r="BV279" s="43"/>
      <c r="BW279" s="43"/>
      <c r="BX279" s="43"/>
      <c r="BY279" s="43"/>
      <c r="BZ279" s="43"/>
      <c r="CA279" s="78"/>
      <c r="CB279" s="74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43"/>
      <c r="CV279" s="43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</row>
    <row r="280" spans="2:130" s="46" customFormat="1" x14ac:dyDescent="0.15">
      <c r="B280" s="75" t="str">
        <f>IF(G280&lt;&gt;"",SUBTOTAL(3,$G$5:G280),"")</f>
        <v/>
      </c>
      <c r="C280" s="75"/>
      <c r="D280" s="75"/>
      <c r="E280" s="76"/>
      <c r="F280" s="76"/>
      <c r="G280" s="76"/>
      <c r="H280" s="61"/>
      <c r="I280" s="70">
        <v>1</v>
      </c>
      <c r="J280" s="99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3"/>
      <c r="AN280" s="43"/>
      <c r="AO280" s="43"/>
      <c r="AP280" s="43"/>
      <c r="AQ280" s="43"/>
      <c r="AR280" s="78"/>
      <c r="AS280" s="99" t="s">
        <v>347</v>
      </c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43"/>
      <c r="BR280" s="43"/>
      <c r="BS280" s="43"/>
      <c r="BT280" s="43"/>
      <c r="BU280" s="43"/>
      <c r="BV280" s="43"/>
      <c r="BW280" s="43"/>
      <c r="BX280" s="43"/>
      <c r="BY280" s="43"/>
      <c r="BZ280" s="43"/>
      <c r="CA280" s="78"/>
      <c r="CB280" s="74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43"/>
      <c r="CV280" s="43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</row>
    <row r="281" spans="2:130" s="46" customFormat="1" x14ac:dyDescent="0.15">
      <c r="B281" s="75" t="str">
        <f>IF(G281&lt;&gt;"",SUBTOTAL(3,$G$5:G281),"")</f>
        <v/>
      </c>
      <c r="C281" s="75"/>
      <c r="D281" s="75"/>
      <c r="E281" s="76"/>
      <c r="F281" s="76"/>
      <c r="G281" s="76"/>
      <c r="H281" s="61"/>
      <c r="I281" s="70">
        <v>1</v>
      </c>
      <c r="J281" s="99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3"/>
      <c r="AN281" s="43"/>
      <c r="AO281" s="43"/>
      <c r="AP281" s="43"/>
      <c r="AQ281" s="43"/>
      <c r="AR281" s="78"/>
      <c r="AS281" s="99" t="s">
        <v>359</v>
      </c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43"/>
      <c r="BR281" s="43"/>
      <c r="BS281" s="43"/>
      <c r="BT281" s="43"/>
      <c r="BU281" s="43"/>
      <c r="BV281" s="43"/>
      <c r="BW281" s="43"/>
      <c r="BX281" s="43"/>
      <c r="BY281" s="43"/>
      <c r="BZ281" s="43"/>
      <c r="CA281" s="78"/>
      <c r="CB281" s="74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43"/>
      <c r="CV281" s="43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</row>
    <row r="282" spans="2:130" s="46" customFormat="1" x14ac:dyDescent="0.15">
      <c r="B282" s="75" t="str">
        <f>IF(G282&lt;&gt;"",SUBTOTAL(3,$G$5:G282),"")</f>
        <v/>
      </c>
      <c r="C282" s="75"/>
      <c r="D282" s="75"/>
      <c r="E282" s="76"/>
      <c r="F282" s="76"/>
      <c r="G282" s="76"/>
      <c r="H282" s="61"/>
      <c r="I282" s="70">
        <v>1</v>
      </c>
      <c r="J282" s="99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43"/>
      <c r="AN282" s="43"/>
      <c r="AO282" s="43"/>
      <c r="AP282" s="43"/>
      <c r="AQ282" s="43"/>
      <c r="AR282" s="78"/>
      <c r="AS282" s="99" t="s">
        <v>348</v>
      </c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43"/>
      <c r="BR282" s="43"/>
      <c r="BS282" s="43"/>
      <c r="BT282" s="43"/>
      <c r="BU282" s="43"/>
      <c r="BV282" s="43"/>
      <c r="BW282" s="43"/>
      <c r="BX282" s="43"/>
      <c r="BY282" s="43"/>
      <c r="BZ282" s="43"/>
      <c r="CA282" s="78"/>
      <c r="CB282" s="74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43"/>
      <c r="CV282" s="43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</row>
    <row r="283" spans="2:130" s="46" customFormat="1" x14ac:dyDescent="0.15">
      <c r="B283" s="75" t="str">
        <f>IF(G283&lt;&gt;"",SUBTOTAL(3,$G$5:G283),"")</f>
        <v/>
      </c>
      <c r="C283" s="75"/>
      <c r="D283" s="75"/>
      <c r="E283" s="76"/>
      <c r="F283" s="76"/>
      <c r="G283" s="76"/>
      <c r="H283" s="61"/>
      <c r="I283" s="70">
        <v>1</v>
      </c>
      <c r="J283" s="99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  <c r="AA283" s="43"/>
      <c r="AB283" s="43"/>
      <c r="AC283" s="43"/>
      <c r="AD283" s="43"/>
      <c r="AE283" s="43"/>
      <c r="AF283" s="43"/>
      <c r="AG283" s="43"/>
      <c r="AH283" s="43"/>
      <c r="AI283" s="43"/>
      <c r="AJ283" s="43"/>
      <c r="AK283" s="43"/>
      <c r="AL283" s="43"/>
      <c r="AM283" s="43"/>
      <c r="AN283" s="43"/>
      <c r="AO283" s="43"/>
      <c r="AP283" s="43"/>
      <c r="AQ283" s="43"/>
      <c r="AR283" s="78"/>
      <c r="AS283" s="99" t="s">
        <v>349</v>
      </c>
      <c r="AT283" s="43"/>
      <c r="AU283" s="43"/>
      <c r="AV283" s="43"/>
      <c r="AW283" s="43"/>
      <c r="AX283" s="43"/>
      <c r="AY283" s="43"/>
      <c r="AZ283" s="43"/>
      <c r="BA283" s="43"/>
      <c r="BB283" s="43"/>
      <c r="BC283" s="43"/>
      <c r="BD283" s="43"/>
      <c r="BE283" s="43"/>
      <c r="BF283" s="43"/>
      <c r="BG283" s="43"/>
      <c r="BH283" s="43"/>
      <c r="BI283" s="43"/>
      <c r="BJ283" s="43"/>
      <c r="BK283" s="43"/>
      <c r="BL283" s="43"/>
      <c r="BM283" s="43"/>
      <c r="BN283" s="43"/>
      <c r="BO283" s="43"/>
      <c r="BP283" s="43"/>
      <c r="BQ283" s="43"/>
      <c r="BR283" s="43"/>
      <c r="BS283" s="43"/>
      <c r="BT283" s="43"/>
      <c r="BU283" s="43"/>
      <c r="BV283" s="43"/>
      <c r="BW283" s="43"/>
      <c r="BX283" s="43"/>
      <c r="BY283" s="43"/>
      <c r="BZ283" s="43"/>
      <c r="CA283" s="78"/>
      <c r="CB283" s="74"/>
      <c r="CC283" s="43"/>
      <c r="CD283" s="43"/>
      <c r="CE283" s="43"/>
      <c r="CF283" s="43"/>
      <c r="CG283" s="43"/>
      <c r="CH283" s="43"/>
      <c r="CI283" s="43"/>
      <c r="CJ283" s="43"/>
      <c r="CK283" s="43"/>
      <c r="CL283" s="43"/>
      <c r="CM283" s="43"/>
      <c r="CN283" s="43"/>
      <c r="CO283" s="43"/>
      <c r="CP283" s="43"/>
      <c r="CQ283" s="43"/>
      <c r="CR283" s="43"/>
      <c r="CS283" s="43"/>
      <c r="CT283" s="43"/>
      <c r="CU283" s="43"/>
      <c r="CV283" s="43"/>
      <c r="CW283" s="43"/>
      <c r="CX283" s="43"/>
      <c r="CY283" s="43"/>
      <c r="CZ283" s="43"/>
      <c r="DA283" s="43"/>
      <c r="DB283" s="43"/>
      <c r="DC283" s="43"/>
      <c r="DD283" s="43"/>
      <c r="DE283" s="43"/>
      <c r="DF283" s="43"/>
      <c r="DG283" s="43"/>
      <c r="DH283" s="43"/>
      <c r="DI283" s="43"/>
      <c r="DJ283" s="43"/>
      <c r="DK283" s="43"/>
      <c r="DL283" s="43"/>
      <c r="DM283" s="43"/>
      <c r="DN283" s="43"/>
      <c r="DO283" s="43"/>
      <c r="DP283" s="43"/>
      <c r="DQ283" s="43"/>
      <c r="DR283" s="43"/>
      <c r="DS283" s="43"/>
      <c r="DT283" s="43"/>
      <c r="DU283" s="43"/>
      <c r="DV283" s="43"/>
      <c r="DW283" s="43"/>
      <c r="DX283" s="43"/>
      <c r="DY283" s="43"/>
      <c r="DZ283" s="43"/>
    </row>
    <row r="284" spans="2:130" s="46" customFormat="1" x14ac:dyDescent="0.15">
      <c r="B284" s="75" t="str">
        <f>IF(G284&lt;&gt;"",SUBTOTAL(3,$G$5:G284),"")</f>
        <v/>
      </c>
      <c r="C284" s="75"/>
      <c r="D284" s="75"/>
      <c r="E284" s="76"/>
      <c r="F284" s="76"/>
      <c r="G284" s="76"/>
      <c r="H284" s="61"/>
      <c r="I284" s="70">
        <v>1</v>
      </c>
      <c r="J284" s="98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  <c r="AA284" s="43"/>
      <c r="AB284" s="43"/>
      <c r="AC284" s="43"/>
      <c r="AD284" s="43"/>
      <c r="AE284" s="43"/>
      <c r="AF284" s="43"/>
      <c r="AG284" s="43"/>
      <c r="AH284" s="43"/>
      <c r="AI284" s="43"/>
      <c r="AJ284" s="43"/>
      <c r="AK284" s="43"/>
      <c r="AL284" s="43"/>
      <c r="AM284" s="43"/>
      <c r="AN284" s="43"/>
      <c r="AO284" s="43"/>
      <c r="AP284" s="43"/>
      <c r="AQ284" s="43"/>
      <c r="AR284" s="78"/>
      <c r="AS284" s="98" t="s">
        <v>354</v>
      </c>
      <c r="AT284" s="43" t="s">
        <v>356</v>
      </c>
      <c r="AU284" s="43"/>
      <c r="AV284" s="43"/>
      <c r="AW284" s="43"/>
      <c r="AX284" s="43"/>
      <c r="AY284" s="43"/>
      <c r="AZ284" s="43"/>
      <c r="BA284" s="43"/>
      <c r="BB284" s="43"/>
      <c r="BC284" s="43"/>
      <c r="BD284" s="43"/>
      <c r="BE284" s="43"/>
      <c r="BF284" s="43"/>
      <c r="BG284" s="43"/>
      <c r="BH284" s="43"/>
      <c r="BI284" s="43"/>
      <c r="BJ284" s="43"/>
      <c r="BK284" s="43"/>
      <c r="BL284" s="43"/>
      <c r="BM284" s="43"/>
      <c r="BN284" s="43"/>
      <c r="BO284" s="43"/>
      <c r="BP284" s="43"/>
      <c r="BQ284" s="43"/>
      <c r="BR284" s="43"/>
      <c r="BS284" s="43"/>
      <c r="BT284" s="43"/>
      <c r="BU284" s="43"/>
      <c r="BV284" s="43"/>
      <c r="BW284" s="43"/>
      <c r="BX284" s="43"/>
      <c r="BY284" s="43"/>
      <c r="BZ284" s="43"/>
      <c r="CA284" s="78"/>
      <c r="CB284" s="74"/>
      <c r="CC284" s="43"/>
      <c r="CD284" s="43"/>
      <c r="CE284" s="43"/>
      <c r="CF284" s="43"/>
      <c r="CG284" s="43"/>
      <c r="CH284" s="43"/>
      <c r="CI284" s="43"/>
      <c r="CJ284" s="43"/>
      <c r="CK284" s="43"/>
      <c r="CL284" s="43"/>
      <c r="CM284" s="43"/>
      <c r="CN284" s="43"/>
      <c r="CO284" s="43"/>
      <c r="CP284" s="43"/>
      <c r="CQ284" s="43"/>
      <c r="CR284" s="43"/>
      <c r="CS284" s="43"/>
      <c r="CT284" s="43"/>
      <c r="CU284" s="43"/>
      <c r="CV284" s="43"/>
      <c r="CW284" s="43"/>
      <c r="CX284" s="43"/>
      <c r="CY284" s="43"/>
      <c r="CZ284" s="43"/>
      <c r="DA284" s="43"/>
      <c r="DB284" s="43"/>
      <c r="DC284" s="43"/>
      <c r="DD284" s="43"/>
      <c r="DE284" s="43"/>
      <c r="DF284" s="43"/>
      <c r="DG284" s="43"/>
      <c r="DH284" s="43"/>
      <c r="DI284" s="43"/>
      <c r="DJ284" s="43"/>
      <c r="DK284" s="43"/>
      <c r="DL284" s="43"/>
      <c r="DM284" s="43"/>
      <c r="DN284" s="43"/>
      <c r="DO284" s="43"/>
      <c r="DP284" s="43"/>
      <c r="DQ284" s="43"/>
      <c r="DR284" s="43"/>
      <c r="DS284" s="43"/>
      <c r="DT284" s="43"/>
      <c r="DU284" s="43"/>
      <c r="DV284" s="43"/>
      <c r="DW284" s="43"/>
      <c r="DX284" s="43"/>
      <c r="DY284" s="43"/>
      <c r="DZ284" s="43"/>
    </row>
    <row r="285" spans="2:130" s="46" customFormat="1" x14ac:dyDescent="0.15">
      <c r="B285" s="75" t="str">
        <f>IF(G285&lt;&gt;"",SUBTOTAL(3,$G$5:G285),"")</f>
        <v/>
      </c>
      <c r="C285" s="75"/>
      <c r="D285" s="75"/>
      <c r="E285" s="76"/>
      <c r="F285" s="76"/>
      <c r="G285" s="76"/>
      <c r="H285" s="61"/>
      <c r="I285" s="70">
        <v>1</v>
      </c>
      <c r="J285" s="77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3"/>
      <c r="AN285" s="43"/>
      <c r="AO285" s="43"/>
      <c r="AP285" s="43"/>
      <c r="AQ285" s="43"/>
      <c r="AR285" s="78"/>
      <c r="AS285" s="77" t="s">
        <v>360</v>
      </c>
      <c r="AT285" s="43"/>
      <c r="AU285" s="43"/>
      <c r="AV285" s="43"/>
      <c r="AW285" s="43"/>
      <c r="AX285" s="43"/>
      <c r="AY285" s="43"/>
      <c r="AZ285" s="43"/>
      <c r="BA285" s="43"/>
      <c r="BB285" s="43"/>
      <c r="BC285" s="43"/>
      <c r="BD285" s="43"/>
      <c r="BE285" s="43"/>
      <c r="BF285" s="43"/>
      <c r="BG285" s="43"/>
      <c r="BH285" s="43"/>
      <c r="BI285" s="43"/>
      <c r="BJ285" s="43"/>
      <c r="BK285" s="43"/>
      <c r="BL285" s="43"/>
      <c r="BM285" s="43"/>
      <c r="BN285" s="43"/>
      <c r="BO285" s="43"/>
      <c r="BP285" s="43"/>
      <c r="BQ285" s="43"/>
      <c r="BR285" s="43"/>
      <c r="BS285" s="43"/>
      <c r="BT285" s="43"/>
      <c r="BU285" s="43"/>
      <c r="BV285" s="43"/>
      <c r="BW285" s="43"/>
      <c r="BX285" s="43"/>
      <c r="BY285" s="43"/>
      <c r="BZ285" s="43"/>
      <c r="CA285" s="78"/>
      <c r="CB285" s="74"/>
      <c r="CC285" s="43"/>
      <c r="CD285" s="43"/>
      <c r="CE285" s="43"/>
      <c r="CF285" s="43"/>
      <c r="CG285" s="43"/>
      <c r="CH285" s="43"/>
      <c r="CI285" s="43"/>
      <c r="CJ285" s="43"/>
      <c r="CK285" s="43"/>
      <c r="CL285" s="43"/>
      <c r="CM285" s="43"/>
      <c r="CN285" s="43"/>
      <c r="CO285" s="43"/>
      <c r="CP285" s="43"/>
      <c r="CQ285" s="43"/>
      <c r="CR285" s="43"/>
      <c r="CS285" s="43"/>
      <c r="CT285" s="43"/>
      <c r="CU285" s="43"/>
      <c r="CV285" s="43"/>
      <c r="CW285" s="43"/>
      <c r="CX285" s="43"/>
      <c r="CY285" s="43"/>
      <c r="CZ285" s="43"/>
      <c r="DA285" s="43"/>
      <c r="DB285" s="43"/>
      <c r="DC285" s="43"/>
      <c r="DD285" s="43"/>
      <c r="DE285" s="43"/>
      <c r="DF285" s="43"/>
      <c r="DG285" s="43"/>
      <c r="DH285" s="43"/>
      <c r="DI285" s="43"/>
      <c r="DJ285" s="43"/>
      <c r="DK285" s="43"/>
      <c r="DL285" s="43"/>
      <c r="DM285" s="43"/>
      <c r="DN285" s="43"/>
      <c r="DO285" s="43"/>
      <c r="DP285" s="43"/>
      <c r="DQ285" s="43"/>
      <c r="DR285" s="43"/>
      <c r="DS285" s="43"/>
      <c r="DT285" s="43"/>
      <c r="DU285" s="43"/>
      <c r="DV285" s="43"/>
      <c r="DW285" s="43"/>
      <c r="DX285" s="43"/>
      <c r="DY285" s="43"/>
      <c r="DZ285" s="43"/>
    </row>
    <row r="286" spans="2:130" s="46" customFormat="1" x14ac:dyDescent="0.15">
      <c r="B286" s="75" t="str">
        <f>IF(G286&lt;&gt;"",SUBTOTAL(3,$G$5:G286),"")</f>
        <v/>
      </c>
      <c r="C286" s="75"/>
      <c r="D286" s="75"/>
      <c r="E286" s="76"/>
      <c r="F286" s="76"/>
      <c r="G286" s="76"/>
      <c r="H286" s="61"/>
      <c r="I286" s="70">
        <v>1</v>
      </c>
      <c r="J286" s="77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3"/>
      <c r="AN286" s="43"/>
      <c r="AO286" s="43"/>
      <c r="AP286" s="43"/>
      <c r="AQ286" s="43"/>
      <c r="AR286" s="78"/>
      <c r="AS286" s="77" t="s">
        <v>361</v>
      </c>
      <c r="AT286" s="43"/>
      <c r="AU286" s="43"/>
      <c r="AV286" s="43"/>
      <c r="AW286" s="43"/>
      <c r="AX286" s="43"/>
      <c r="AY286" s="43"/>
      <c r="AZ286" s="43"/>
      <c r="BA286" s="43"/>
      <c r="BB286" s="43"/>
      <c r="BC286" s="43"/>
      <c r="BD286" s="43"/>
      <c r="BE286" s="43"/>
      <c r="BF286" s="43"/>
      <c r="BG286" s="43"/>
      <c r="BH286" s="43"/>
      <c r="BI286" s="43"/>
      <c r="BJ286" s="43"/>
      <c r="BK286" s="43"/>
      <c r="BL286" s="43"/>
      <c r="BM286" s="43"/>
      <c r="BN286" s="43"/>
      <c r="BO286" s="43"/>
      <c r="BP286" s="43"/>
      <c r="BQ286" s="43"/>
      <c r="BR286" s="43"/>
      <c r="BS286" s="43"/>
      <c r="BT286" s="43"/>
      <c r="BU286" s="43"/>
      <c r="BV286" s="43"/>
      <c r="BW286" s="43"/>
      <c r="BX286" s="43"/>
      <c r="BY286" s="43"/>
      <c r="BZ286" s="43"/>
      <c r="CA286" s="78"/>
      <c r="CB286" s="74"/>
      <c r="CC286" s="43"/>
      <c r="CD286" s="43"/>
      <c r="CE286" s="43"/>
      <c r="CF286" s="43"/>
      <c r="CG286" s="43"/>
      <c r="CH286" s="43"/>
      <c r="CI286" s="43"/>
      <c r="CJ286" s="43"/>
      <c r="CK286" s="43"/>
      <c r="CL286" s="43"/>
      <c r="CM286" s="43"/>
      <c r="CN286" s="43"/>
      <c r="CO286" s="43"/>
      <c r="CP286" s="43"/>
      <c r="CQ286" s="43"/>
      <c r="CR286" s="43"/>
      <c r="CS286" s="43"/>
      <c r="CT286" s="43"/>
      <c r="CU286" s="43"/>
      <c r="CV286" s="43"/>
      <c r="CW286" s="43"/>
      <c r="CX286" s="43"/>
      <c r="CY286" s="43"/>
      <c r="CZ286" s="43"/>
      <c r="DA286" s="43"/>
      <c r="DB286" s="43"/>
      <c r="DC286" s="43"/>
      <c r="DD286" s="43"/>
      <c r="DE286" s="43"/>
      <c r="DF286" s="43"/>
      <c r="DG286" s="43"/>
      <c r="DH286" s="43"/>
      <c r="DI286" s="43"/>
      <c r="DJ286" s="43"/>
      <c r="DK286" s="43"/>
      <c r="DL286" s="43"/>
      <c r="DM286" s="43"/>
      <c r="DN286" s="43"/>
      <c r="DO286" s="43"/>
      <c r="DP286" s="43"/>
      <c r="DQ286" s="43"/>
      <c r="DR286" s="43"/>
      <c r="DS286" s="43"/>
      <c r="DT286" s="43"/>
      <c r="DU286" s="43"/>
      <c r="DV286" s="43"/>
      <c r="DW286" s="43"/>
      <c r="DX286" s="43"/>
      <c r="DY286" s="43"/>
      <c r="DZ286" s="43"/>
    </row>
    <row r="287" spans="2:130" s="46" customFormat="1" x14ac:dyDescent="0.15">
      <c r="B287" s="75" t="str">
        <f>IF(G287&lt;&gt;"",SUBTOTAL(3,$G$5:G287),"")</f>
        <v/>
      </c>
      <c r="C287" s="75"/>
      <c r="D287" s="75"/>
      <c r="E287" s="76"/>
      <c r="F287" s="76"/>
      <c r="G287" s="76"/>
      <c r="H287" s="61"/>
      <c r="I287" s="70">
        <v>1</v>
      </c>
      <c r="J287" s="99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3"/>
      <c r="AN287" s="43"/>
      <c r="AO287" s="43"/>
      <c r="AP287" s="43"/>
      <c r="AQ287" s="43"/>
      <c r="AR287" s="78"/>
      <c r="AS287" s="99" t="s">
        <v>344</v>
      </c>
      <c r="AT287" s="43"/>
      <c r="AU287" s="43"/>
      <c r="AV287" s="43"/>
      <c r="AW287" s="43"/>
      <c r="AX287" s="43"/>
      <c r="AY287" s="43"/>
      <c r="AZ287" s="43"/>
      <c r="BA287" s="43"/>
      <c r="BB287" s="43"/>
      <c r="BC287" s="43"/>
      <c r="BD287" s="43"/>
      <c r="BE287" s="43"/>
      <c r="BF287" s="43"/>
      <c r="BG287" s="43"/>
      <c r="BH287" s="43"/>
      <c r="BI287" s="43"/>
      <c r="BJ287" s="43"/>
      <c r="BK287" s="43"/>
      <c r="BL287" s="43"/>
      <c r="BM287" s="43"/>
      <c r="BN287" s="43"/>
      <c r="BO287" s="43"/>
      <c r="BP287" s="43"/>
      <c r="BQ287" s="43"/>
      <c r="BR287" s="43"/>
      <c r="BS287" s="43"/>
      <c r="BT287" s="43"/>
      <c r="BU287" s="43"/>
      <c r="BV287" s="43"/>
      <c r="BW287" s="43"/>
      <c r="BX287" s="43"/>
      <c r="BY287" s="43"/>
      <c r="BZ287" s="43"/>
      <c r="CA287" s="78"/>
      <c r="CB287" s="74"/>
      <c r="CC287" s="43"/>
      <c r="CD287" s="43"/>
      <c r="CE287" s="43"/>
      <c r="CF287" s="43"/>
      <c r="CG287" s="43"/>
      <c r="CH287" s="43"/>
      <c r="CI287" s="43"/>
      <c r="CJ287" s="43"/>
      <c r="CK287" s="43"/>
      <c r="CL287" s="43"/>
      <c r="CM287" s="43"/>
      <c r="CN287" s="43"/>
      <c r="CO287" s="43"/>
      <c r="CP287" s="43"/>
      <c r="CQ287" s="43"/>
      <c r="CR287" s="43"/>
      <c r="CS287" s="43"/>
      <c r="CT287" s="43"/>
      <c r="CU287" s="43"/>
      <c r="CV287" s="43"/>
      <c r="CW287" s="43"/>
      <c r="CX287" s="43"/>
      <c r="CY287" s="43"/>
      <c r="CZ287" s="43"/>
      <c r="DA287" s="43"/>
      <c r="DB287" s="43"/>
      <c r="DC287" s="43"/>
      <c r="DD287" s="43"/>
      <c r="DE287" s="43"/>
      <c r="DF287" s="43"/>
      <c r="DG287" s="43"/>
      <c r="DH287" s="43"/>
      <c r="DI287" s="43"/>
      <c r="DJ287" s="43"/>
      <c r="DK287" s="43"/>
      <c r="DL287" s="43"/>
      <c r="DM287" s="43"/>
      <c r="DN287" s="43"/>
      <c r="DO287" s="43"/>
      <c r="DP287" s="43"/>
      <c r="DQ287" s="43"/>
      <c r="DR287" s="43"/>
      <c r="DS287" s="43"/>
      <c r="DT287" s="43"/>
      <c r="DU287" s="43"/>
      <c r="DV287" s="43"/>
      <c r="DW287" s="43"/>
      <c r="DX287" s="43"/>
      <c r="DY287" s="43"/>
      <c r="DZ287" s="43"/>
    </row>
    <row r="288" spans="2:130" s="46" customFormat="1" x14ac:dyDescent="0.15">
      <c r="B288" s="75" t="str">
        <f>IF(G288&lt;&gt;"",SUBTOTAL(3,$G$5:G288),"")</f>
        <v/>
      </c>
      <c r="C288" s="75"/>
      <c r="D288" s="75"/>
      <c r="E288" s="76"/>
      <c r="F288" s="76"/>
      <c r="G288" s="76"/>
      <c r="H288" s="61"/>
      <c r="I288" s="70">
        <v>1</v>
      </c>
      <c r="J288" s="99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  <c r="AA288" s="43"/>
      <c r="AB288" s="43"/>
      <c r="AC288" s="43"/>
      <c r="AD288" s="43"/>
      <c r="AE288" s="43"/>
      <c r="AF288" s="43"/>
      <c r="AG288" s="43"/>
      <c r="AH288" s="43"/>
      <c r="AI288" s="43"/>
      <c r="AJ288" s="43"/>
      <c r="AK288" s="43"/>
      <c r="AL288" s="43"/>
      <c r="AM288" s="43"/>
      <c r="AN288" s="43"/>
      <c r="AO288" s="43"/>
      <c r="AP288" s="43"/>
      <c r="AQ288" s="43"/>
      <c r="AR288" s="78"/>
      <c r="AS288" s="99" t="s">
        <v>345</v>
      </c>
      <c r="AT288" s="43"/>
      <c r="AU288" s="43"/>
      <c r="AV288" s="43"/>
      <c r="AW288" s="43"/>
      <c r="AX288" s="43"/>
      <c r="AY288" s="43"/>
      <c r="AZ288" s="43"/>
      <c r="BA288" s="43"/>
      <c r="BB288" s="43"/>
      <c r="BC288" s="43"/>
      <c r="BD288" s="43"/>
      <c r="BE288" s="43"/>
      <c r="BF288" s="43"/>
      <c r="BG288" s="43"/>
      <c r="BH288" s="43"/>
      <c r="BI288" s="43"/>
      <c r="BJ288" s="43"/>
      <c r="BK288" s="43"/>
      <c r="BL288" s="43"/>
      <c r="BM288" s="43"/>
      <c r="BN288" s="43"/>
      <c r="BO288" s="43"/>
      <c r="BP288" s="43"/>
      <c r="BQ288" s="43"/>
      <c r="BR288" s="43"/>
      <c r="BS288" s="43"/>
      <c r="BT288" s="43"/>
      <c r="BU288" s="43"/>
      <c r="BV288" s="43"/>
      <c r="BW288" s="43"/>
      <c r="BX288" s="43"/>
      <c r="BY288" s="43"/>
      <c r="BZ288" s="43"/>
      <c r="CA288" s="78"/>
      <c r="CB288" s="74"/>
      <c r="CC288" s="43"/>
      <c r="CD288" s="43"/>
      <c r="CE288" s="43"/>
      <c r="CF288" s="43"/>
      <c r="CG288" s="43"/>
      <c r="CH288" s="43"/>
      <c r="CI288" s="43"/>
      <c r="CJ288" s="43"/>
      <c r="CK288" s="43"/>
      <c r="CL288" s="43"/>
      <c r="CM288" s="43"/>
      <c r="CN288" s="43"/>
      <c r="CO288" s="43"/>
      <c r="CP288" s="43"/>
      <c r="CQ288" s="43"/>
      <c r="CR288" s="43"/>
      <c r="CS288" s="43"/>
      <c r="CT288" s="43"/>
      <c r="CU288" s="43"/>
      <c r="CV288" s="43"/>
      <c r="CW288" s="43"/>
      <c r="CX288" s="43"/>
      <c r="CY288" s="43"/>
      <c r="CZ288" s="43"/>
      <c r="DA288" s="43"/>
      <c r="DB288" s="43"/>
      <c r="DC288" s="43"/>
      <c r="DD288" s="43"/>
      <c r="DE288" s="43"/>
      <c r="DF288" s="43"/>
      <c r="DG288" s="43"/>
      <c r="DH288" s="43"/>
      <c r="DI288" s="43"/>
      <c r="DJ288" s="43"/>
      <c r="DK288" s="43"/>
      <c r="DL288" s="43"/>
      <c r="DM288" s="43"/>
      <c r="DN288" s="43"/>
      <c r="DO288" s="43"/>
      <c r="DP288" s="43"/>
      <c r="DQ288" s="43"/>
      <c r="DR288" s="43"/>
      <c r="DS288" s="43"/>
      <c r="DT288" s="43"/>
      <c r="DU288" s="43"/>
      <c r="DV288" s="43"/>
      <c r="DW288" s="43"/>
      <c r="DX288" s="43"/>
      <c r="DY288" s="43"/>
      <c r="DZ288" s="43"/>
    </row>
    <row r="289" spans="2:130" s="46" customFormat="1" x14ac:dyDescent="0.15">
      <c r="B289" s="75" t="str">
        <f>IF(G289&lt;&gt;"",SUBTOTAL(3,$G$5:G289),"")</f>
        <v/>
      </c>
      <c r="C289" s="75"/>
      <c r="D289" s="75"/>
      <c r="E289" s="76"/>
      <c r="F289" s="76"/>
      <c r="G289" s="76"/>
      <c r="H289" s="61"/>
      <c r="I289" s="70">
        <v>1</v>
      </c>
      <c r="J289" s="99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  <c r="AA289" s="43"/>
      <c r="AB289" s="43"/>
      <c r="AC289" s="43"/>
      <c r="AD289" s="43"/>
      <c r="AE289" s="43"/>
      <c r="AF289" s="43"/>
      <c r="AG289" s="43"/>
      <c r="AH289" s="43"/>
      <c r="AI289" s="43"/>
      <c r="AJ289" s="43"/>
      <c r="AK289" s="43"/>
      <c r="AL289" s="43"/>
      <c r="AM289" s="43"/>
      <c r="AN289" s="43"/>
      <c r="AO289" s="43"/>
      <c r="AP289" s="43"/>
      <c r="AQ289" s="43"/>
      <c r="AR289" s="78"/>
      <c r="AS289" s="99" t="s">
        <v>346</v>
      </c>
      <c r="AT289" s="43"/>
      <c r="AU289" s="43"/>
      <c r="AV289" s="43"/>
      <c r="AW289" s="43"/>
      <c r="AX289" s="43"/>
      <c r="AY289" s="43"/>
      <c r="AZ289" s="43"/>
      <c r="BA289" s="43"/>
      <c r="BB289" s="43"/>
      <c r="BC289" s="43"/>
      <c r="BD289" s="43"/>
      <c r="BE289" s="43"/>
      <c r="BF289" s="43"/>
      <c r="BG289" s="43"/>
      <c r="BH289" s="43"/>
      <c r="BI289" s="43"/>
      <c r="BJ289" s="43"/>
      <c r="BK289" s="43"/>
      <c r="BL289" s="43"/>
      <c r="BM289" s="43"/>
      <c r="BN289" s="43"/>
      <c r="BO289" s="43"/>
      <c r="BP289" s="43"/>
      <c r="BQ289" s="43"/>
      <c r="BR289" s="43"/>
      <c r="BS289" s="43"/>
      <c r="BT289" s="43"/>
      <c r="BU289" s="43"/>
      <c r="BV289" s="43"/>
      <c r="BW289" s="43"/>
      <c r="BX289" s="43"/>
      <c r="BY289" s="43"/>
      <c r="BZ289" s="43"/>
      <c r="CA289" s="78"/>
      <c r="CB289" s="74"/>
      <c r="CC289" s="43"/>
      <c r="CD289" s="43"/>
      <c r="CE289" s="43"/>
      <c r="CF289" s="43"/>
      <c r="CG289" s="43"/>
      <c r="CH289" s="43"/>
      <c r="CI289" s="43"/>
      <c r="CJ289" s="43"/>
      <c r="CK289" s="43"/>
      <c r="CL289" s="43"/>
      <c r="CM289" s="43"/>
      <c r="CN289" s="43"/>
      <c r="CO289" s="43"/>
      <c r="CP289" s="43"/>
      <c r="CQ289" s="43"/>
      <c r="CR289" s="43"/>
      <c r="CS289" s="43"/>
      <c r="CT289" s="43"/>
      <c r="CU289" s="43"/>
      <c r="CV289" s="43"/>
      <c r="CW289" s="43"/>
      <c r="CX289" s="43"/>
      <c r="CY289" s="43"/>
      <c r="CZ289" s="43"/>
      <c r="DA289" s="43"/>
      <c r="DB289" s="43"/>
      <c r="DC289" s="43"/>
      <c r="DD289" s="43"/>
      <c r="DE289" s="43"/>
      <c r="DF289" s="43"/>
      <c r="DG289" s="43"/>
      <c r="DH289" s="43"/>
      <c r="DI289" s="43"/>
      <c r="DJ289" s="43"/>
      <c r="DK289" s="43"/>
      <c r="DL289" s="43"/>
      <c r="DM289" s="43"/>
      <c r="DN289" s="43"/>
      <c r="DO289" s="43"/>
      <c r="DP289" s="43"/>
      <c r="DQ289" s="43"/>
      <c r="DR289" s="43"/>
      <c r="DS289" s="43"/>
      <c r="DT289" s="43"/>
      <c r="DU289" s="43"/>
      <c r="DV289" s="43"/>
      <c r="DW289" s="43"/>
      <c r="DX289" s="43"/>
      <c r="DY289" s="43"/>
      <c r="DZ289" s="43"/>
    </row>
    <row r="290" spans="2:130" s="46" customFormat="1" x14ac:dyDescent="0.15">
      <c r="B290" s="75" t="str">
        <f>IF(G290&lt;&gt;"",SUBTOTAL(3,$G$5:G290),"")</f>
        <v/>
      </c>
      <c r="C290" s="75"/>
      <c r="D290" s="75"/>
      <c r="E290" s="76"/>
      <c r="F290" s="76"/>
      <c r="G290" s="76"/>
      <c r="H290" s="61"/>
      <c r="I290" s="70">
        <v>1</v>
      </c>
      <c r="J290" s="99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  <c r="AA290" s="43"/>
      <c r="AB290" s="43"/>
      <c r="AC290" s="43"/>
      <c r="AD290" s="43"/>
      <c r="AE290" s="43"/>
      <c r="AF290" s="43"/>
      <c r="AG290" s="43"/>
      <c r="AH290" s="43"/>
      <c r="AI290" s="43"/>
      <c r="AJ290" s="43"/>
      <c r="AK290" s="43"/>
      <c r="AL290" s="43"/>
      <c r="AM290" s="43"/>
      <c r="AN290" s="43"/>
      <c r="AO290" s="43"/>
      <c r="AP290" s="43"/>
      <c r="AQ290" s="43"/>
      <c r="AR290" s="78"/>
      <c r="AS290" s="99" t="s">
        <v>347</v>
      </c>
      <c r="AT290" s="43"/>
      <c r="AU290" s="43"/>
      <c r="AV290" s="43"/>
      <c r="AW290" s="43"/>
      <c r="AX290" s="43"/>
      <c r="AY290" s="43"/>
      <c r="AZ290" s="43"/>
      <c r="BA290" s="43"/>
      <c r="BB290" s="43"/>
      <c r="BC290" s="43"/>
      <c r="BD290" s="43"/>
      <c r="BE290" s="43"/>
      <c r="BF290" s="43"/>
      <c r="BG290" s="43"/>
      <c r="BH290" s="43"/>
      <c r="BI290" s="43"/>
      <c r="BJ290" s="43"/>
      <c r="BK290" s="43"/>
      <c r="BL290" s="43"/>
      <c r="BM290" s="43"/>
      <c r="BN290" s="43"/>
      <c r="BO290" s="43"/>
      <c r="BP290" s="43"/>
      <c r="BQ290" s="43"/>
      <c r="BR290" s="43"/>
      <c r="BS290" s="43"/>
      <c r="BT290" s="43"/>
      <c r="BU290" s="43"/>
      <c r="BV290" s="43"/>
      <c r="BW290" s="43"/>
      <c r="BX290" s="43"/>
      <c r="BY290" s="43"/>
      <c r="BZ290" s="43"/>
      <c r="CA290" s="78"/>
      <c r="CB290" s="74"/>
      <c r="CC290" s="43"/>
      <c r="CD290" s="43"/>
      <c r="CE290" s="43"/>
      <c r="CF290" s="43"/>
      <c r="CG290" s="43"/>
      <c r="CH290" s="43"/>
      <c r="CI290" s="43"/>
      <c r="CJ290" s="43"/>
      <c r="CK290" s="43"/>
      <c r="CL290" s="43"/>
      <c r="CM290" s="43"/>
      <c r="CN290" s="43"/>
      <c r="CO290" s="43"/>
      <c r="CP290" s="43"/>
      <c r="CQ290" s="43"/>
      <c r="CR290" s="43"/>
      <c r="CS290" s="43"/>
      <c r="CT290" s="43"/>
      <c r="CU290" s="43"/>
      <c r="CV290" s="43"/>
      <c r="CW290" s="43"/>
      <c r="CX290" s="43"/>
      <c r="CY290" s="43"/>
      <c r="CZ290" s="43"/>
      <c r="DA290" s="43"/>
      <c r="DB290" s="43"/>
      <c r="DC290" s="43"/>
      <c r="DD290" s="43"/>
      <c r="DE290" s="43"/>
      <c r="DF290" s="43"/>
      <c r="DG290" s="43"/>
      <c r="DH290" s="43"/>
      <c r="DI290" s="43"/>
      <c r="DJ290" s="43"/>
      <c r="DK290" s="43"/>
      <c r="DL290" s="43"/>
      <c r="DM290" s="43"/>
      <c r="DN290" s="43"/>
      <c r="DO290" s="43"/>
      <c r="DP290" s="43"/>
      <c r="DQ290" s="43"/>
      <c r="DR290" s="43"/>
      <c r="DS290" s="43"/>
      <c r="DT290" s="43"/>
      <c r="DU290" s="43"/>
      <c r="DV290" s="43"/>
      <c r="DW290" s="43"/>
      <c r="DX290" s="43"/>
      <c r="DY290" s="43"/>
      <c r="DZ290" s="43"/>
    </row>
    <row r="291" spans="2:130" s="46" customFormat="1" x14ac:dyDescent="0.15">
      <c r="B291" s="75" t="str">
        <f>IF(G291&lt;&gt;"",SUBTOTAL(3,$G$5:G291),"")</f>
        <v/>
      </c>
      <c r="C291" s="75"/>
      <c r="D291" s="75"/>
      <c r="E291" s="76"/>
      <c r="F291" s="76"/>
      <c r="G291" s="76"/>
      <c r="H291" s="61"/>
      <c r="I291" s="70">
        <v>1</v>
      </c>
      <c r="J291" s="99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3"/>
      <c r="AN291" s="43"/>
      <c r="AO291" s="43"/>
      <c r="AP291" s="43"/>
      <c r="AQ291" s="43"/>
      <c r="AR291" s="78"/>
      <c r="AS291" s="99" t="s">
        <v>362</v>
      </c>
      <c r="AT291" s="43"/>
      <c r="AU291" s="43"/>
      <c r="AV291" s="43"/>
      <c r="AW291" s="43"/>
      <c r="AX291" s="43"/>
      <c r="AY291" s="43"/>
      <c r="AZ291" s="43"/>
      <c r="BA291" s="43"/>
      <c r="BB291" s="43"/>
      <c r="BC291" s="43"/>
      <c r="BD291" s="43"/>
      <c r="BE291" s="43"/>
      <c r="BF291" s="43"/>
      <c r="BG291" s="43"/>
      <c r="BH291" s="43"/>
      <c r="BI291" s="43"/>
      <c r="BJ291" s="43"/>
      <c r="BK291" s="43"/>
      <c r="BL291" s="43"/>
      <c r="BM291" s="43"/>
      <c r="BN291" s="43"/>
      <c r="BO291" s="43"/>
      <c r="BP291" s="43"/>
      <c r="BQ291" s="43"/>
      <c r="BR291" s="43"/>
      <c r="BS291" s="43"/>
      <c r="BT291" s="43"/>
      <c r="BU291" s="43"/>
      <c r="BV291" s="43"/>
      <c r="BW291" s="43"/>
      <c r="BX291" s="43"/>
      <c r="BY291" s="43"/>
      <c r="BZ291" s="43"/>
      <c r="CA291" s="78"/>
      <c r="CB291" s="74"/>
      <c r="CC291" s="43"/>
      <c r="CD291" s="43"/>
      <c r="CE291" s="43"/>
      <c r="CF291" s="43"/>
      <c r="CG291" s="43"/>
      <c r="CH291" s="43"/>
      <c r="CI291" s="43"/>
      <c r="CJ291" s="43"/>
      <c r="CK291" s="43"/>
      <c r="CL291" s="43"/>
      <c r="CM291" s="43"/>
      <c r="CN291" s="43"/>
      <c r="CO291" s="43"/>
      <c r="CP291" s="43"/>
      <c r="CQ291" s="43"/>
      <c r="CR291" s="43"/>
      <c r="CS291" s="43"/>
      <c r="CT291" s="43"/>
      <c r="CU291" s="43"/>
      <c r="CV291" s="43"/>
      <c r="CW291" s="43"/>
      <c r="CX291" s="43"/>
      <c r="CY291" s="43"/>
      <c r="CZ291" s="43"/>
      <c r="DA291" s="43"/>
      <c r="DB291" s="43"/>
      <c r="DC291" s="43"/>
      <c r="DD291" s="43"/>
      <c r="DE291" s="43"/>
      <c r="DF291" s="43"/>
      <c r="DG291" s="43"/>
      <c r="DH291" s="43"/>
      <c r="DI291" s="43"/>
      <c r="DJ291" s="43"/>
      <c r="DK291" s="43"/>
      <c r="DL291" s="43"/>
      <c r="DM291" s="43"/>
      <c r="DN291" s="43"/>
      <c r="DO291" s="43"/>
      <c r="DP291" s="43"/>
      <c r="DQ291" s="43"/>
      <c r="DR291" s="43"/>
      <c r="DS291" s="43"/>
      <c r="DT291" s="43"/>
      <c r="DU291" s="43"/>
      <c r="DV291" s="43"/>
      <c r="DW291" s="43"/>
      <c r="DX291" s="43"/>
      <c r="DY291" s="43"/>
      <c r="DZ291" s="43"/>
    </row>
    <row r="292" spans="2:130" s="46" customFormat="1" x14ac:dyDescent="0.15">
      <c r="B292" s="75" t="str">
        <f>IF(G292&lt;&gt;"",SUBTOTAL(3,$G$5:G292),"")</f>
        <v/>
      </c>
      <c r="C292" s="75"/>
      <c r="D292" s="75"/>
      <c r="E292" s="76"/>
      <c r="F292" s="76"/>
      <c r="G292" s="76"/>
      <c r="H292" s="61"/>
      <c r="I292" s="70">
        <v>1</v>
      </c>
      <c r="J292" s="99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3"/>
      <c r="AN292" s="43"/>
      <c r="AO292" s="43"/>
      <c r="AP292" s="43"/>
      <c r="AQ292" s="43"/>
      <c r="AR292" s="78"/>
      <c r="AS292" s="99" t="s">
        <v>350</v>
      </c>
      <c r="AT292" s="43"/>
      <c r="AU292" s="43"/>
      <c r="AV292" s="43"/>
      <c r="AW292" s="43"/>
      <c r="AX292" s="43"/>
      <c r="AY292" s="43"/>
      <c r="AZ292" s="43"/>
      <c r="BA292" s="43"/>
      <c r="BB292" s="43"/>
      <c r="BC292" s="43"/>
      <c r="BD292" s="43"/>
      <c r="BE292" s="43"/>
      <c r="BF292" s="43"/>
      <c r="BG292" s="43"/>
      <c r="BH292" s="43"/>
      <c r="BI292" s="43"/>
      <c r="BJ292" s="43"/>
      <c r="BK292" s="43"/>
      <c r="BL292" s="43"/>
      <c r="BM292" s="43"/>
      <c r="BN292" s="43"/>
      <c r="BO292" s="43"/>
      <c r="BP292" s="43"/>
      <c r="BQ292" s="43"/>
      <c r="BR292" s="43"/>
      <c r="BS292" s="43"/>
      <c r="BT292" s="43"/>
      <c r="BU292" s="43"/>
      <c r="BV292" s="43"/>
      <c r="BW292" s="43"/>
      <c r="BX292" s="43"/>
      <c r="BY292" s="43"/>
      <c r="BZ292" s="43"/>
      <c r="CA292" s="78"/>
      <c r="CB292" s="74"/>
      <c r="CC292" s="43"/>
      <c r="CD292" s="43"/>
      <c r="CE292" s="43"/>
      <c r="CF292" s="43"/>
      <c r="CG292" s="43"/>
      <c r="CH292" s="43"/>
      <c r="CI292" s="43"/>
      <c r="CJ292" s="43"/>
      <c r="CK292" s="43"/>
      <c r="CL292" s="43"/>
      <c r="CM292" s="43"/>
      <c r="CN292" s="43"/>
      <c r="CO292" s="43"/>
      <c r="CP292" s="43"/>
      <c r="CQ292" s="43"/>
      <c r="CR292" s="43"/>
      <c r="CS292" s="43"/>
      <c r="CT292" s="43"/>
      <c r="CU292" s="43"/>
      <c r="CV292" s="43"/>
      <c r="CW292" s="43"/>
      <c r="CX292" s="43"/>
      <c r="CY292" s="43"/>
      <c r="CZ292" s="43"/>
      <c r="DA292" s="43"/>
      <c r="DB292" s="43"/>
      <c r="DC292" s="43"/>
      <c r="DD292" s="43"/>
      <c r="DE292" s="43"/>
      <c r="DF292" s="43"/>
      <c r="DG292" s="43"/>
      <c r="DH292" s="43"/>
      <c r="DI292" s="43"/>
      <c r="DJ292" s="43"/>
      <c r="DK292" s="43"/>
      <c r="DL292" s="43"/>
      <c r="DM292" s="43"/>
      <c r="DN292" s="43"/>
      <c r="DO292" s="43"/>
      <c r="DP292" s="43"/>
      <c r="DQ292" s="43"/>
      <c r="DR292" s="43"/>
      <c r="DS292" s="43"/>
      <c r="DT292" s="43"/>
      <c r="DU292" s="43"/>
      <c r="DV292" s="43"/>
      <c r="DW292" s="43"/>
      <c r="DX292" s="43"/>
      <c r="DY292" s="43"/>
      <c r="DZ292" s="43"/>
    </row>
    <row r="293" spans="2:130" s="46" customFormat="1" x14ac:dyDescent="0.15">
      <c r="B293" s="75" t="str">
        <f>IF(G293&lt;&gt;"",SUBTOTAL(3,$G$5:G293),"")</f>
        <v/>
      </c>
      <c r="C293" s="75"/>
      <c r="D293" s="75"/>
      <c r="E293" s="76"/>
      <c r="F293" s="76"/>
      <c r="G293" s="76"/>
      <c r="H293" s="61"/>
      <c r="I293" s="70">
        <v>1</v>
      </c>
      <c r="J293" s="99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3"/>
      <c r="AN293" s="43"/>
      <c r="AO293" s="43"/>
      <c r="AP293" s="43"/>
      <c r="AQ293" s="43"/>
      <c r="AR293" s="78"/>
      <c r="AS293" s="99" t="s">
        <v>348</v>
      </c>
      <c r="AT293" s="43"/>
      <c r="AU293" s="43"/>
      <c r="AV293" s="43"/>
      <c r="AW293" s="43"/>
      <c r="AX293" s="43"/>
      <c r="AY293" s="43"/>
      <c r="AZ293" s="43"/>
      <c r="BA293" s="43"/>
      <c r="BB293" s="43"/>
      <c r="BC293" s="43"/>
      <c r="BD293" s="43"/>
      <c r="BE293" s="43"/>
      <c r="BF293" s="43"/>
      <c r="BG293" s="43"/>
      <c r="BH293" s="43"/>
      <c r="BI293" s="43"/>
      <c r="BJ293" s="43"/>
      <c r="BK293" s="43"/>
      <c r="BL293" s="43"/>
      <c r="BM293" s="43"/>
      <c r="BN293" s="43"/>
      <c r="BO293" s="43"/>
      <c r="BP293" s="43"/>
      <c r="BQ293" s="43"/>
      <c r="BR293" s="43"/>
      <c r="BS293" s="43"/>
      <c r="BT293" s="43"/>
      <c r="BU293" s="43"/>
      <c r="BV293" s="43"/>
      <c r="BW293" s="43"/>
      <c r="BX293" s="43"/>
      <c r="BY293" s="43"/>
      <c r="BZ293" s="43"/>
      <c r="CA293" s="78"/>
      <c r="CB293" s="74"/>
      <c r="CC293" s="43"/>
      <c r="CD293" s="43"/>
      <c r="CE293" s="43"/>
      <c r="CF293" s="43"/>
      <c r="CG293" s="43"/>
      <c r="CH293" s="43"/>
      <c r="CI293" s="43"/>
      <c r="CJ293" s="43"/>
      <c r="CK293" s="43"/>
      <c r="CL293" s="43"/>
      <c r="CM293" s="43"/>
      <c r="CN293" s="43"/>
      <c r="CO293" s="43"/>
      <c r="CP293" s="43"/>
      <c r="CQ293" s="43"/>
      <c r="CR293" s="43"/>
      <c r="CS293" s="43"/>
      <c r="CT293" s="43"/>
      <c r="CU293" s="43"/>
      <c r="CV293" s="43"/>
      <c r="CW293" s="43"/>
      <c r="CX293" s="43"/>
      <c r="CY293" s="43"/>
      <c r="CZ293" s="43"/>
      <c r="DA293" s="43"/>
      <c r="DB293" s="43"/>
      <c r="DC293" s="43"/>
      <c r="DD293" s="43"/>
      <c r="DE293" s="43"/>
      <c r="DF293" s="43"/>
      <c r="DG293" s="43"/>
      <c r="DH293" s="43"/>
      <c r="DI293" s="43"/>
      <c r="DJ293" s="43"/>
      <c r="DK293" s="43"/>
      <c r="DL293" s="43"/>
      <c r="DM293" s="43"/>
      <c r="DN293" s="43"/>
      <c r="DO293" s="43"/>
      <c r="DP293" s="43"/>
      <c r="DQ293" s="43"/>
      <c r="DR293" s="43"/>
      <c r="DS293" s="43"/>
      <c r="DT293" s="43"/>
      <c r="DU293" s="43"/>
      <c r="DV293" s="43"/>
      <c r="DW293" s="43"/>
      <c r="DX293" s="43"/>
      <c r="DY293" s="43"/>
      <c r="DZ293" s="43"/>
    </row>
    <row r="294" spans="2:130" s="46" customFormat="1" x14ac:dyDescent="0.15">
      <c r="B294" s="75" t="str">
        <f>IF(G294&lt;&gt;"",SUBTOTAL(3,$G$5:G294),"")</f>
        <v/>
      </c>
      <c r="C294" s="75"/>
      <c r="D294" s="75"/>
      <c r="E294" s="76"/>
      <c r="F294" s="76"/>
      <c r="G294" s="76"/>
      <c r="H294" s="61"/>
      <c r="I294" s="70">
        <v>1</v>
      </c>
      <c r="J294" s="99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  <c r="AA294" s="43"/>
      <c r="AB294" s="43"/>
      <c r="AC294" s="43"/>
      <c r="AD294" s="43"/>
      <c r="AE294" s="43"/>
      <c r="AF294" s="43"/>
      <c r="AG294" s="43"/>
      <c r="AH294" s="43"/>
      <c r="AI294" s="43"/>
      <c r="AJ294" s="43"/>
      <c r="AK294" s="43"/>
      <c r="AL294" s="43"/>
      <c r="AM294" s="43"/>
      <c r="AN294" s="43"/>
      <c r="AO294" s="43"/>
      <c r="AP294" s="43"/>
      <c r="AQ294" s="43"/>
      <c r="AR294" s="78"/>
      <c r="AS294" s="99" t="s">
        <v>349</v>
      </c>
      <c r="AT294" s="43"/>
      <c r="AU294" s="43"/>
      <c r="AV294" s="43"/>
      <c r="AW294" s="43"/>
      <c r="AX294" s="43"/>
      <c r="AY294" s="43"/>
      <c r="AZ294" s="43"/>
      <c r="BA294" s="43"/>
      <c r="BB294" s="43"/>
      <c r="BC294" s="43"/>
      <c r="BD294" s="43"/>
      <c r="BE294" s="43"/>
      <c r="BF294" s="43"/>
      <c r="BG294" s="43"/>
      <c r="BH294" s="43"/>
      <c r="BI294" s="43"/>
      <c r="BJ294" s="43"/>
      <c r="BK294" s="43"/>
      <c r="BL294" s="43"/>
      <c r="BM294" s="43"/>
      <c r="BN294" s="43"/>
      <c r="BO294" s="43"/>
      <c r="BP294" s="43"/>
      <c r="BQ294" s="43"/>
      <c r="BR294" s="43"/>
      <c r="BS294" s="43"/>
      <c r="BT294" s="43"/>
      <c r="BU294" s="43"/>
      <c r="BV294" s="43"/>
      <c r="BW294" s="43"/>
      <c r="BX294" s="43"/>
      <c r="BY294" s="43"/>
      <c r="BZ294" s="43"/>
      <c r="CA294" s="78"/>
      <c r="CB294" s="74"/>
      <c r="CC294" s="43"/>
      <c r="CD294" s="43"/>
      <c r="CE294" s="43"/>
      <c r="CF294" s="43"/>
      <c r="CG294" s="43"/>
      <c r="CH294" s="43"/>
      <c r="CI294" s="43"/>
      <c r="CJ294" s="43"/>
      <c r="CK294" s="43"/>
      <c r="CL294" s="43"/>
      <c r="CM294" s="43"/>
      <c r="CN294" s="43"/>
      <c r="CO294" s="43"/>
      <c r="CP294" s="43"/>
      <c r="CQ294" s="43"/>
      <c r="CR294" s="43"/>
      <c r="CS294" s="43"/>
      <c r="CT294" s="43"/>
      <c r="CU294" s="43"/>
      <c r="CV294" s="43"/>
      <c r="CW294" s="43"/>
      <c r="CX294" s="43"/>
      <c r="CY294" s="43"/>
      <c r="CZ294" s="43"/>
      <c r="DA294" s="43"/>
      <c r="DB294" s="43"/>
      <c r="DC294" s="43"/>
      <c r="DD294" s="43"/>
      <c r="DE294" s="43"/>
      <c r="DF294" s="43"/>
      <c r="DG294" s="43"/>
      <c r="DH294" s="43"/>
      <c r="DI294" s="43"/>
      <c r="DJ294" s="43"/>
      <c r="DK294" s="43"/>
      <c r="DL294" s="43"/>
      <c r="DM294" s="43"/>
      <c r="DN294" s="43"/>
      <c r="DO294" s="43"/>
      <c r="DP294" s="43"/>
      <c r="DQ294" s="43"/>
      <c r="DR294" s="43"/>
      <c r="DS294" s="43"/>
      <c r="DT294" s="43"/>
      <c r="DU294" s="43"/>
      <c r="DV294" s="43"/>
      <c r="DW294" s="43"/>
      <c r="DX294" s="43"/>
      <c r="DY294" s="43"/>
      <c r="DZ294" s="43"/>
    </row>
    <row r="295" spans="2:130" s="46" customFormat="1" x14ac:dyDescent="0.15">
      <c r="B295" s="75" t="str">
        <f>IF(G295&lt;&gt;"",SUBTOTAL(3,$G$5:G295),"")</f>
        <v/>
      </c>
      <c r="C295" s="75"/>
      <c r="D295" s="75"/>
      <c r="E295" s="76"/>
      <c r="F295" s="76"/>
      <c r="G295" s="76"/>
      <c r="H295" s="61"/>
      <c r="I295" s="70">
        <v>1</v>
      </c>
      <c r="J295" s="98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  <c r="AA295" s="43"/>
      <c r="AB295" s="43"/>
      <c r="AC295" s="43"/>
      <c r="AD295" s="43"/>
      <c r="AE295" s="43"/>
      <c r="AF295" s="43"/>
      <c r="AG295" s="43"/>
      <c r="AH295" s="43"/>
      <c r="AI295" s="43"/>
      <c r="AJ295" s="43"/>
      <c r="AK295" s="43"/>
      <c r="AL295" s="43"/>
      <c r="AM295" s="43"/>
      <c r="AN295" s="43"/>
      <c r="AO295" s="43"/>
      <c r="AP295" s="43"/>
      <c r="AQ295" s="43"/>
      <c r="AR295" s="78"/>
      <c r="AS295" s="98" t="s">
        <v>357</v>
      </c>
      <c r="AT295" s="43" t="s">
        <v>358</v>
      </c>
      <c r="AU295" s="43"/>
      <c r="AV295" s="43"/>
      <c r="AW295" s="43"/>
      <c r="AX295" s="43"/>
      <c r="AY295" s="43"/>
      <c r="AZ295" s="43"/>
      <c r="BA295" s="43"/>
      <c r="BB295" s="43"/>
      <c r="BC295" s="43"/>
      <c r="BD295" s="43"/>
      <c r="BE295" s="43"/>
      <c r="BF295" s="43"/>
      <c r="BG295" s="43"/>
      <c r="BH295" s="43"/>
      <c r="BI295" s="43"/>
      <c r="BJ295" s="43"/>
      <c r="BK295" s="43"/>
      <c r="BL295" s="43"/>
      <c r="BM295" s="43"/>
      <c r="BN295" s="43"/>
      <c r="BO295" s="43"/>
      <c r="BP295" s="43"/>
      <c r="BQ295" s="43"/>
      <c r="BR295" s="43"/>
      <c r="BS295" s="43"/>
      <c r="BT295" s="43"/>
      <c r="BU295" s="43"/>
      <c r="BV295" s="43"/>
      <c r="BW295" s="43"/>
      <c r="BX295" s="43"/>
      <c r="BY295" s="43"/>
      <c r="BZ295" s="43"/>
      <c r="CA295" s="78"/>
      <c r="CB295" s="74"/>
      <c r="CC295" s="43"/>
      <c r="CD295" s="43"/>
      <c r="CE295" s="43"/>
      <c r="CF295" s="43"/>
      <c r="CG295" s="43"/>
      <c r="CH295" s="43"/>
      <c r="CI295" s="43"/>
      <c r="CJ295" s="43"/>
      <c r="CK295" s="43"/>
      <c r="CL295" s="43"/>
      <c r="CM295" s="43"/>
      <c r="CN295" s="43"/>
      <c r="CO295" s="43"/>
      <c r="CP295" s="43"/>
      <c r="CQ295" s="43"/>
      <c r="CR295" s="43"/>
      <c r="CS295" s="43"/>
      <c r="CT295" s="43"/>
      <c r="CU295" s="43"/>
      <c r="CV295" s="43"/>
      <c r="CW295" s="43"/>
      <c r="CX295" s="43"/>
      <c r="CY295" s="43"/>
      <c r="CZ295" s="43"/>
      <c r="DA295" s="43"/>
      <c r="DB295" s="43"/>
      <c r="DC295" s="43"/>
      <c r="DD295" s="43"/>
      <c r="DE295" s="43"/>
      <c r="DF295" s="43"/>
      <c r="DG295" s="43"/>
      <c r="DH295" s="43"/>
      <c r="DI295" s="43"/>
      <c r="DJ295" s="43"/>
      <c r="DK295" s="43"/>
      <c r="DL295" s="43"/>
      <c r="DM295" s="43"/>
      <c r="DN295" s="43"/>
      <c r="DO295" s="43"/>
      <c r="DP295" s="43"/>
      <c r="DQ295" s="43"/>
      <c r="DR295" s="43"/>
      <c r="DS295" s="43"/>
      <c r="DT295" s="43"/>
      <c r="DU295" s="43"/>
      <c r="DV295" s="43"/>
      <c r="DW295" s="43"/>
      <c r="DX295" s="43"/>
      <c r="DY295" s="43"/>
      <c r="DZ295" s="43"/>
    </row>
    <row r="296" spans="2:130" s="46" customFormat="1" x14ac:dyDescent="0.15">
      <c r="B296" s="75" t="str">
        <f>IF(G296&lt;&gt;"",SUBTOTAL(3,$G$5:G296),"")</f>
        <v/>
      </c>
      <c r="C296" s="75"/>
      <c r="D296" s="75"/>
      <c r="E296" s="76"/>
      <c r="F296" s="76"/>
      <c r="G296" s="76"/>
      <c r="H296" s="61"/>
      <c r="I296" s="70">
        <v>1</v>
      </c>
      <c r="J296" s="77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  <c r="AA296" s="43"/>
      <c r="AB296" s="43"/>
      <c r="AC296" s="43"/>
      <c r="AD296" s="43"/>
      <c r="AE296" s="43"/>
      <c r="AF296" s="43"/>
      <c r="AG296" s="43"/>
      <c r="AH296" s="43"/>
      <c r="AI296" s="43"/>
      <c r="AJ296" s="43"/>
      <c r="AK296" s="43"/>
      <c r="AL296" s="43"/>
      <c r="AM296" s="43"/>
      <c r="AN296" s="43"/>
      <c r="AO296" s="43"/>
      <c r="AP296" s="43"/>
      <c r="AQ296" s="43"/>
      <c r="AR296" s="78"/>
      <c r="AS296" s="77" t="s">
        <v>363</v>
      </c>
      <c r="AT296" s="43"/>
      <c r="AU296" s="43"/>
      <c r="AV296" s="43"/>
      <c r="AW296" s="43"/>
      <c r="AX296" s="43"/>
      <c r="AY296" s="43"/>
      <c r="AZ296" s="43"/>
      <c r="BA296" s="43"/>
      <c r="BB296" s="43"/>
      <c r="BC296" s="43"/>
      <c r="BD296" s="43"/>
      <c r="BE296" s="43"/>
      <c r="BF296" s="43"/>
      <c r="BG296" s="43"/>
      <c r="BH296" s="43"/>
      <c r="BI296" s="43"/>
      <c r="BJ296" s="43"/>
      <c r="BK296" s="43"/>
      <c r="BL296" s="43"/>
      <c r="BM296" s="43"/>
      <c r="BN296" s="43"/>
      <c r="BO296" s="43"/>
      <c r="BP296" s="43"/>
      <c r="BQ296" s="43"/>
      <c r="BR296" s="43"/>
      <c r="BS296" s="43"/>
      <c r="BT296" s="43"/>
      <c r="BU296" s="43"/>
      <c r="BV296" s="43"/>
      <c r="BW296" s="43"/>
      <c r="BX296" s="43"/>
      <c r="BY296" s="43"/>
      <c r="BZ296" s="43"/>
      <c r="CA296" s="78"/>
      <c r="CB296" s="74"/>
      <c r="CC296" s="43"/>
      <c r="CD296" s="43"/>
      <c r="CE296" s="43"/>
      <c r="CF296" s="43"/>
      <c r="CG296" s="43"/>
      <c r="CH296" s="43"/>
      <c r="CI296" s="43"/>
      <c r="CJ296" s="43"/>
      <c r="CK296" s="43"/>
      <c r="CL296" s="43"/>
      <c r="CM296" s="43"/>
      <c r="CN296" s="43"/>
      <c r="CO296" s="43"/>
      <c r="CP296" s="43"/>
      <c r="CQ296" s="43"/>
      <c r="CR296" s="43"/>
      <c r="CS296" s="43"/>
      <c r="CT296" s="43"/>
      <c r="CU296" s="43"/>
      <c r="CV296" s="43"/>
      <c r="CW296" s="43"/>
      <c r="CX296" s="43"/>
      <c r="CY296" s="43"/>
      <c r="CZ296" s="43"/>
      <c r="DA296" s="43"/>
      <c r="DB296" s="43"/>
      <c r="DC296" s="43"/>
      <c r="DD296" s="43"/>
      <c r="DE296" s="43"/>
      <c r="DF296" s="43"/>
      <c r="DG296" s="43"/>
      <c r="DH296" s="43"/>
      <c r="DI296" s="43"/>
      <c r="DJ296" s="43"/>
      <c r="DK296" s="43"/>
      <c r="DL296" s="43"/>
      <c r="DM296" s="43"/>
      <c r="DN296" s="43"/>
      <c r="DO296" s="43"/>
      <c r="DP296" s="43"/>
      <c r="DQ296" s="43"/>
      <c r="DR296" s="43"/>
      <c r="DS296" s="43"/>
      <c r="DT296" s="43"/>
      <c r="DU296" s="43"/>
      <c r="DV296" s="43"/>
      <c r="DW296" s="43"/>
      <c r="DX296" s="43"/>
      <c r="DY296" s="43"/>
      <c r="DZ296" s="43"/>
    </row>
    <row r="297" spans="2:130" s="46" customFormat="1" x14ac:dyDescent="0.15">
      <c r="B297" s="75" t="str">
        <f>IF(G297&lt;&gt;"",SUBTOTAL(3,$G$5:G297),"")</f>
        <v/>
      </c>
      <c r="C297" s="75"/>
      <c r="D297" s="75"/>
      <c r="E297" s="76"/>
      <c r="F297" s="76"/>
      <c r="G297" s="76"/>
      <c r="H297" s="61"/>
      <c r="I297" s="70">
        <v>1</v>
      </c>
      <c r="J297" s="99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3"/>
      <c r="AN297" s="43"/>
      <c r="AO297" s="43"/>
      <c r="AP297" s="43"/>
      <c r="AQ297" s="43"/>
      <c r="AR297" s="78"/>
      <c r="AS297" s="99" t="s">
        <v>344</v>
      </c>
      <c r="AT297" s="43"/>
      <c r="AU297" s="43"/>
      <c r="AV297" s="43"/>
      <c r="AW297" s="43"/>
      <c r="AX297" s="43"/>
      <c r="AY297" s="43"/>
      <c r="AZ297" s="43"/>
      <c r="BA297" s="43"/>
      <c r="BB297" s="43"/>
      <c r="BC297" s="43"/>
      <c r="BD297" s="43"/>
      <c r="BE297" s="43"/>
      <c r="BF297" s="43"/>
      <c r="BG297" s="43"/>
      <c r="BH297" s="43"/>
      <c r="BI297" s="43"/>
      <c r="BJ297" s="43"/>
      <c r="BK297" s="43"/>
      <c r="BL297" s="43"/>
      <c r="BM297" s="43"/>
      <c r="BN297" s="43"/>
      <c r="BO297" s="43"/>
      <c r="BP297" s="43"/>
      <c r="BQ297" s="43"/>
      <c r="BR297" s="43"/>
      <c r="BS297" s="43"/>
      <c r="BT297" s="43"/>
      <c r="BU297" s="43"/>
      <c r="BV297" s="43"/>
      <c r="BW297" s="43"/>
      <c r="BX297" s="43"/>
      <c r="BY297" s="43"/>
      <c r="BZ297" s="43"/>
      <c r="CA297" s="78"/>
      <c r="CB297" s="74"/>
      <c r="CC297" s="43"/>
      <c r="CD297" s="43"/>
      <c r="CE297" s="43"/>
      <c r="CF297" s="43"/>
      <c r="CG297" s="43"/>
      <c r="CH297" s="43"/>
      <c r="CI297" s="43"/>
      <c r="CJ297" s="43"/>
      <c r="CK297" s="43"/>
      <c r="CL297" s="43"/>
      <c r="CM297" s="43"/>
      <c r="CN297" s="43"/>
      <c r="CO297" s="43"/>
      <c r="CP297" s="43"/>
      <c r="CQ297" s="43"/>
      <c r="CR297" s="43"/>
      <c r="CS297" s="43"/>
      <c r="CT297" s="43"/>
      <c r="CU297" s="43"/>
      <c r="CV297" s="43"/>
      <c r="CW297" s="43"/>
      <c r="CX297" s="43"/>
      <c r="CY297" s="43"/>
      <c r="CZ297" s="43"/>
      <c r="DA297" s="43"/>
      <c r="DB297" s="43"/>
      <c r="DC297" s="43"/>
      <c r="DD297" s="43"/>
      <c r="DE297" s="43"/>
      <c r="DF297" s="43"/>
      <c r="DG297" s="43"/>
      <c r="DH297" s="43"/>
      <c r="DI297" s="43"/>
      <c r="DJ297" s="43"/>
      <c r="DK297" s="43"/>
      <c r="DL297" s="43"/>
      <c r="DM297" s="43"/>
      <c r="DN297" s="43"/>
      <c r="DO297" s="43"/>
      <c r="DP297" s="43"/>
      <c r="DQ297" s="43"/>
      <c r="DR297" s="43"/>
      <c r="DS297" s="43"/>
      <c r="DT297" s="43"/>
      <c r="DU297" s="43"/>
      <c r="DV297" s="43"/>
      <c r="DW297" s="43"/>
      <c r="DX297" s="43"/>
      <c r="DY297" s="43"/>
      <c r="DZ297" s="43"/>
    </row>
    <row r="298" spans="2:130" s="46" customFormat="1" x14ac:dyDescent="0.15">
      <c r="B298" s="75" t="str">
        <f>IF(G298&lt;&gt;"",SUBTOTAL(3,$G$5:G298),"")</f>
        <v/>
      </c>
      <c r="C298" s="75"/>
      <c r="D298" s="75"/>
      <c r="E298" s="76"/>
      <c r="F298" s="76"/>
      <c r="G298" s="76"/>
      <c r="H298" s="61"/>
      <c r="I298" s="70">
        <v>1</v>
      </c>
      <c r="J298" s="99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3"/>
      <c r="AN298" s="43"/>
      <c r="AO298" s="43"/>
      <c r="AP298" s="43"/>
      <c r="AQ298" s="43"/>
      <c r="AR298" s="78"/>
      <c r="AS298" s="99" t="s">
        <v>345</v>
      </c>
      <c r="AT298" s="43"/>
      <c r="AU298" s="43"/>
      <c r="AV298" s="43"/>
      <c r="AW298" s="43"/>
      <c r="AX298" s="43"/>
      <c r="AY298" s="43"/>
      <c r="AZ298" s="43"/>
      <c r="BA298" s="43"/>
      <c r="BB298" s="43"/>
      <c r="BC298" s="43"/>
      <c r="BD298" s="43"/>
      <c r="BE298" s="43"/>
      <c r="BF298" s="43"/>
      <c r="BG298" s="43"/>
      <c r="BH298" s="43"/>
      <c r="BI298" s="43"/>
      <c r="BJ298" s="43"/>
      <c r="BK298" s="43"/>
      <c r="BL298" s="43"/>
      <c r="BM298" s="43"/>
      <c r="BN298" s="43"/>
      <c r="BO298" s="43"/>
      <c r="BP298" s="43"/>
      <c r="BQ298" s="43"/>
      <c r="BR298" s="43"/>
      <c r="BS298" s="43"/>
      <c r="BT298" s="43"/>
      <c r="BU298" s="43"/>
      <c r="BV298" s="43"/>
      <c r="BW298" s="43"/>
      <c r="BX298" s="43"/>
      <c r="BY298" s="43"/>
      <c r="BZ298" s="43"/>
      <c r="CA298" s="78"/>
      <c r="CB298" s="74"/>
      <c r="CC298" s="43"/>
      <c r="CD298" s="43"/>
      <c r="CE298" s="43"/>
      <c r="CF298" s="43"/>
      <c r="CG298" s="43"/>
      <c r="CH298" s="43"/>
      <c r="CI298" s="43"/>
      <c r="CJ298" s="43"/>
      <c r="CK298" s="43"/>
      <c r="CL298" s="43"/>
      <c r="CM298" s="43"/>
      <c r="CN298" s="43"/>
      <c r="CO298" s="43"/>
      <c r="CP298" s="43"/>
      <c r="CQ298" s="43"/>
      <c r="CR298" s="43"/>
      <c r="CS298" s="43"/>
      <c r="CT298" s="43"/>
      <c r="CU298" s="43"/>
      <c r="CV298" s="43"/>
      <c r="CW298" s="43"/>
      <c r="CX298" s="43"/>
      <c r="CY298" s="43"/>
      <c r="CZ298" s="43"/>
      <c r="DA298" s="43"/>
      <c r="DB298" s="43"/>
      <c r="DC298" s="43"/>
      <c r="DD298" s="43"/>
      <c r="DE298" s="43"/>
      <c r="DF298" s="43"/>
      <c r="DG298" s="43"/>
      <c r="DH298" s="43"/>
      <c r="DI298" s="43"/>
      <c r="DJ298" s="43"/>
      <c r="DK298" s="43"/>
      <c r="DL298" s="43"/>
      <c r="DM298" s="43"/>
      <c r="DN298" s="43"/>
      <c r="DO298" s="43"/>
      <c r="DP298" s="43"/>
      <c r="DQ298" s="43"/>
      <c r="DR298" s="43"/>
      <c r="DS298" s="43"/>
      <c r="DT298" s="43"/>
      <c r="DU298" s="43"/>
      <c r="DV298" s="43"/>
      <c r="DW298" s="43"/>
      <c r="DX298" s="43"/>
      <c r="DY298" s="43"/>
      <c r="DZ298" s="43"/>
    </row>
    <row r="299" spans="2:130" s="46" customFormat="1" x14ac:dyDescent="0.15">
      <c r="B299" s="75" t="str">
        <f>IF(G299&lt;&gt;"",SUBTOTAL(3,$G$5:G299),"")</f>
        <v/>
      </c>
      <c r="C299" s="75"/>
      <c r="D299" s="75"/>
      <c r="E299" s="76"/>
      <c r="F299" s="76"/>
      <c r="G299" s="76"/>
      <c r="H299" s="61"/>
      <c r="I299" s="70">
        <v>1</v>
      </c>
      <c r="J299" s="99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3"/>
      <c r="AN299" s="43"/>
      <c r="AO299" s="43"/>
      <c r="AP299" s="43"/>
      <c r="AQ299" s="43"/>
      <c r="AR299" s="78"/>
      <c r="AS299" s="99" t="s">
        <v>346</v>
      </c>
      <c r="AT299" s="43"/>
      <c r="AU299" s="43"/>
      <c r="AV299" s="43"/>
      <c r="AW299" s="43"/>
      <c r="AX299" s="43"/>
      <c r="AY299" s="43"/>
      <c r="AZ299" s="43"/>
      <c r="BA299" s="43"/>
      <c r="BB299" s="43"/>
      <c r="BC299" s="43"/>
      <c r="BD299" s="43"/>
      <c r="BE299" s="43"/>
      <c r="BF299" s="43"/>
      <c r="BG299" s="43"/>
      <c r="BH299" s="43"/>
      <c r="BI299" s="43"/>
      <c r="BJ299" s="43"/>
      <c r="BK299" s="43"/>
      <c r="BL299" s="43"/>
      <c r="BM299" s="43"/>
      <c r="BN299" s="43"/>
      <c r="BO299" s="43"/>
      <c r="BP299" s="43"/>
      <c r="BQ299" s="43"/>
      <c r="BR299" s="43"/>
      <c r="BS299" s="43"/>
      <c r="BT299" s="43"/>
      <c r="BU299" s="43"/>
      <c r="BV299" s="43"/>
      <c r="BW299" s="43"/>
      <c r="BX299" s="43"/>
      <c r="BY299" s="43"/>
      <c r="BZ299" s="43"/>
      <c r="CA299" s="78"/>
      <c r="CB299" s="74"/>
      <c r="CC299" s="43"/>
      <c r="CD299" s="43"/>
      <c r="CE299" s="43"/>
      <c r="CF299" s="43"/>
      <c r="CG299" s="43"/>
      <c r="CH299" s="43"/>
      <c r="CI299" s="43"/>
      <c r="CJ299" s="43"/>
      <c r="CK299" s="43"/>
      <c r="CL299" s="43"/>
      <c r="CM299" s="43"/>
      <c r="CN299" s="43"/>
      <c r="CO299" s="43"/>
      <c r="CP299" s="43"/>
      <c r="CQ299" s="43"/>
      <c r="CR299" s="43"/>
      <c r="CS299" s="43"/>
      <c r="CT299" s="43"/>
      <c r="CU299" s="43"/>
      <c r="CV299" s="43"/>
      <c r="CW299" s="43"/>
      <c r="CX299" s="43"/>
      <c r="CY299" s="43"/>
      <c r="CZ299" s="43"/>
      <c r="DA299" s="43"/>
      <c r="DB299" s="43"/>
      <c r="DC299" s="43"/>
      <c r="DD299" s="43"/>
      <c r="DE299" s="43"/>
      <c r="DF299" s="43"/>
      <c r="DG299" s="43"/>
      <c r="DH299" s="43"/>
      <c r="DI299" s="43"/>
      <c r="DJ299" s="43"/>
      <c r="DK299" s="43"/>
      <c r="DL299" s="43"/>
      <c r="DM299" s="43"/>
      <c r="DN299" s="43"/>
      <c r="DO299" s="43"/>
      <c r="DP299" s="43"/>
      <c r="DQ299" s="43"/>
      <c r="DR299" s="43"/>
      <c r="DS299" s="43"/>
      <c r="DT299" s="43"/>
      <c r="DU299" s="43"/>
      <c r="DV299" s="43"/>
      <c r="DW299" s="43"/>
      <c r="DX299" s="43"/>
      <c r="DY299" s="43"/>
      <c r="DZ299" s="43"/>
    </row>
    <row r="300" spans="2:130" s="46" customFormat="1" x14ac:dyDescent="0.15">
      <c r="B300" s="75" t="str">
        <f>IF(G300&lt;&gt;"",SUBTOTAL(3,$G$5:G300),"")</f>
        <v/>
      </c>
      <c r="C300" s="75"/>
      <c r="D300" s="75"/>
      <c r="E300" s="76"/>
      <c r="F300" s="76"/>
      <c r="G300" s="76"/>
      <c r="H300" s="61"/>
      <c r="I300" s="70">
        <v>1</v>
      </c>
      <c r="J300" s="99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  <c r="AA300" s="43"/>
      <c r="AB300" s="43"/>
      <c r="AC300" s="43"/>
      <c r="AD300" s="43"/>
      <c r="AE300" s="43"/>
      <c r="AF300" s="43"/>
      <c r="AG300" s="43"/>
      <c r="AH300" s="43"/>
      <c r="AI300" s="43"/>
      <c r="AJ300" s="43"/>
      <c r="AK300" s="43"/>
      <c r="AL300" s="43"/>
      <c r="AM300" s="43"/>
      <c r="AN300" s="43"/>
      <c r="AO300" s="43"/>
      <c r="AP300" s="43"/>
      <c r="AQ300" s="43"/>
      <c r="AR300" s="78"/>
      <c r="AS300" s="99" t="s">
        <v>347</v>
      </c>
      <c r="AT300" s="43"/>
      <c r="AU300" s="43"/>
      <c r="AV300" s="43"/>
      <c r="AW300" s="43"/>
      <c r="AX300" s="43"/>
      <c r="AY300" s="43"/>
      <c r="AZ300" s="43"/>
      <c r="BA300" s="43"/>
      <c r="BB300" s="43"/>
      <c r="BC300" s="43"/>
      <c r="BD300" s="43"/>
      <c r="BE300" s="43"/>
      <c r="BF300" s="43"/>
      <c r="BG300" s="43"/>
      <c r="BH300" s="43"/>
      <c r="BI300" s="43"/>
      <c r="BJ300" s="43"/>
      <c r="BK300" s="43"/>
      <c r="BL300" s="43"/>
      <c r="BM300" s="43"/>
      <c r="BN300" s="43"/>
      <c r="BO300" s="43"/>
      <c r="BP300" s="43"/>
      <c r="BQ300" s="43"/>
      <c r="BR300" s="43"/>
      <c r="BS300" s="43"/>
      <c r="BT300" s="43"/>
      <c r="BU300" s="43"/>
      <c r="BV300" s="43"/>
      <c r="BW300" s="43"/>
      <c r="BX300" s="43"/>
      <c r="BY300" s="43"/>
      <c r="BZ300" s="43"/>
      <c r="CA300" s="78"/>
      <c r="CB300" s="74"/>
      <c r="CC300" s="43"/>
      <c r="CD300" s="43"/>
      <c r="CE300" s="43"/>
      <c r="CF300" s="43"/>
      <c r="CG300" s="43"/>
      <c r="CH300" s="43"/>
      <c r="CI300" s="43"/>
      <c r="CJ300" s="43"/>
      <c r="CK300" s="43"/>
      <c r="CL300" s="43"/>
      <c r="CM300" s="43"/>
      <c r="CN300" s="43"/>
      <c r="CO300" s="43"/>
      <c r="CP300" s="43"/>
      <c r="CQ300" s="43"/>
      <c r="CR300" s="43"/>
      <c r="CS300" s="43"/>
      <c r="CT300" s="43"/>
      <c r="CU300" s="43"/>
      <c r="CV300" s="43"/>
      <c r="CW300" s="43"/>
      <c r="CX300" s="43"/>
      <c r="CY300" s="43"/>
      <c r="CZ300" s="43"/>
      <c r="DA300" s="43"/>
      <c r="DB300" s="43"/>
      <c r="DC300" s="43"/>
      <c r="DD300" s="43"/>
      <c r="DE300" s="43"/>
      <c r="DF300" s="43"/>
      <c r="DG300" s="43"/>
      <c r="DH300" s="43"/>
      <c r="DI300" s="43"/>
      <c r="DJ300" s="43"/>
      <c r="DK300" s="43"/>
      <c r="DL300" s="43"/>
      <c r="DM300" s="43"/>
      <c r="DN300" s="43"/>
      <c r="DO300" s="43"/>
      <c r="DP300" s="43"/>
      <c r="DQ300" s="43"/>
      <c r="DR300" s="43"/>
      <c r="DS300" s="43"/>
      <c r="DT300" s="43"/>
      <c r="DU300" s="43"/>
      <c r="DV300" s="43"/>
      <c r="DW300" s="43"/>
      <c r="DX300" s="43"/>
      <c r="DY300" s="43"/>
      <c r="DZ300" s="43"/>
    </row>
    <row r="301" spans="2:130" s="46" customFormat="1" x14ac:dyDescent="0.15">
      <c r="B301" s="75" t="str">
        <f>IF(G301&lt;&gt;"",SUBTOTAL(3,$G$5:G301),"")</f>
        <v/>
      </c>
      <c r="C301" s="75"/>
      <c r="D301" s="75"/>
      <c r="E301" s="76"/>
      <c r="F301" s="76"/>
      <c r="G301" s="76"/>
      <c r="H301" s="61"/>
      <c r="I301" s="70">
        <v>1</v>
      </c>
      <c r="J301" s="99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  <c r="AA301" s="43"/>
      <c r="AB301" s="43"/>
      <c r="AC301" s="43"/>
      <c r="AD301" s="43"/>
      <c r="AE301" s="43"/>
      <c r="AF301" s="43"/>
      <c r="AG301" s="43"/>
      <c r="AH301" s="43"/>
      <c r="AI301" s="43"/>
      <c r="AJ301" s="43"/>
      <c r="AK301" s="43"/>
      <c r="AL301" s="43"/>
      <c r="AM301" s="43"/>
      <c r="AN301" s="43"/>
      <c r="AO301" s="43"/>
      <c r="AP301" s="43"/>
      <c r="AQ301" s="43"/>
      <c r="AR301" s="78"/>
      <c r="AS301" s="99" t="s">
        <v>351</v>
      </c>
      <c r="AT301" s="43"/>
      <c r="AU301" s="43"/>
      <c r="AV301" s="43"/>
      <c r="AW301" s="43"/>
      <c r="AX301" s="43"/>
      <c r="AY301" s="43"/>
      <c r="AZ301" s="43"/>
      <c r="BA301" s="43"/>
      <c r="BB301" s="43"/>
      <c r="BC301" s="43"/>
      <c r="BD301" s="43"/>
      <c r="BE301" s="43"/>
      <c r="BF301" s="43"/>
      <c r="BG301" s="43"/>
      <c r="BH301" s="43"/>
      <c r="BI301" s="43"/>
      <c r="BJ301" s="43"/>
      <c r="BK301" s="43"/>
      <c r="BL301" s="43"/>
      <c r="BM301" s="43"/>
      <c r="BN301" s="43"/>
      <c r="BO301" s="43"/>
      <c r="BP301" s="43"/>
      <c r="BQ301" s="43"/>
      <c r="BR301" s="43"/>
      <c r="BS301" s="43"/>
      <c r="BT301" s="43"/>
      <c r="BU301" s="43"/>
      <c r="BV301" s="43"/>
      <c r="BW301" s="43"/>
      <c r="BX301" s="43"/>
      <c r="BY301" s="43"/>
      <c r="BZ301" s="43"/>
      <c r="CA301" s="78"/>
      <c r="CB301" s="74"/>
      <c r="CC301" s="43"/>
      <c r="CD301" s="43"/>
      <c r="CE301" s="43"/>
      <c r="CF301" s="43"/>
      <c r="CG301" s="43"/>
      <c r="CH301" s="43"/>
      <c r="CI301" s="43"/>
      <c r="CJ301" s="43"/>
      <c r="CK301" s="43"/>
      <c r="CL301" s="43"/>
      <c r="CM301" s="43"/>
      <c r="CN301" s="43"/>
      <c r="CO301" s="43"/>
      <c r="CP301" s="43"/>
      <c r="CQ301" s="43"/>
      <c r="CR301" s="43"/>
      <c r="CS301" s="43"/>
      <c r="CT301" s="43"/>
      <c r="CU301" s="43"/>
      <c r="CV301" s="43"/>
      <c r="CW301" s="43"/>
      <c r="CX301" s="43"/>
      <c r="CY301" s="43"/>
      <c r="CZ301" s="43"/>
      <c r="DA301" s="43"/>
      <c r="DB301" s="43"/>
      <c r="DC301" s="43"/>
      <c r="DD301" s="43"/>
      <c r="DE301" s="43"/>
      <c r="DF301" s="43"/>
      <c r="DG301" s="43"/>
      <c r="DH301" s="43"/>
      <c r="DI301" s="43"/>
      <c r="DJ301" s="43"/>
      <c r="DK301" s="43"/>
      <c r="DL301" s="43"/>
      <c r="DM301" s="43"/>
      <c r="DN301" s="43"/>
      <c r="DO301" s="43"/>
      <c r="DP301" s="43"/>
      <c r="DQ301" s="43"/>
      <c r="DR301" s="43"/>
      <c r="DS301" s="43"/>
      <c r="DT301" s="43"/>
      <c r="DU301" s="43"/>
      <c r="DV301" s="43"/>
      <c r="DW301" s="43"/>
      <c r="DX301" s="43"/>
      <c r="DY301" s="43"/>
      <c r="DZ301" s="43"/>
    </row>
    <row r="302" spans="2:130" s="46" customFormat="1" x14ac:dyDescent="0.15">
      <c r="B302" s="75" t="str">
        <f>IF(G302&lt;&gt;"",SUBTOTAL(3,$G$5:G302),"")</f>
        <v/>
      </c>
      <c r="C302" s="75"/>
      <c r="D302" s="75"/>
      <c r="E302" s="76"/>
      <c r="F302" s="76"/>
      <c r="G302" s="76"/>
      <c r="H302" s="61"/>
      <c r="I302" s="70">
        <v>1</v>
      </c>
      <c r="J302" s="99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  <c r="AA302" s="43"/>
      <c r="AB302" s="43"/>
      <c r="AC302" s="43"/>
      <c r="AD302" s="43"/>
      <c r="AE302" s="43"/>
      <c r="AF302" s="43"/>
      <c r="AG302" s="43"/>
      <c r="AH302" s="43"/>
      <c r="AI302" s="43"/>
      <c r="AJ302" s="43"/>
      <c r="AK302" s="43"/>
      <c r="AL302" s="43"/>
      <c r="AM302" s="43"/>
      <c r="AN302" s="43"/>
      <c r="AO302" s="43"/>
      <c r="AP302" s="43"/>
      <c r="AQ302" s="43"/>
      <c r="AR302" s="78"/>
      <c r="AS302" s="99" t="s">
        <v>348</v>
      </c>
      <c r="AT302" s="43"/>
      <c r="AU302" s="43"/>
      <c r="AV302" s="43"/>
      <c r="AW302" s="43"/>
      <c r="AX302" s="43"/>
      <c r="AY302" s="43"/>
      <c r="AZ302" s="43"/>
      <c r="BA302" s="43"/>
      <c r="BB302" s="43"/>
      <c r="BC302" s="43"/>
      <c r="BD302" s="43"/>
      <c r="BE302" s="43"/>
      <c r="BF302" s="43"/>
      <c r="BG302" s="43"/>
      <c r="BH302" s="43"/>
      <c r="BI302" s="43"/>
      <c r="BJ302" s="43"/>
      <c r="BK302" s="43"/>
      <c r="BL302" s="43"/>
      <c r="BM302" s="43"/>
      <c r="BN302" s="43"/>
      <c r="BO302" s="43"/>
      <c r="BP302" s="43"/>
      <c r="BQ302" s="43"/>
      <c r="BR302" s="43"/>
      <c r="BS302" s="43"/>
      <c r="BT302" s="43"/>
      <c r="BU302" s="43"/>
      <c r="BV302" s="43"/>
      <c r="BW302" s="43"/>
      <c r="BX302" s="43"/>
      <c r="BY302" s="43"/>
      <c r="BZ302" s="43"/>
      <c r="CA302" s="78"/>
      <c r="CB302" s="74"/>
      <c r="CC302" s="43"/>
      <c r="CD302" s="43"/>
      <c r="CE302" s="43"/>
      <c r="CF302" s="43"/>
      <c r="CG302" s="43"/>
      <c r="CH302" s="43"/>
      <c r="CI302" s="43"/>
      <c r="CJ302" s="43"/>
      <c r="CK302" s="43"/>
      <c r="CL302" s="43"/>
      <c r="CM302" s="43"/>
      <c r="CN302" s="43"/>
      <c r="CO302" s="43"/>
      <c r="CP302" s="43"/>
      <c r="CQ302" s="43"/>
      <c r="CR302" s="43"/>
      <c r="CS302" s="43"/>
      <c r="CT302" s="43"/>
      <c r="CU302" s="43"/>
      <c r="CV302" s="43"/>
      <c r="CW302" s="43"/>
      <c r="CX302" s="43"/>
      <c r="CY302" s="43"/>
      <c r="CZ302" s="43"/>
      <c r="DA302" s="43"/>
      <c r="DB302" s="43"/>
      <c r="DC302" s="43"/>
      <c r="DD302" s="43"/>
      <c r="DE302" s="43"/>
      <c r="DF302" s="43"/>
      <c r="DG302" s="43"/>
      <c r="DH302" s="43"/>
      <c r="DI302" s="43"/>
      <c r="DJ302" s="43"/>
      <c r="DK302" s="43"/>
      <c r="DL302" s="43"/>
      <c r="DM302" s="43"/>
      <c r="DN302" s="43"/>
      <c r="DO302" s="43"/>
      <c r="DP302" s="43"/>
      <c r="DQ302" s="43"/>
      <c r="DR302" s="43"/>
      <c r="DS302" s="43"/>
      <c r="DT302" s="43"/>
      <c r="DU302" s="43"/>
      <c r="DV302" s="43"/>
      <c r="DW302" s="43"/>
      <c r="DX302" s="43"/>
      <c r="DY302" s="43"/>
      <c r="DZ302" s="43"/>
    </row>
    <row r="303" spans="2:130" s="46" customFormat="1" x14ac:dyDescent="0.15">
      <c r="B303" s="75" t="str">
        <f>IF(G303&lt;&gt;"",SUBTOTAL(3,$G$5:G303),"")</f>
        <v/>
      </c>
      <c r="C303" s="75"/>
      <c r="D303" s="75"/>
      <c r="E303" s="76"/>
      <c r="F303" s="76"/>
      <c r="G303" s="76"/>
      <c r="H303" s="61"/>
      <c r="I303" s="70">
        <v>1</v>
      </c>
      <c r="J303" s="99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3"/>
      <c r="AN303" s="43"/>
      <c r="AO303" s="43"/>
      <c r="AP303" s="43"/>
      <c r="AQ303" s="43"/>
      <c r="AR303" s="78"/>
      <c r="AS303" s="99" t="s">
        <v>349</v>
      </c>
      <c r="AT303" s="43"/>
      <c r="AU303" s="43"/>
      <c r="AV303" s="43"/>
      <c r="AW303" s="43"/>
      <c r="AX303" s="43"/>
      <c r="AY303" s="43"/>
      <c r="AZ303" s="43"/>
      <c r="BA303" s="43"/>
      <c r="BB303" s="43"/>
      <c r="BC303" s="43"/>
      <c r="BD303" s="43"/>
      <c r="BE303" s="43"/>
      <c r="BF303" s="43"/>
      <c r="BG303" s="43"/>
      <c r="BH303" s="43"/>
      <c r="BI303" s="43"/>
      <c r="BJ303" s="43"/>
      <c r="BK303" s="43"/>
      <c r="BL303" s="43"/>
      <c r="BM303" s="43"/>
      <c r="BN303" s="43"/>
      <c r="BO303" s="43"/>
      <c r="BP303" s="43"/>
      <c r="BQ303" s="43"/>
      <c r="BR303" s="43"/>
      <c r="BS303" s="43"/>
      <c r="BT303" s="43"/>
      <c r="BU303" s="43"/>
      <c r="BV303" s="43"/>
      <c r="BW303" s="43"/>
      <c r="BX303" s="43"/>
      <c r="BY303" s="43"/>
      <c r="BZ303" s="43"/>
      <c r="CA303" s="78"/>
      <c r="CB303" s="74"/>
      <c r="CC303" s="43"/>
      <c r="CD303" s="43"/>
      <c r="CE303" s="43"/>
      <c r="CF303" s="43"/>
      <c r="CG303" s="43"/>
      <c r="CH303" s="43"/>
      <c r="CI303" s="43"/>
      <c r="CJ303" s="43"/>
      <c r="CK303" s="43"/>
      <c r="CL303" s="43"/>
      <c r="CM303" s="43"/>
      <c r="CN303" s="43"/>
      <c r="CO303" s="43"/>
      <c r="CP303" s="43"/>
      <c r="CQ303" s="43"/>
      <c r="CR303" s="43"/>
      <c r="CS303" s="43"/>
      <c r="CT303" s="43"/>
      <c r="CU303" s="43"/>
      <c r="CV303" s="43"/>
      <c r="CW303" s="43"/>
      <c r="CX303" s="43"/>
      <c r="CY303" s="43"/>
      <c r="CZ303" s="43"/>
      <c r="DA303" s="43"/>
      <c r="DB303" s="43"/>
      <c r="DC303" s="43"/>
      <c r="DD303" s="43"/>
      <c r="DE303" s="43"/>
      <c r="DF303" s="43"/>
      <c r="DG303" s="43"/>
      <c r="DH303" s="43"/>
      <c r="DI303" s="43"/>
      <c r="DJ303" s="43"/>
      <c r="DK303" s="43"/>
      <c r="DL303" s="43"/>
      <c r="DM303" s="43"/>
      <c r="DN303" s="43"/>
      <c r="DO303" s="43"/>
      <c r="DP303" s="43"/>
      <c r="DQ303" s="43"/>
      <c r="DR303" s="43"/>
      <c r="DS303" s="43"/>
      <c r="DT303" s="43"/>
      <c r="DU303" s="43"/>
      <c r="DV303" s="43"/>
      <c r="DW303" s="43"/>
      <c r="DX303" s="43"/>
      <c r="DY303" s="43"/>
      <c r="DZ303" s="43"/>
    </row>
    <row r="304" spans="2:130" s="46" customFormat="1" x14ac:dyDescent="0.15">
      <c r="B304" s="75" t="str">
        <f>IF(G304&lt;&gt;"",SUBTOTAL(3,$G$5:G304),"")</f>
        <v/>
      </c>
      <c r="C304" s="75"/>
      <c r="D304" s="75"/>
      <c r="E304" s="76"/>
      <c r="F304" s="76"/>
      <c r="G304" s="76"/>
      <c r="H304" s="61"/>
      <c r="I304" s="70">
        <v>1</v>
      </c>
      <c r="J304" s="77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3"/>
      <c r="AN304" s="43"/>
      <c r="AO304" s="43"/>
      <c r="AP304" s="43"/>
      <c r="AQ304" s="43"/>
      <c r="AR304" s="78"/>
      <c r="AS304" s="77"/>
      <c r="AT304" s="43"/>
      <c r="AU304" s="43"/>
      <c r="AV304" s="43"/>
      <c r="AW304" s="43"/>
      <c r="AX304" s="43"/>
      <c r="AY304" s="43"/>
      <c r="AZ304" s="43"/>
      <c r="BA304" s="43"/>
      <c r="BB304" s="43"/>
      <c r="BC304" s="43"/>
      <c r="BD304" s="43"/>
      <c r="BE304" s="43"/>
      <c r="BF304" s="43"/>
      <c r="BG304" s="43"/>
      <c r="BH304" s="43"/>
      <c r="BI304" s="43"/>
      <c r="BJ304" s="43"/>
      <c r="BK304" s="43"/>
      <c r="BL304" s="43"/>
      <c r="BM304" s="43"/>
      <c r="BN304" s="43"/>
      <c r="BO304" s="43"/>
      <c r="BP304" s="43"/>
      <c r="BQ304" s="43"/>
      <c r="BR304" s="43"/>
      <c r="BS304" s="43"/>
      <c r="BT304" s="43"/>
      <c r="BU304" s="43"/>
      <c r="BV304" s="43"/>
      <c r="BW304" s="43"/>
      <c r="BX304" s="43"/>
      <c r="BY304" s="43"/>
      <c r="BZ304" s="43"/>
      <c r="CA304" s="78"/>
      <c r="CB304" s="74"/>
      <c r="CC304" s="43"/>
      <c r="CD304" s="43"/>
      <c r="CE304" s="43"/>
      <c r="CF304" s="43"/>
      <c r="CG304" s="43"/>
      <c r="CH304" s="43"/>
      <c r="CI304" s="43"/>
      <c r="CJ304" s="43"/>
      <c r="CK304" s="43"/>
      <c r="CL304" s="43"/>
      <c r="CM304" s="43"/>
      <c r="CN304" s="43"/>
      <c r="CO304" s="43"/>
      <c r="CP304" s="43"/>
      <c r="CQ304" s="43"/>
      <c r="CR304" s="43"/>
      <c r="CS304" s="43"/>
      <c r="CT304" s="43"/>
      <c r="CU304" s="43"/>
      <c r="CV304" s="43"/>
      <c r="CW304" s="43"/>
      <c r="CX304" s="43"/>
      <c r="CY304" s="43"/>
      <c r="CZ304" s="43"/>
      <c r="DA304" s="43"/>
      <c r="DB304" s="43"/>
      <c r="DC304" s="43"/>
      <c r="DD304" s="43"/>
      <c r="DE304" s="43"/>
      <c r="DF304" s="43"/>
      <c r="DG304" s="43"/>
      <c r="DH304" s="43"/>
      <c r="DI304" s="43"/>
      <c r="DJ304" s="43"/>
      <c r="DK304" s="43"/>
      <c r="DL304" s="43"/>
      <c r="DM304" s="43"/>
      <c r="DN304" s="43"/>
      <c r="DO304" s="43"/>
      <c r="DP304" s="43"/>
      <c r="DQ304" s="43"/>
      <c r="DR304" s="43"/>
      <c r="DS304" s="43"/>
      <c r="DT304" s="43"/>
      <c r="DU304" s="43"/>
      <c r="DV304" s="43"/>
      <c r="DW304" s="43"/>
      <c r="DX304" s="43"/>
      <c r="DY304" s="43"/>
      <c r="DZ304" s="43"/>
    </row>
    <row r="305" spans="2:130" s="46" customFormat="1" ht="14.25" customHeight="1" x14ac:dyDescent="0.15">
      <c r="B305" s="75">
        <f>IF(G305&lt;&gt;"",SUBTOTAL(3,$G$5:G305),"")</f>
        <v>91</v>
      </c>
      <c r="C305" s="75"/>
      <c r="D305" s="75"/>
      <c r="E305" s="76" t="s">
        <v>139</v>
      </c>
      <c r="F305" s="76" t="s">
        <v>142</v>
      </c>
      <c r="G305" s="76" t="s">
        <v>239</v>
      </c>
      <c r="H305" s="61">
        <v>44108</v>
      </c>
      <c r="I305" s="62">
        <v>0.5</v>
      </c>
      <c r="J305" s="77" t="s">
        <v>1</v>
      </c>
      <c r="K305" s="43" t="s">
        <v>353</v>
      </c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3"/>
      <c r="AN305" s="43"/>
      <c r="AO305" s="43"/>
      <c r="AP305" s="43"/>
      <c r="AQ305" s="43"/>
      <c r="AR305" s="78"/>
      <c r="AS305" s="77"/>
      <c r="AT305" s="43"/>
      <c r="AU305" s="43"/>
      <c r="AV305" s="43"/>
      <c r="AW305" s="43"/>
      <c r="AX305" s="43"/>
      <c r="AY305" s="43"/>
      <c r="AZ305" s="43"/>
      <c r="BA305" s="43"/>
      <c r="BB305" s="43"/>
      <c r="BC305" s="43"/>
      <c r="BD305" s="43"/>
      <c r="BE305" s="43"/>
      <c r="BF305" s="43"/>
      <c r="BG305" s="43"/>
      <c r="BH305" s="43"/>
      <c r="BI305" s="43"/>
      <c r="BJ305" s="43"/>
      <c r="BK305" s="43"/>
      <c r="BL305" s="43"/>
      <c r="BM305" s="43"/>
      <c r="BN305" s="43"/>
      <c r="BO305" s="43"/>
      <c r="BP305" s="43"/>
      <c r="BQ305" s="43"/>
      <c r="BR305" s="43"/>
      <c r="BS305" s="43"/>
      <c r="BT305" s="43"/>
      <c r="BU305" s="43"/>
      <c r="BV305" s="43"/>
      <c r="BW305" s="43"/>
      <c r="BX305" s="43"/>
      <c r="BY305" s="43"/>
      <c r="BZ305" s="43"/>
      <c r="CA305" s="78"/>
      <c r="CB305" s="74"/>
      <c r="CC305" s="43"/>
      <c r="CD305" s="43"/>
      <c r="CE305" s="43"/>
      <c r="CF305" s="43"/>
      <c r="CG305" s="43"/>
      <c r="CH305" s="43"/>
      <c r="CI305" s="43"/>
      <c r="CJ305" s="43"/>
      <c r="CK305" s="43"/>
      <c r="CL305" s="43"/>
      <c r="CM305" s="43"/>
      <c r="CN305" s="43"/>
      <c r="CO305" s="43"/>
      <c r="CP305" s="43"/>
      <c r="CQ305" s="43"/>
      <c r="CR305" s="43"/>
      <c r="CS305" s="43"/>
      <c r="CT305" s="43"/>
      <c r="CU305" s="43"/>
      <c r="CV305" s="43"/>
      <c r="CW305" s="43"/>
      <c r="CX305" s="43"/>
      <c r="CY305" s="43"/>
      <c r="CZ305" s="43"/>
      <c r="DA305" s="43"/>
      <c r="DB305" s="43"/>
      <c r="DC305" s="43"/>
      <c r="DD305" s="43"/>
      <c r="DE305" s="43"/>
      <c r="DF305" s="43"/>
      <c r="DG305" s="43"/>
      <c r="DH305" s="43"/>
      <c r="DI305" s="43"/>
      <c r="DJ305" s="43"/>
      <c r="DK305" s="43"/>
      <c r="DL305" s="43"/>
      <c r="DM305" s="43"/>
      <c r="DN305" s="43"/>
      <c r="DO305" s="43"/>
      <c r="DP305" s="43"/>
      <c r="DQ305" s="43"/>
      <c r="DR305" s="43"/>
      <c r="DS305" s="43"/>
      <c r="DT305" s="43"/>
      <c r="DU305" s="43"/>
      <c r="DV305" s="43"/>
      <c r="DW305" s="43"/>
      <c r="DX305" s="43"/>
      <c r="DY305" s="43"/>
      <c r="DZ305" s="43"/>
    </row>
    <row r="306" spans="2:130" s="46" customFormat="1" ht="14.25" customHeight="1" x14ac:dyDescent="0.15">
      <c r="B306" s="75" t="str">
        <f>IF(G306&lt;&gt;"",SUBTOTAL(3,$G$5:G306),"")</f>
        <v/>
      </c>
      <c r="C306" s="75"/>
      <c r="D306" s="75"/>
      <c r="E306" s="76"/>
      <c r="F306" s="76"/>
      <c r="G306" s="76"/>
      <c r="H306" s="61"/>
      <c r="I306" s="68">
        <v>0.5</v>
      </c>
      <c r="J306" s="83"/>
      <c r="K306" s="84"/>
      <c r="L306" s="84"/>
      <c r="M306" s="84"/>
      <c r="N306" s="84"/>
      <c r="O306" s="84"/>
      <c r="P306" s="84"/>
      <c r="Q306" s="84"/>
      <c r="R306" s="85" t="s">
        <v>352</v>
      </c>
      <c r="S306" s="84"/>
      <c r="T306" s="84"/>
      <c r="U306" s="84"/>
      <c r="V306" s="84"/>
      <c r="W306" s="84"/>
      <c r="X306" s="84"/>
      <c r="Y306" s="84"/>
      <c r="Z306" s="84"/>
      <c r="AA306" s="84"/>
      <c r="AB306" s="84"/>
      <c r="AC306" s="84"/>
      <c r="AD306" s="84"/>
      <c r="AE306" s="84"/>
      <c r="AF306" s="84"/>
      <c r="AG306" s="84"/>
      <c r="AH306" s="84"/>
      <c r="AI306" s="84"/>
      <c r="AJ306" s="84"/>
      <c r="AK306" s="84"/>
      <c r="AL306" s="84"/>
      <c r="AM306" s="84"/>
      <c r="AN306" s="84"/>
      <c r="AO306" s="84"/>
      <c r="AP306" s="84"/>
      <c r="AQ306" s="84"/>
      <c r="AR306" s="86"/>
      <c r="AS306" s="77"/>
      <c r="AT306" s="43"/>
      <c r="AU306" s="43"/>
      <c r="AV306" s="43"/>
      <c r="AW306" s="43"/>
      <c r="AX306" s="43"/>
      <c r="AY306" s="43"/>
      <c r="AZ306" s="43"/>
      <c r="BA306" s="43"/>
      <c r="BB306" s="43"/>
      <c r="BC306" s="43"/>
      <c r="BD306" s="43"/>
      <c r="BE306" s="43"/>
      <c r="BF306" s="43"/>
      <c r="BG306" s="43"/>
      <c r="BH306" s="43"/>
      <c r="BI306" s="43"/>
      <c r="BJ306" s="43"/>
      <c r="BK306" s="43"/>
      <c r="BL306" s="43"/>
      <c r="BM306" s="43"/>
      <c r="BN306" s="43"/>
      <c r="BO306" s="43"/>
      <c r="BP306" s="43"/>
      <c r="BQ306" s="43"/>
      <c r="BR306" s="43"/>
      <c r="BS306" s="43"/>
      <c r="BT306" s="43"/>
      <c r="BU306" s="43"/>
      <c r="BV306" s="43"/>
      <c r="BW306" s="43"/>
      <c r="BX306" s="43"/>
      <c r="BY306" s="43"/>
      <c r="BZ306" s="43"/>
      <c r="CA306" s="78"/>
      <c r="CB306" s="74"/>
      <c r="CC306" s="43"/>
      <c r="CD306" s="43"/>
      <c r="CE306" s="43"/>
      <c r="CF306" s="43"/>
      <c r="CG306" s="43"/>
      <c r="CH306" s="43"/>
      <c r="CI306" s="43"/>
      <c r="CJ306" s="43"/>
      <c r="CK306" s="43"/>
      <c r="CL306" s="43"/>
      <c r="CM306" s="43"/>
      <c r="CN306" s="43"/>
      <c r="CO306" s="43"/>
      <c r="CP306" s="43"/>
      <c r="CQ306" s="43"/>
      <c r="CR306" s="43"/>
      <c r="CS306" s="43"/>
      <c r="CT306" s="43"/>
      <c r="CU306" s="43"/>
      <c r="CV306" s="43"/>
      <c r="CW306" s="43"/>
      <c r="CX306" s="43"/>
      <c r="CY306" s="43"/>
      <c r="CZ306" s="43"/>
      <c r="DA306" s="43"/>
      <c r="DB306" s="43"/>
      <c r="DC306" s="43"/>
      <c r="DD306" s="43"/>
      <c r="DE306" s="43"/>
      <c r="DF306" s="43"/>
      <c r="DG306" s="43"/>
      <c r="DH306" s="43"/>
      <c r="DI306" s="43"/>
      <c r="DJ306" s="43"/>
      <c r="DK306" s="43"/>
      <c r="DL306" s="43"/>
      <c r="DM306" s="43"/>
      <c r="DN306" s="43"/>
      <c r="DO306" s="43"/>
      <c r="DP306" s="43"/>
      <c r="DQ306" s="43"/>
      <c r="DR306" s="43"/>
      <c r="DS306" s="43"/>
      <c r="DT306" s="43"/>
      <c r="DU306" s="43"/>
      <c r="DV306" s="43"/>
      <c r="DW306" s="43"/>
      <c r="DX306" s="43"/>
      <c r="DY306" s="43"/>
      <c r="DZ306" s="43"/>
    </row>
    <row r="307" spans="2:130" s="46" customFormat="1" ht="14.25" customHeight="1" x14ac:dyDescent="0.15">
      <c r="B307" s="75" t="str">
        <f>IF(G307&lt;&gt;"",SUBTOTAL(3,$G$5:G307),"")</f>
        <v/>
      </c>
      <c r="C307" s="75"/>
      <c r="D307" s="75"/>
      <c r="E307" s="76"/>
      <c r="F307" s="76"/>
      <c r="G307" s="76"/>
      <c r="H307" s="61"/>
      <c r="I307" s="68">
        <v>0.5</v>
      </c>
      <c r="J307" s="87"/>
      <c r="K307" s="84"/>
      <c r="L307" s="84"/>
      <c r="M307" s="84"/>
      <c r="N307" s="84"/>
      <c r="O307" s="84"/>
      <c r="P307" s="84"/>
      <c r="Q307" s="84"/>
      <c r="R307" s="84"/>
      <c r="S307" s="84"/>
      <c r="T307" s="84"/>
      <c r="U307" s="84"/>
      <c r="V307" s="84"/>
      <c r="W307" s="84"/>
      <c r="X307" s="84"/>
      <c r="Y307" s="84"/>
      <c r="Z307" s="84"/>
      <c r="AA307" s="84"/>
      <c r="AB307" s="84"/>
      <c r="AC307" s="84"/>
      <c r="AD307" s="84"/>
      <c r="AE307" s="84"/>
      <c r="AF307" s="84"/>
      <c r="AG307" s="84"/>
      <c r="AH307" s="84"/>
      <c r="AI307" s="84"/>
      <c r="AJ307" s="84"/>
      <c r="AK307" s="84"/>
      <c r="AL307" s="84"/>
      <c r="AM307" s="84"/>
      <c r="AN307" s="84"/>
      <c r="AO307" s="84"/>
      <c r="AP307" s="84"/>
      <c r="AQ307" s="84"/>
      <c r="AR307" s="86"/>
      <c r="AS307" s="77"/>
      <c r="AT307" s="43"/>
      <c r="AU307" s="43"/>
      <c r="AV307" s="43"/>
      <c r="AW307" s="43"/>
      <c r="AX307" s="43"/>
      <c r="AY307" s="43"/>
      <c r="AZ307" s="43"/>
      <c r="BA307" s="43"/>
      <c r="BB307" s="43"/>
      <c r="BC307" s="43"/>
      <c r="BD307" s="43"/>
      <c r="BE307" s="43"/>
      <c r="BF307" s="43"/>
      <c r="BG307" s="43"/>
      <c r="BH307" s="43"/>
      <c r="BI307" s="43"/>
      <c r="BJ307" s="43"/>
      <c r="BK307" s="43"/>
      <c r="BL307" s="43"/>
      <c r="BM307" s="43"/>
      <c r="BN307" s="43"/>
      <c r="BO307" s="43"/>
      <c r="BP307" s="43"/>
      <c r="BQ307" s="43"/>
      <c r="BR307" s="43"/>
      <c r="BS307" s="43"/>
      <c r="BT307" s="43"/>
      <c r="BU307" s="43"/>
      <c r="BV307" s="43"/>
      <c r="BW307" s="43"/>
      <c r="BX307" s="43"/>
      <c r="BY307" s="43"/>
      <c r="BZ307" s="43"/>
      <c r="CA307" s="78"/>
      <c r="CB307" s="74"/>
      <c r="CC307" s="43"/>
      <c r="CD307" s="43"/>
      <c r="CE307" s="43"/>
      <c r="CF307" s="43"/>
      <c r="CG307" s="43"/>
      <c r="CH307" s="43"/>
      <c r="CI307" s="43"/>
      <c r="CJ307" s="43"/>
      <c r="CK307" s="43"/>
      <c r="CL307" s="43"/>
      <c r="CM307" s="43"/>
      <c r="CN307" s="43"/>
      <c r="CO307" s="43"/>
      <c r="CP307" s="43"/>
      <c r="CQ307" s="43"/>
      <c r="CR307" s="43"/>
      <c r="CS307" s="43"/>
      <c r="CT307" s="43"/>
      <c r="CU307" s="43"/>
      <c r="CV307" s="43"/>
      <c r="CW307" s="43"/>
      <c r="CX307" s="43"/>
      <c r="CY307" s="43"/>
      <c r="CZ307" s="43"/>
      <c r="DA307" s="43"/>
      <c r="DB307" s="43"/>
      <c r="DC307" s="43"/>
      <c r="DD307" s="43"/>
      <c r="DE307" s="43"/>
      <c r="DF307" s="43"/>
      <c r="DG307" s="43"/>
      <c r="DH307" s="43"/>
      <c r="DI307" s="43"/>
      <c r="DJ307" s="43"/>
      <c r="DK307" s="43"/>
      <c r="DL307" s="43"/>
      <c r="DM307" s="43"/>
      <c r="DN307" s="43"/>
      <c r="DO307" s="43"/>
      <c r="DP307" s="43"/>
      <c r="DQ307" s="43"/>
      <c r="DR307" s="43"/>
      <c r="DS307" s="43"/>
      <c r="DT307" s="43"/>
      <c r="DU307" s="43"/>
      <c r="DV307" s="43"/>
      <c r="DW307" s="43"/>
      <c r="DX307" s="43"/>
      <c r="DY307" s="43"/>
      <c r="DZ307" s="43"/>
    </row>
    <row r="308" spans="2:130" s="46" customFormat="1" ht="14.25" customHeight="1" x14ac:dyDescent="0.15">
      <c r="B308" s="75" t="str">
        <f>IF(G308&lt;&gt;"",SUBTOTAL(3,$G$5:G308),"")</f>
        <v/>
      </c>
      <c r="C308" s="75"/>
      <c r="D308" s="75"/>
      <c r="E308" s="76"/>
      <c r="F308" s="76"/>
      <c r="G308" s="76"/>
      <c r="H308" s="61"/>
      <c r="I308" s="68">
        <v>0.5</v>
      </c>
      <c r="J308" s="83"/>
      <c r="K308" s="84"/>
      <c r="L308" s="84"/>
      <c r="M308" s="84"/>
      <c r="N308" s="84"/>
      <c r="O308" s="84"/>
      <c r="P308" s="84"/>
      <c r="Q308" s="84"/>
      <c r="R308" s="84"/>
      <c r="S308" s="84"/>
      <c r="T308" s="84"/>
      <c r="U308" s="84"/>
      <c r="V308" s="84"/>
      <c r="W308" s="84"/>
      <c r="X308" s="84"/>
      <c r="Y308" s="84"/>
      <c r="Z308" s="84"/>
      <c r="AA308" s="84"/>
      <c r="AB308" s="84"/>
      <c r="AC308" s="84"/>
      <c r="AD308" s="84"/>
      <c r="AE308" s="84"/>
      <c r="AF308" s="84"/>
      <c r="AG308" s="84"/>
      <c r="AH308" s="84"/>
      <c r="AI308" s="84"/>
      <c r="AJ308" s="84"/>
      <c r="AK308" s="84"/>
      <c r="AL308" s="84"/>
      <c r="AM308" s="84"/>
      <c r="AN308" s="84"/>
      <c r="AO308" s="84"/>
      <c r="AP308" s="84"/>
      <c r="AQ308" s="84"/>
      <c r="AR308" s="86"/>
      <c r="AS308" s="77"/>
      <c r="AT308" s="43"/>
      <c r="AU308" s="43"/>
      <c r="AV308" s="43"/>
      <c r="AW308" s="43"/>
      <c r="AX308" s="43"/>
      <c r="AY308" s="43"/>
      <c r="AZ308" s="43"/>
      <c r="BA308" s="43"/>
      <c r="BB308" s="43"/>
      <c r="BC308" s="43"/>
      <c r="BD308" s="43"/>
      <c r="BE308" s="43"/>
      <c r="BF308" s="43"/>
      <c r="BG308" s="43"/>
      <c r="BH308" s="43"/>
      <c r="BI308" s="43"/>
      <c r="BJ308" s="43"/>
      <c r="BK308" s="43"/>
      <c r="BL308" s="43"/>
      <c r="BM308" s="43"/>
      <c r="BN308" s="43"/>
      <c r="BO308" s="43"/>
      <c r="BP308" s="43"/>
      <c r="BQ308" s="43"/>
      <c r="BR308" s="43"/>
      <c r="BS308" s="43"/>
      <c r="BT308" s="43"/>
      <c r="BU308" s="43"/>
      <c r="BV308" s="43"/>
      <c r="BW308" s="43"/>
      <c r="BX308" s="43"/>
      <c r="BY308" s="43"/>
      <c r="BZ308" s="43"/>
      <c r="CA308" s="78"/>
      <c r="CB308" s="74"/>
      <c r="CC308" s="43"/>
      <c r="CD308" s="43"/>
      <c r="CE308" s="43"/>
      <c r="CF308" s="43"/>
      <c r="CG308" s="43"/>
      <c r="CH308" s="43"/>
      <c r="CI308" s="43"/>
      <c r="CJ308" s="43"/>
      <c r="CK308" s="43"/>
      <c r="CL308" s="43"/>
      <c r="CM308" s="43"/>
      <c r="CN308" s="43"/>
      <c r="CO308" s="43"/>
      <c r="CP308" s="43"/>
      <c r="CQ308" s="43"/>
      <c r="CR308" s="43"/>
      <c r="CS308" s="43"/>
      <c r="CT308" s="43"/>
      <c r="CU308" s="43"/>
      <c r="CV308" s="43"/>
      <c r="CW308" s="43"/>
      <c r="CX308" s="43"/>
      <c r="CY308" s="43"/>
      <c r="CZ308" s="43"/>
      <c r="DA308" s="43"/>
      <c r="DB308" s="43"/>
      <c r="DC308" s="43"/>
      <c r="DD308" s="43"/>
      <c r="DE308" s="43"/>
      <c r="DF308" s="43"/>
      <c r="DG308" s="43"/>
      <c r="DH308" s="43"/>
      <c r="DI308" s="43"/>
      <c r="DJ308" s="43"/>
      <c r="DK308" s="43"/>
      <c r="DL308" s="43"/>
      <c r="DM308" s="43"/>
      <c r="DN308" s="43"/>
      <c r="DO308" s="43"/>
      <c r="DP308" s="43"/>
      <c r="DQ308" s="43"/>
      <c r="DR308" s="43"/>
      <c r="DS308" s="43"/>
      <c r="DT308" s="43"/>
      <c r="DU308" s="43"/>
      <c r="DV308" s="43"/>
      <c r="DW308" s="43"/>
      <c r="DX308" s="43"/>
      <c r="DY308" s="43"/>
      <c r="DZ308" s="43"/>
    </row>
    <row r="309" spans="2:130" s="46" customFormat="1" ht="14.25" customHeight="1" x14ac:dyDescent="0.15">
      <c r="B309" s="75" t="str">
        <f>IF(G309&lt;&gt;"",SUBTOTAL(3,$G$5:G309),"")</f>
        <v/>
      </c>
      <c r="C309" s="75"/>
      <c r="D309" s="75"/>
      <c r="E309" s="76"/>
      <c r="F309" s="76"/>
      <c r="G309" s="76"/>
      <c r="H309" s="61"/>
      <c r="I309" s="68">
        <v>0.5</v>
      </c>
      <c r="J309" s="83" t="s">
        <v>240</v>
      </c>
      <c r="K309" s="84"/>
      <c r="L309" s="84"/>
      <c r="M309" s="84"/>
      <c r="N309" s="84"/>
      <c r="O309" s="84"/>
      <c r="P309" s="84"/>
      <c r="Q309" s="84"/>
      <c r="R309" s="84"/>
      <c r="S309" s="84"/>
      <c r="T309" s="84"/>
      <c r="U309" s="84"/>
      <c r="V309" s="84"/>
      <c r="W309" s="84"/>
      <c r="X309" s="84"/>
      <c r="Y309" s="84"/>
      <c r="Z309" s="84"/>
      <c r="AA309" s="84"/>
      <c r="AB309" s="84"/>
      <c r="AC309" s="84"/>
      <c r="AD309" s="84"/>
      <c r="AE309" s="84"/>
      <c r="AF309" s="84"/>
      <c r="AG309" s="84"/>
      <c r="AH309" s="84"/>
      <c r="AI309" s="84"/>
      <c r="AJ309" s="84"/>
      <c r="AK309" s="84"/>
      <c r="AL309" s="84"/>
      <c r="AM309" s="84"/>
      <c r="AN309" s="84"/>
      <c r="AO309" s="84"/>
      <c r="AP309" s="84"/>
      <c r="AQ309" s="84"/>
      <c r="AR309" s="86"/>
      <c r="AS309" s="77"/>
      <c r="AT309" s="43"/>
      <c r="AU309" s="43"/>
      <c r="AV309" s="43"/>
      <c r="AW309" s="43"/>
      <c r="AX309" s="43"/>
      <c r="AY309" s="43"/>
      <c r="AZ309" s="43"/>
      <c r="BA309" s="43"/>
      <c r="BB309" s="43"/>
      <c r="BC309" s="43"/>
      <c r="BD309" s="43"/>
      <c r="BE309" s="43"/>
      <c r="BF309" s="43"/>
      <c r="BG309" s="43"/>
      <c r="BH309" s="43"/>
      <c r="BI309" s="43"/>
      <c r="BJ309" s="43"/>
      <c r="BK309" s="43"/>
      <c r="BL309" s="43"/>
      <c r="BM309" s="43"/>
      <c r="BN309" s="43"/>
      <c r="BO309" s="43"/>
      <c r="BP309" s="43"/>
      <c r="BQ309" s="43"/>
      <c r="BR309" s="43"/>
      <c r="BS309" s="43"/>
      <c r="BT309" s="43"/>
      <c r="BU309" s="43"/>
      <c r="BV309" s="43"/>
      <c r="BW309" s="43"/>
      <c r="BX309" s="43"/>
      <c r="BY309" s="43"/>
      <c r="BZ309" s="43"/>
      <c r="CA309" s="78"/>
      <c r="CB309" s="74"/>
      <c r="CC309" s="43"/>
      <c r="CD309" s="43"/>
      <c r="CE309" s="43"/>
      <c r="CF309" s="43"/>
      <c r="CG309" s="43"/>
      <c r="CH309" s="43"/>
      <c r="CI309" s="43"/>
      <c r="CJ309" s="43"/>
      <c r="CK309" s="43"/>
      <c r="CL309" s="43"/>
      <c r="CM309" s="43"/>
      <c r="CN309" s="43"/>
      <c r="CO309" s="43"/>
      <c r="CP309" s="43"/>
      <c r="CQ309" s="43"/>
      <c r="CR309" s="43"/>
      <c r="CS309" s="43"/>
      <c r="CT309" s="43"/>
      <c r="CU309" s="43"/>
      <c r="CV309" s="43"/>
      <c r="CW309" s="43"/>
      <c r="CX309" s="43"/>
      <c r="CY309" s="43"/>
      <c r="CZ309" s="43"/>
      <c r="DA309" s="43"/>
      <c r="DB309" s="43"/>
      <c r="DC309" s="43"/>
      <c r="DD309" s="43"/>
      <c r="DE309" s="43"/>
      <c r="DF309" s="43"/>
      <c r="DG309" s="43"/>
      <c r="DH309" s="43"/>
      <c r="DI309" s="43"/>
      <c r="DJ309" s="43"/>
      <c r="DK309" s="43"/>
      <c r="DL309" s="43"/>
      <c r="DM309" s="43"/>
      <c r="DN309" s="43"/>
      <c r="DO309" s="43"/>
      <c r="DP309" s="43"/>
      <c r="DQ309" s="43"/>
      <c r="DR309" s="43"/>
      <c r="DS309" s="43"/>
      <c r="DT309" s="43"/>
      <c r="DU309" s="43"/>
      <c r="DV309" s="43"/>
      <c r="DW309" s="43"/>
      <c r="DX309" s="43"/>
      <c r="DY309" s="43"/>
      <c r="DZ309" s="43"/>
    </row>
    <row r="310" spans="2:130" s="46" customFormat="1" ht="14.25" customHeight="1" x14ac:dyDescent="0.15">
      <c r="B310" s="75" t="str">
        <f>IF(G310&lt;&gt;"",SUBTOTAL(3,$G$5:G310),"")</f>
        <v/>
      </c>
      <c r="C310" s="75"/>
      <c r="D310" s="75"/>
      <c r="E310" s="76"/>
      <c r="F310" s="76"/>
      <c r="G310" s="76"/>
      <c r="H310" s="61"/>
      <c r="I310" s="68">
        <v>0.5</v>
      </c>
      <c r="J310" s="83"/>
      <c r="K310" s="84"/>
      <c r="L310" s="84"/>
      <c r="M310" s="84"/>
      <c r="N310" s="84"/>
      <c r="O310" s="84"/>
      <c r="P310" s="84"/>
      <c r="Q310" s="84"/>
      <c r="R310" s="84"/>
      <c r="S310" s="84"/>
      <c r="T310" s="84"/>
      <c r="U310" s="84"/>
      <c r="V310" s="84"/>
      <c r="W310" s="84"/>
      <c r="X310" s="84"/>
      <c r="Y310" s="84"/>
      <c r="Z310" s="84"/>
      <c r="AA310" s="84"/>
      <c r="AB310" s="84"/>
      <c r="AC310" s="84"/>
      <c r="AD310" s="84"/>
      <c r="AE310" s="84"/>
      <c r="AF310" s="84"/>
      <c r="AG310" s="84"/>
      <c r="AH310" s="84"/>
      <c r="AI310" s="84"/>
      <c r="AJ310" s="84"/>
      <c r="AK310" s="84"/>
      <c r="AL310" s="84"/>
      <c r="AM310" s="84"/>
      <c r="AN310" s="84"/>
      <c r="AO310" s="84"/>
      <c r="AP310" s="84"/>
      <c r="AQ310" s="84"/>
      <c r="AR310" s="86"/>
      <c r="AS310" s="77"/>
      <c r="AT310" s="43"/>
      <c r="AU310" s="43"/>
      <c r="AV310" s="43"/>
      <c r="AW310" s="43"/>
      <c r="AX310" s="43"/>
      <c r="AY310" s="43"/>
      <c r="AZ310" s="43"/>
      <c r="BA310" s="43"/>
      <c r="BB310" s="43"/>
      <c r="BC310" s="43"/>
      <c r="BD310" s="43"/>
      <c r="BE310" s="43"/>
      <c r="BF310" s="43"/>
      <c r="BG310" s="43"/>
      <c r="BH310" s="43"/>
      <c r="BI310" s="43"/>
      <c r="BJ310" s="43"/>
      <c r="BK310" s="43"/>
      <c r="BL310" s="43"/>
      <c r="BM310" s="43"/>
      <c r="BN310" s="43"/>
      <c r="BO310" s="43"/>
      <c r="BP310" s="43"/>
      <c r="BQ310" s="43"/>
      <c r="BR310" s="43"/>
      <c r="BS310" s="43"/>
      <c r="BT310" s="43"/>
      <c r="BU310" s="43"/>
      <c r="BV310" s="43"/>
      <c r="BW310" s="43"/>
      <c r="BX310" s="43"/>
      <c r="BY310" s="43"/>
      <c r="BZ310" s="43"/>
      <c r="CA310" s="78"/>
      <c r="CB310" s="74"/>
      <c r="CC310" s="43"/>
      <c r="CD310" s="43"/>
      <c r="CE310" s="43"/>
      <c r="CF310" s="43"/>
      <c r="CG310" s="43"/>
      <c r="CH310" s="43"/>
      <c r="CI310" s="43"/>
      <c r="CJ310" s="43"/>
      <c r="CK310" s="43"/>
      <c r="CL310" s="43"/>
      <c r="CM310" s="43"/>
      <c r="CN310" s="43"/>
      <c r="CO310" s="43"/>
      <c r="CP310" s="43"/>
      <c r="CQ310" s="43"/>
      <c r="CR310" s="43"/>
      <c r="CS310" s="43"/>
      <c r="CT310" s="43"/>
      <c r="CU310" s="43"/>
      <c r="CV310" s="43"/>
      <c r="CW310" s="43"/>
      <c r="CX310" s="43"/>
      <c r="CY310" s="43"/>
      <c r="CZ310" s="43"/>
      <c r="DA310" s="43"/>
      <c r="DB310" s="43"/>
      <c r="DC310" s="43"/>
      <c r="DD310" s="43"/>
      <c r="DE310" s="43"/>
      <c r="DF310" s="43"/>
      <c r="DG310" s="43"/>
      <c r="DH310" s="43"/>
      <c r="DI310" s="43"/>
      <c r="DJ310" s="43"/>
      <c r="DK310" s="43"/>
      <c r="DL310" s="43"/>
      <c r="DM310" s="43"/>
      <c r="DN310" s="43"/>
      <c r="DO310" s="43"/>
      <c r="DP310" s="43"/>
      <c r="DQ310" s="43"/>
      <c r="DR310" s="43"/>
      <c r="DS310" s="43"/>
      <c r="DT310" s="43"/>
      <c r="DU310" s="43"/>
      <c r="DV310" s="43"/>
      <c r="DW310" s="43"/>
      <c r="DX310" s="43"/>
      <c r="DY310" s="43"/>
      <c r="DZ310" s="43"/>
    </row>
    <row r="311" spans="2:130" s="46" customFormat="1" ht="14.25" customHeight="1" x14ac:dyDescent="0.15">
      <c r="B311" s="75" t="str">
        <f>IF(G311&lt;&gt;"",SUBTOTAL(3,$G$5:G311),"")</f>
        <v/>
      </c>
      <c r="C311" s="75"/>
      <c r="D311" s="75"/>
      <c r="E311" s="76"/>
      <c r="F311" s="76"/>
      <c r="G311" s="76"/>
      <c r="H311" s="61"/>
      <c r="I311" s="68">
        <v>0.5</v>
      </c>
      <c r="J311" s="83"/>
      <c r="K311" s="84"/>
      <c r="L311" s="84"/>
      <c r="M311" s="84"/>
      <c r="N311" s="84"/>
      <c r="O311" s="84"/>
      <c r="P311" s="84"/>
      <c r="Q311" s="84"/>
      <c r="R311" s="84"/>
      <c r="S311" s="84"/>
      <c r="T311" s="84"/>
      <c r="U311" s="84"/>
      <c r="V311" s="84"/>
      <c r="W311" s="84"/>
      <c r="X311" s="84"/>
      <c r="Y311" s="84"/>
      <c r="Z311" s="84"/>
      <c r="AA311" s="84"/>
      <c r="AB311" s="84"/>
      <c r="AC311" s="84"/>
      <c r="AD311" s="84"/>
      <c r="AE311" s="84"/>
      <c r="AF311" s="84"/>
      <c r="AG311" s="84"/>
      <c r="AH311" s="84"/>
      <c r="AI311" s="84"/>
      <c r="AJ311" s="84"/>
      <c r="AK311" s="84"/>
      <c r="AL311" s="84"/>
      <c r="AM311" s="84"/>
      <c r="AN311" s="84"/>
      <c r="AO311" s="84"/>
      <c r="AP311" s="84"/>
      <c r="AQ311" s="84"/>
      <c r="AR311" s="86"/>
      <c r="AS311" s="77"/>
      <c r="AT311" s="43"/>
      <c r="AU311" s="43"/>
      <c r="AV311" s="43"/>
      <c r="AW311" s="43"/>
      <c r="AX311" s="43"/>
      <c r="AY311" s="43"/>
      <c r="AZ311" s="43"/>
      <c r="BA311" s="43"/>
      <c r="BB311" s="43"/>
      <c r="BC311" s="43"/>
      <c r="BD311" s="43"/>
      <c r="BE311" s="43"/>
      <c r="BF311" s="43"/>
      <c r="BG311" s="43"/>
      <c r="BH311" s="43"/>
      <c r="BI311" s="43"/>
      <c r="BJ311" s="43"/>
      <c r="BK311" s="43"/>
      <c r="BL311" s="43"/>
      <c r="BM311" s="43"/>
      <c r="BN311" s="43"/>
      <c r="BO311" s="43"/>
      <c r="BP311" s="43"/>
      <c r="BQ311" s="43"/>
      <c r="BR311" s="43"/>
      <c r="BS311" s="43"/>
      <c r="BT311" s="43"/>
      <c r="BU311" s="43"/>
      <c r="BV311" s="43"/>
      <c r="BW311" s="43"/>
      <c r="BX311" s="43"/>
      <c r="BY311" s="43"/>
      <c r="BZ311" s="43"/>
      <c r="CA311" s="78"/>
      <c r="CB311" s="74"/>
      <c r="CC311" s="43"/>
      <c r="CD311" s="43"/>
      <c r="CE311" s="43"/>
      <c r="CF311" s="43"/>
      <c r="CG311" s="43"/>
      <c r="CH311" s="43"/>
      <c r="CI311" s="43"/>
      <c r="CJ311" s="43"/>
      <c r="CK311" s="43"/>
      <c r="CL311" s="43"/>
      <c r="CM311" s="43"/>
      <c r="CN311" s="43"/>
      <c r="CO311" s="43"/>
      <c r="CP311" s="43"/>
      <c r="CQ311" s="43"/>
      <c r="CR311" s="43"/>
      <c r="CS311" s="43"/>
      <c r="CT311" s="43"/>
      <c r="CU311" s="43"/>
      <c r="CV311" s="43"/>
      <c r="CW311" s="43"/>
      <c r="CX311" s="43"/>
      <c r="CY311" s="43"/>
      <c r="CZ311" s="43"/>
      <c r="DA311" s="43"/>
      <c r="DB311" s="43"/>
      <c r="DC311" s="43"/>
      <c r="DD311" s="43"/>
      <c r="DE311" s="43"/>
      <c r="DF311" s="43"/>
      <c r="DG311" s="43"/>
      <c r="DH311" s="43"/>
      <c r="DI311" s="43"/>
      <c r="DJ311" s="43"/>
      <c r="DK311" s="43"/>
      <c r="DL311" s="43"/>
      <c r="DM311" s="43"/>
      <c r="DN311" s="43"/>
      <c r="DO311" s="43"/>
      <c r="DP311" s="43"/>
      <c r="DQ311" s="43"/>
      <c r="DR311" s="43"/>
      <c r="DS311" s="43"/>
      <c r="DT311" s="43"/>
      <c r="DU311" s="43"/>
      <c r="DV311" s="43"/>
      <c r="DW311" s="43"/>
      <c r="DX311" s="43"/>
      <c r="DY311" s="43"/>
      <c r="DZ311" s="43"/>
    </row>
    <row r="312" spans="2:130" s="46" customFormat="1" ht="14.25" customHeight="1" x14ac:dyDescent="0.15">
      <c r="B312" s="75" t="str">
        <f>IF(G312&lt;&gt;"",SUBTOTAL(3,$G$5:G312),"")</f>
        <v/>
      </c>
      <c r="C312" s="75"/>
      <c r="D312" s="75"/>
      <c r="E312" s="76"/>
      <c r="F312" s="76"/>
      <c r="G312" s="76"/>
      <c r="H312" s="61"/>
      <c r="I312" s="68">
        <v>0.5</v>
      </c>
      <c r="J312" s="83"/>
      <c r="K312" s="84"/>
      <c r="L312" s="84"/>
      <c r="M312" s="84"/>
      <c r="N312" s="84"/>
      <c r="O312" s="84"/>
      <c r="P312" s="84"/>
      <c r="Q312" s="84"/>
      <c r="R312" s="84"/>
      <c r="S312" s="84"/>
      <c r="T312" s="84"/>
      <c r="U312" s="84"/>
      <c r="V312" s="84"/>
      <c r="W312" s="84"/>
      <c r="X312" s="84"/>
      <c r="Y312" s="84"/>
      <c r="Z312" s="84"/>
      <c r="AA312" s="84"/>
      <c r="AB312" s="84"/>
      <c r="AC312" s="84"/>
      <c r="AD312" s="84"/>
      <c r="AE312" s="84"/>
      <c r="AF312" s="84"/>
      <c r="AG312" s="84"/>
      <c r="AH312" s="84"/>
      <c r="AI312" s="84"/>
      <c r="AJ312" s="84"/>
      <c r="AK312" s="84"/>
      <c r="AL312" s="84"/>
      <c r="AM312" s="84"/>
      <c r="AN312" s="84"/>
      <c r="AO312" s="84"/>
      <c r="AP312" s="84"/>
      <c r="AQ312" s="84"/>
      <c r="AR312" s="86"/>
      <c r="AS312" s="77"/>
      <c r="AT312" s="43"/>
      <c r="AU312" s="43"/>
      <c r="AV312" s="43"/>
      <c r="AW312" s="43"/>
      <c r="AX312" s="43"/>
      <c r="AY312" s="43"/>
      <c r="AZ312" s="43"/>
      <c r="BA312" s="43"/>
      <c r="BB312" s="43"/>
      <c r="BC312" s="43"/>
      <c r="BD312" s="43"/>
      <c r="BE312" s="43"/>
      <c r="BF312" s="43"/>
      <c r="BG312" s="43"/>
      <c r="BH312" s="43"/>
      <c r="BI312" s="43"/>
      <c r="BJ312" s="43"/>
      <c r="BK312" s="43"/>
      <c r="BL312" s="43"/>
      <c r="BM312" s="43"/>
      <c r="BN312" s="43"/>
      <c r="BO312" s="43"/>
      <c r="BP312" s="43"/>
      <c r="BQ312" s="43"/>
      <c r="BR312" s="43"/>
      <c r="BS312" s="43"/>
      <c r="BT312" s="43"/>
      <c r="BU312" s="43"/>
      <c r="BV312" s="43"/>
      <c r="BW312" s="43"/>
      <c r="BX312" s="43"/>
      <c r="BY312" s="43"/>
      <c r="BZ312" s="43"/>
      <c r="CA312" s="78"/>
      <c r="CB312" s="74"/>
      <c r="CC312" s="43"/>
      <c r="CD312" s="43"/>
      <c r="CE312" s="43"/>
      <c r="CF312" s="43"/>
      <c r="CG312" s="43"/>
      <c r="CH312" s="43"/>
      <c r="CI312" s="43"/>
      <c r="CJ312" s="43"/>
      <c r="CK312" s="43"/>
      <c r="CL312" s="43"/>
      <c r="CM312" s="43"/>
      <c r="CN312" s="43"/>
      <c r="CO312" s="43"/>
      <c r="CP312" s="43"/>
      <c r="CQ312" s="43"/>
      <c r="CR312" s="43"/>
      <c r="CS312" s="43"/>
      <c r="CT312" s="43"/>
      <c r="CU312" s="43"/>
      <c r="CV312" s="43"/>
      <c r="CW312" s="43"/>
      <c r="CX312" s="43"/>
      <c r="CY312" s="43"/>
      <c r="CZ312" s="43"/>
      <c r="DA312" s="43"/>
      <c r="DB312" s="43"/>
      <c r="DC312" s="43"/>
      <c r="DD312" s="43"/>
      <c r="DE312" s="43"/>
      <c r="DF312" s="43"/>
      <c r="DG312" s="43"/>
      <c r="DH312" s="43"/>
      <c r="DI312" s="43"/>
      <c r="DJ312" s="43"/>
      <c r="DK312" s="43"/>
      <c r="DL312" s="43"/>
      <c r="DM312" s="43"/>
      <c r="DN312" s="43"/>
      <c r="DO312" s="43"/>
      <c r="DP312" s="43"/>
      <c r="DQ312" s="43"/>
      <c r="DR312" s="43"/>
      <c r="DS312" s="43"/>
      <c r="DT312" s="43"/>
      <c r="DU312" s="43"/>
      <c r="DV312" s="43"/>
      <c r="DW312" s="43"/>
      <c r="DX312" s="43"/>
      <c r="DY312" s="43"/>
      <c r="DZ312" s="43"/>
    </row>
    <row r="313" spans="2:130" s="46" customFormat="1" ht="14.25" customHeight="1" x14ac:dyDescent="0.15">
      <c r="B313" s="75" t="str">
        <f>IF(G313&lt;&gt;"",SUBTOTAL(3,$G$5:G313),"")</f>
        <v/>
      </c>
      <c r="C313" s="75"/>
      <c r="D313" s="75"/>
      <c r="E313" s="76"/>
      <c r="F313" s="76"/>
      <c r="G313" s="76"/>
      <c r="H313" s="61"/>
      <c r="I313" s="68">
        <v>0.5</v>
      </c>
      <c r="J313" s="83"/>
      <c r="K313" s="84"/>
      <c r="L313" s="84"/>
      <c r="M313" s="84"/>
      <c r="N313" s="84"/>
      <c r="O313" s="84"/>
      <c r="P313" s="84"/>
      <c r="Q313" s="84"/>
      <c r="R313" s="84"/>
      <c r="S313" s="84"/>
      <c r="T313" s="84"/>
      <c r="U313" s="84"/>
      <c r="V313" s="84"/>
      <c r="W313" s="84"/>
      <c r="X313" s="84"/>
      <c r="Y313" s="84"/>
      <c r="Z313" s="84"/>
      <c r="AA313" s="84"/>
      <c r="AB313" s="84"/>
      <c r="AC313" s="84"/>
      <c r="AD313" s="84"/>
      <c r="AE313" s="84"/>
      <c r="AF313" s="84"/>
      <c r="AG313" s="84"/>
      <c r="AH313" s="84"/>
      <c r="AI313" s="84"/>
      <c r="AJ313" s="84"/>
      <c r="AK313" s="84"/>
      <c r="AL313" s="84"/>
      <c r="AM313" s="84"/>
      <c r="AN313" s="84"/>
      <c r="AO313" s="84"/>
      <c r="AP313" s="84"/>
      <c r="AQ313" s="84"/>
      <c r="AR313" s="86"/>
      <c r="AS313" s="77"/>
      <c r="AT313" s="43"/>
      <c r="AU313" s="43"/>
      <c r="AV313" s="43"/>
      <c r="AW313" s="43"/>
      <c r="AX313" s="43"/>
      <c r="AY313" s="43"/>
      <c r="AZ313" s="43"/>
      <c r="BA313" s="43"/>
      <c r="BB313" s="43"/>
      <c r="BC313" s="43"/>
      <c r="BD313" s="43"/>
      <c r="BE313" s="43"/>
      <c r="BF313" s="43"/>
      <c r="BG313" s="43"/>
      <c r="BH313" s="43"/>
      <c r="BI313" s="43"/>
      <c r="BJ313" s="43"/>
      <c r="BK313" s="43"/>
      <c r="BL313" s="43"/>
      <c r="BM313" s="43"/>
      <c r="BN313" s="43"/>
      <c r="BO313" s="43"/>
      <c r="BP313" s="43"/>
      <c r="BQ313" s="43"/>
      <c r="BR313" s="43"/>
      <c r="BS313" s="43"/>
      <c r="BT313" s="43"/>
      <c r="BU313" s="43"/>
      <c r="BV313" s="43"/>
      <c r="BW313" s="43"/>
      <c r="BX313" s="43"/>
      <c r="BY313" s="43"/>
      <c r="BZ313" s="43"/>
      <c r="CA313" s="78"/>
      <c r="CB313" s="74"/>
      <c r="CC313" s="43"/>
      <c r="CD313" s="43"/>
      <c r="CE313" s="43"/>
      <c r="CF313" s="43"/>
      <c r="CG313" s="43"/>
      <c r="CH313" s="43"/>
      <c r="CI313" s="43"/>
      <c r="CJ313" s="43"/>
      <c r="CK313" s="43"/>
      <c r="CL313" s="43"/>
      <c r="CM313" s="43"/>
      <c r="CN313" s="43"/>
      <c r="CO313" s="43"/>
      <c r="CP313" s="43"/>
      <c r="CQ313" s="43"/>
      <c r="CR313" s="43"/>
      <c r="CS313" s="43"/>
      <c r="CT313" s="43"/>
      <c r="CU313" s="43"/>
      <c r="CV313" s="43"/>
      <c r="CW313" s="43"/>
      <c r="CX313" s="43"/>
      <c r="CY313" s="43"/>
      <c r="CZ313" s="43"/>
      <c r="DA313" s="43"/>
      <c r="DB313" s="43"/>
      <c r="DC313" s="43"/>
      <c r="DD313" s="43"/>
      <c r="DE313" s="43"/>
      <c r="DF313" s="43"/>
      <c r="DG313" s="43"/>
      <c r="DH313" s="43"/>
      <c r="DI313" s="43"/>
      <c r="DJ313" s="43"/>
      <c r="DK313" s="43"/>
      <c r="DL313" s="43"/>
      <c r="DM313" s="43"/>
      <c r="DN313" s="43"/>
      <c r="DO313" s="43"/>
      <c r="DP313" s="43"/>
      <c r="DQ313" s="43"/>
      <c r="DR313" s="43"/>
      <c r="DS313" s="43"/>
      <c r="DT313" s="43"/>
      <c r="DU313" s="43"/>
      <c r="DV313" s="43"/>
      <c r="DW313" s="43"/>
      <c r="DX313" s="43"/>
      <c r="DY313" s="43"/>
      <c r="DZ313" s="43"/>
    </row>
    <row r="314" spans="2:130" s="46" customFormat="1" ht="13.5" customHeight="1" x14ac:dyDescent="0.15">
      <c r="B314" s="75" t="str">
        <f>IF(G314&lt;&gt;"",SUBTOTAL(3,$G$5:G314),"")</f>
        <v/>
      </c>
      <c r="C314" s="75"/>
      <c r="D314" s="75"/>
      <c r="E314" s="76"/>
      <c r="F314" s="76"/>
      <c r="G314" s="76"/>
      <c r="H314" s="61"/>
      <c r="I314" s="62"/>
      <c r="J314" s="77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  <c r="AA314" s="43"/>
      <c r="AB314" s="43"/>
      <c r="AC314" s="43"/>
      <c r="AD314" s="43"/>
      <c r="AE314" s="43"/>
      <c r="AF314" s="43"/>
      <c r="AG314" s="43"/>
      <c r="AH314" s="43"/>
      <c r="AI314" s="43"/>
      <c r="AJ314" s="43"/>
      <c r="AK314" s="43"/>
      <c r="AL314" s="43"/>
      <c r="AM314" s="43"/>
      <c r="AN314" s="43"/>
      <c r="AO314" s="43"/>
      <c r="AP314" s="43"/>
      <c r="AQ314" s="43"/>
      <c r="AR314" s="78"/>
      <c r="AS314" s="77"/>
      <c r="AT314" s="43"/>
      <c r="AU314" s="43"/>
      <c r="AV314" s="43"/>
      <c r="AW314" s="43"/>
      <c r="AX314" s="43"/>
      <c r="AY314" s="43"/>
      <c r="AZ314" s="43"/>
      <c r="BA314" s="43"/>
      <c r="BB314" s="43"/>
      <c r="BC314" s="43"/>
      <c r="BD314" s="43"/>
      <c r="BE314" s="43"/>
      <c r="BF314" s="43"/>
      <c r="BG314" s="43"/>
      <c r="BH314" s="43"/>
      <c r="BI314" s="43"/>
      <c r="BJ314" s="43"/>
      <c r="BK314" s="43"/>
      <c r="BL314" s="43"/>
      <c r="BM314" s="43"/>
      <c r="BN314" s="43"/>
      <c r="BO314" s="43"/>
      <c r="BP314" s="43"/>
      <c r="BQ314" s="43"/>
      <c r="BR314" s="43"/>
      <c r="BS314" s="43"/>
      <c r="BT314" s="43"/>
      <c r="BU314" s="43"/>
      <c r="BV314" s="43"/>
      <c r="BW314" s="43"/>
      <c r="BX314" s="43"/>
      <c r="BY314" s="43"/>
      <c r="BZ314" s="43"/>
      <c r="CA314" s="78"/>
      <c r="CB314" s="74"/>
      <c r="CC314" s="43"/>
      <c r="CD314" s="43"/>
      <c r="CE314" s="43"/>
      <c r="CF314" s="43"/>
      <c r="CG314" s="43"/>
      <c r="CH314" s="43"/>
      <c r="CI314" s="43"/>
      <c r="CJ314" s="43"/>
      <c r="CK314" s="43"/>
      <c r="CL314" s="43"/>
      <c r="CM314" s="43"/>
      <c r="CN314" s="43"/>
      <c r="CO314" s="43"/>
      <c r="CP314" s="43"/>
      <c r="CQ314" s="43"/>
      <c r="CR314" s="43"/>
      <c r="CS314" s="43"/>
      <c r="CT314" s="43"/>
      <c r="CU314" s="43"/>
      <c r="CV314" s="43"/>
      <c r="CW314" s="43"/>
      <c r="CX314" s="43"/>
      <c r="CY314" s="43"/>
      <c r="CZ314" s="43"/>
      <c r="DA314" s="43"/>
      <c r="DB314" s="43"/>
      <c r="DC314" s="43"/>
      <c r="DD314" s="43"/>
      <c r="DE314" s="43"/>
      <c r="DF314" s="43"/>
      <c r="DG314" s="43"/>
      <c r="DH314" s="43"/>
      <c r="DI314" s="43"/>
      <c r="DJ314" s="43"/>
      <c r="DK314" s="43"/>
      <c r="DL314" s="43"/>
      <c r="DM314" s="43"/>
      <c r="DN314" s="43"/>
      <c r="DO314" s="43"/>
      <c r="DP314" s="43"/>
      <c r="DQ314" s="43"/>
      <c r="DR314" s="43"/>
      <c r="DS314" s="43"/>
      <c r="DT314" s="43"/>
      <c r="DU314" s="43"/>
      <c r="DV314" s="43"/>
      <c r="DW314" s="43"/>
      <c r="DX314" s="43"/>
      <c r="DY314" s="43"/>
      <c r="DZ314" s="43"/>
    </row>
    <row r="315" spans="2:130" ht="13.5" customHeight="1" x14ac:dyDescent="0.15">
      <c r="B315" s="58" t="str">
        <f>IF(G315&lt;&gt;"",SUBTOTAL(3,$G$5:G315),"")</f>
        <v/>
      </c>
      <c r="C315" s="58"/>
      <c r="D315" s="58"/>
      <c r="E315" s="59"/>
      <c r="F315" s="59"/>
      <c r="G315" s="59"/>
      <c r="H315" s="61"/>
      <c r="I315" s="62"/>
      <c r="J315" s="40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  <c r="AQ315" s="41"/>
      <c r="AR315" s="42"/>
      <c r="AS315" s="63"/>
      <c r="AT315" s="64"/>
      <c r="AU315" s="64"/>
      <c r="AV315" s="64"/>
      <c r="AW315" s="64"/>
      <c r="AX315" s="64"/>
      <c r="AY315" s="64"/>
      <c r="AZ315" s="64"/>
      <c r="BA315" s="64"/>
      <c r="BB315" s="64"/>
      <c r="BC315" s="64"/>
      <c r="BD315" s="64"/>
      <c r="BE315" s="64"/>
      <c r="BF315" s="64"/>
      <c r="BG315" s="64"/>
      <c r="BH315" s="64"/>
      <c r="BI315" s="64"/>
      <c r="BJ315" s="64"/>
      <c r="BK315" s="64"/>
      <c r="BL315" s="64"/>
      <c r="BM315" s="64"/>
      <c r="BN315" s="64"/>
      <c r="BO315" s="64"/>
      <c r="BP315" s="64"/>
      <c r="BQ315" s="64"/>
      <c r="BR315" s="64"/>
      <c r="BS315" s="64"/>
      <c r="BT315" s="64"/>
      <c r="BU315" s="64"/>
      <c r="BV315" s="64"/>
      <c r="BW315" s="64"/>
      <c r="BX315" s="64"/>
      <c r="BY315" s="64"/>
      <c r="BZ315" s="64"/>
      <c r="CA315" s="65"/>
      <c r="CB315" s="60"/>
      <c r="CH315" s="64"/>
      <c r="CI315" s="64"/>
      <c r="CJ315" s="64"/>
      <c r="CK315" s="64"/>
      <c r="CL315" s="64"/>
      <c r="CM315" s="64"/>
      <c r="CN315" s="64"/>
      <c r="CO315" s="64"/>
      <c r="CP315" s="64"/>
      <c r="CQ315" s="64"/>
      <c r="CR315" s="64"/>
      <c r="CS315" s="64"/>
      <c r="CT315" s="64"/>
      <c r="CU315" s="64"/>
      <c r="CV315" s="64"/>
      <c r="CW315" s="64"/>
      <c r="CX315" s="64"/>
      <c r="CY315" s="64"/>
      <c r="CZ315" s="64"/>
      <c r="DA315" s="64"/>
      <c r="DB315" s="64"/>
      <c r="DC315" s="64"/>
      <c r="DD315" s="64"/>
      <c r="DE315" s="64"/>
      <c r="DF315" s="64"/>
      <c r="DG315" s="64"/>
      <c r="DH315" s="64"/>
      <c r="DI315" s="64"/>
      <c r="DJ315" s="64"/>
      <c r="DK315" s="64"/>
      <c r="DL315" s="64"/>
      <c r="DM315" s="64"/>
      <c r="DN315" s="64"/>
      <c r="DO315" s="64"/>
      <c r="DP315" s="64"/>
      <c r="DQ315" s="64"/>
      <c r="DR315" s="64"/>
      <c r="DS315" s="64"/>
      <c r="DT315" s="64"/>
      <c r="DU315" s="64"/>
      <c r="DV315" s="64"/>
      <c r="DW315" s="64"/>
      <c r="DX315" s="64"/>
      <c r="DY315" s="64"/>
      <c r="DZ315" s="64"/>
    </row>
    <row r="316" spans="2:130" ht="13.5" customHeight="1" x14ac:dyDescent="0.15">
      <c r="B316" s="58" t="str">
        <f>IF(G316&lt;&gt;"",SUBTOTAL(3,$G$5:G316),"")</f>
        <v/>
      </c>
      <c r="C316" s="58"/>
      <c r="D316" s="58"/>
      <c r="E316" s="59"/>
      <c r="F316" s="59"/>
      <c r="G316" s="59"/>
      <c r="H316" s="61"/>
      <c r="I316" s="62"/>
      <c r="J316" s="63"/>
      <c r="K316" s="64"/>
      <c r="L316" s="64"/>
      <c r="M316" s="64"/>
      <c r="N316" s="64"/>
      <c r="O316" s="64"/>
      <c r="P316" s="64"/>
      <c r="Q316" s="64"/>
      <c r="R316" s="64"/>
      <c r="S316" s="64"/>
      <c r="T316" s="64"/>
      <c r="U316" s="64"/>
      <c r="V316" s="64"/>
      <c r="W316" s="64"/>
      <c r="X316" s="64"/>
      <c r="Y316" s="64"/>
      <c r="Z316" s="64"/>
      <c r="AA316" s="64"/>
      <c r="AB316" s="64"/>
      <c r="AC316" s="64"/>
      <c r="AD316" s="64"/>
      <c r="AE316" s="64"/>
      <c r="AF316" s="64"/>
      <c r="AG316" s="64"/>
      <c r="AH316" s="64"/>
      <c r="AI316" s="64"/>
      <c r="AJ316" s="64"/>
      <c r="AK316" s="64"/>
      <c r="AL316" s="64"/>
      <c r="AM316" s="64"/>
      <c r="AN316" s="64"/>
      <c r="AO316" s="64"/>
      <c r="AP316" s="64"/>
      <c r="AQ316" s="64"/>
      <c r="AR316" s="65"/>
      <c r="AS316" s="63"/>
      <c r="AT316" s="64"/>
      <c r="AU316" s="64"/>
      <c r="AV316" s="64"/>
      <c r="AW316" s="64"/>
      <c r="AX316" s="64"/>
      <c r="AY316" s="64"/>
      <c r="AZ316" s="64"/>
      <c r="BA316" s="64"/>
      <c r="BB316" s="64"/>
      <c r="BC316" s="64"/>
      <c r="BD316" s="64"/>
      <c r="BE316" s="64"/>
      <c r="BF316" s="64"/>
      <c r="BG316" s="64"/>
      <c r="BH316" s="64"/>
      <c r="BI316" s="64"/>
      <c r="BJ316" s="64"/>
      <c r="BK316" s="64"/>
      <c r="BL316" s="64"/>
      <c r="BM316" s="64"/>
      <c r="BN316" s="64"/>
      <c r="BO316" s="64"/>
      <c r="BP316" s="64"/>
      <c r="BQ316" s="64"/>
      <c r="BR316" s="64"/>
      <c r="BS316" s="64"/>
      <c r="BT316" s="64"/>
      <c r="BU316" s="64"/>
      <c r="BV316" s="64"/>
      <c r="BW316" s="64"/>
      <c r="BX316" s="64"/>
      <c r="BY316" s="64"/>
      <c r="BZ316" s="64"/>
      <c r="CA316" s="65"/>
      <c r="CB316" s="60"/>
      <c r="CH316" s="64"/>
      <c r="CI316" s="64"/>
      <c r="CJ316" s="64"/>
      <c r="CK316" s="64"/>
      <c r="CL316" s="64"/>
      <c r="CM316" s="64"/>
      <c r="CN316" s="64"/>
      <c r="CO316" s="64"/>
      <c r="CP316" s="64"/>
      <c r="CQ316" s="64"/>
      <c r="CR316" s="64"/>
      <c r="CS316" s="64"/>
      <c r="CT316" s="64"/>
      <c r="CU316" s="64"/>
      <c r="CV316" s="64"/>
      <c r="CW316" s="64"/>
      <c r="CX316" s="64"/>
      <c r="CY316" s="64"/>
      <c r="CZ316" s="64"/>
      <c r="DA316" s="64"/>
      <c r="DB316" s="64"/>
      <c r="DC316" s="64"/>
      <c r="DD316" s="64"/>
      <c r="DE316" s="64"/>
      <c r="DF316" s="64"/>
      <c r="DG316" s="64"/>
      <c r="DH316" s="64"/>
      <c r="DI316" s="64"/>
      <c r="DJ316" s="64"/>
      <c r="DK316" s="64"/>
      <c r="DL316" s="64"/>
      <c r="DM316" s="64"/>
      <c r="DN316" s="64"/>
      <c r="DO316" s="64"/>
      <c r="DP316" s="64"/>
      <c r="DQ316" s="64"/>
      <c r="DR316" s="64"/>
      <c r="DS316" s="64"/>
      <c r="DT316" s="64"/>
      <c r="DU316" s="64"/>
      <c r="DV316" s="64"/>
      <c r="DW316" s="64"/>
      <c r="DX316" s="64"/>
      <c r="DY316" s="64"/>
      <c r="DZ316" s="64"/>
    </row>
    <row r="317" spans="2:130" x14ac:dyDescent="0.15">
      <c r="B317" s="58" t="str">
        <f>IF(G317&lt;&gt;"",SUBTOTAL(3,$G$5:G317),"")</f>
        <v/>
      </c>
      <c r="C317" s="58"/>
      <c r="D317" s="58"/>
      <c r="E317" s="59"/>
      <c r="F317" s="59"/>
      <c r="G317" s="59"/>
      <c r="H317" s="61"/>
      <c r="I317" s="62"/>
      <c r="J317" s="63"/>
      <c r="K317" s="64"/>
      <c r="L317" s="64"/>
      <c r="M317" s="64"/>
      <c r="N317" s="64"/>
      <c r="O317" s="64"/>
      <c r="P317" s="64"/>
      <c r="Q317" s="64"/>
      <c r="R317" s="64"/>
      <c r="S317" s="64"/>
      <c r="T317" s="64"/>
      <c r="U317" s="64"/>
      <c r="V317" s="64"/>
      <c r="W317" s="64"/>
      <c r="X317" s="64"/>
      <c r="Y317" s="64"/>
      <c r="Z317" s="64"/>
      <c r="AA317" s="64"/>
      <c r="AB317" s="64"/>
      <c r="AC317" s="64"/>
      <c r="AD317" s="64"/>
      <c r="AE317" s="64"/>
      <c r="AF317" s="64"/>
      <c r="AG317" s="64"/>
      <c r="AH317" s="64"/>
      <c r="AI317" s="64"/>
      <c r="AJ317" s="64"/>
      <c r="AK317" s="64"/>
      <c r="AL317" s="64"/>
      <c r="AM317" s="64"/>
      <c r="AN317" s="64"/>
      <c r="AO317" s="64"/>
      <c r="AP317" s="64"/>
      <c r="AQ317" s="64"/>
      <c r="AR317" s="65"/>
      <c r="AS317" s="63"/>
      <c r="AT317" s="64"/>
      <c r="AU317" s="64"/>
      <c r="AV317" s="64"/>
      <c r="AW317" s="64"/>
      <c r="AX317" s="64"/>
      <c r="AY317" s="64"/>
      <c r="AZ317" s="64"/>
      <c r="BA317" s="64"/>
      <c r="BB317" s="64"/>
      <c r="BC317" s="64"/>
      <c r="BD317" s="64"/>
      <c r="BE317" s="64"/>
      <c r="BF317" s="64"/>
      <c r="BG317" s="64"/>
      <c r="BH317" s="64"/>
      <c r="BI317" s="64"/>
      <c r="BJ317" s="64"/>
      <c r="BK317" s="64"/>
      <c r="BL317" s="64"/>
      <c r="BM317" s="64"/>
      <c r="BN317" s="64"/>
      <c r="BO317" s="64"/>
      <c r="BP317" s="64"/>
      <c r="BQ317" s="64"/>
      <c r="BR317" s="64"/>
      <c r="BS317" s="64"/>
      <c r="BT317" s="64"/>
      <c r="BU317" s="64"/>
      <c r="BV317" s="64"/>
      <c r="BW317" s="64"/>
      <c r="BX317" s="64"/>
      <c r="BY317" s="64"/>
      <c r="BZ317" s="64"/>
      <c r="CA317" s="65"/>
      <c r="CB317" s="60"/>
      <c r="CH317" s="64"/>
      <c r="CI317" s="64"/>
      <c r="CJ317" s="64"/>
      <c r="CK317" s="64"/>
      <c r="CL317" s="64"/>
      <c r="CM317" s="64"/>
      <c r="CN317" s="64"/>
      <c r="CO317" s="64"/>
      <c r="CP317" s="64"/>
      <c r="CQ317" s="64"/>
      <c r="CR317" s="64"/>
      <c r="CS317" s="64"/>
      <c r="CT317" s="64"/>
      <c r="CU317" s="64"/>
      <c r="CV317" s="64"/>
      <c r="CW317" s="64"/>
      <c r="CX317" s="64"/>
      <c r="CY317" s="64"/>
      <c r="CZ317" s="64"/>
      <c r="DA317" s="64"/>
      <c r="DB317" s="64"/>
      <c r="DC317" s="64"/>
      <c r="DD317" s="64"/>
      <c r="DE317" s="64"/>
      <c r="DF317" s="64"/>
      <c r="DG317" s="64"/>
      <c r="DH317" s="64"/>
      <c r="DI317" s="64"/>
      <c r="DJ317" s="64"/>
      <c r="DK317" s="64"/>
      <c r="DL317" s="64"/>
      <c r="DM317" s="64"/>
      <c r="DN317" s="64"/>
      <c r="DO317" s="64"/>
      <c r="DP317" s="64"/>
      <c r="DQ317" s="64"/>
      <c r="DR317" s="64"/>
      <c r="DS317" s="64"/>
      <c r="DT317" s="64"/>
      <c r="DU317" s="64"/>
      <c r="DV317" s="64"/>
      <c r="DW317" s="64"/>
      <c r="DX317" s="64"/>
      <c r="DY317" s="64"/>
      <c r="DZ317" s="64"/>
    </row>
    <row r="318" spans="2:130" x14ac:dyDescent="0.15">
      <c r="B318" s="58" t="str">
        <f>IF(G318&lt;&gt;"",SUBTOTAL(3,$G$5:G318),"")</f>
        <v/>
      </c>
      <c r="C318" s="58"/>
      <c r="D318" s="58"/>
      <c r="E318" s="59"/>
      <c r="F318" s="59"/>
      <c r="G318" s="59"/>
      <c r="H318" s="61"/>
      <c r="I318" s="62"/>
      <c r="J318" s="63"/>
      <c r="K318" s="64"/>
      <c r="L318" s="64"/>
      <c r="M318" s="64"/>
      <c r="N318" s="64"/>
      <c r="O318" s="64"/>
      <c r="P318" s="64"/>
      <c r="Q318" s="64"/>
      <c r="R318" s="64"/>
      <c r="S318" s="64"/>
      <c r="T318" s="64"/>
      <c r="U318" s="64"/>
      <c r="V318" s="64"/>
      <c r="W318" s="64"/>
      <c r="X318" s="64"/>
      <c r="Y318" s="64"/>
      <c r="Z318" s="64"/>
      <c r="AA318" s="64"/>
      <c r="AB318" s="64"/>
      <c r="AC318" s="64"/>
      <c r="AD318" s="64"/>
      <c r="AE318" s="64"/>
      <c r="AF318" s="64"/>
      <c r="AG318" s="64"/>
      <c r="AH318" s="64"/>
      <c r="AI318" s="64"/>
      <c r="AJ318" s="64"/>
      <c r="AK318" s="64"/>
      <c r="AL318" s="64"/>
      <c r="AM318" s="64"/>
      <c r="AN318" s="64"/>
      <c r="AO318" s="64"/>
      <c r="AP318" s="64"/>
      <c r="AQ318" s="64"/>
      <c r="AR318" s="65"/>
      <c r="AS318" s="63"/>
      <c r="AT318" s="64"/>
      <c r="AU318" s="64"/>
      <c r="AV318" s="64"/>
      <c r="AW318" s="64"/>
      <c r="AX318" s="64"/>
      <c r="AY318" s="64"/>
      <c r="AZ318" s="64"/>
      <c r="BA318" s="64"/>
      <c r="BB318" s="64"/>
      <c r="BC318" s="64"/>
      <c r="BD318" s="64"/>
      <c r="BE318" s="64"/>
      <c r="BF318" s="64"/>
      <c r="BG318" s="64"/>
      <c r="BH318" s="64"/>
      <c r="BI318" s="64"/>
      <c r="BJ318" s="64"/>
      <c r="BK318" s="64"/>
      <c r="BL318" s="64"/>
      <c r="BM318" s="64"/>
      <c r="BN318" s="64"/>
      <c r="BO318" s="64"/>
      <c r="BP318" s="64"/>
      <c r="BQ318" s="64"/>
      <c r="BR318" s="64"/>
      <c r="BS318" s="64"/>
      <c r="BT318" s="64"/>
      <c r="BU318" s="64"/>
      <c r="BV318" s="64"/>
      <c r="BW318" s="64"/>
      <c r="BX318" s="64"/>
      <c r="BY318" s="64"/>
      <c r="BZ318" s="64"/>
      <c r="CA318" s="65"/>
      <c r="CB318" s="60"/>
      <c r="CH318" s="64"/>
      <c r="CI318" s="64"/>
      <c r="CJ318" s="64"/>
      <c r="CK318" s="64"/>
      <c r="CL318" s="64"/>
      <c r="CM318" s="64"/>
      <c r="CN318" s="64"/>
      <c r="CO318" s="64"/>
      <c r="CP318" s="64"/>
      <c r="CQ318" s="64"/>
      <c r="CR318" s="64"/>
      <c r="CS318" s="64"/>
      <c r="CT318" s="64"/>
      <c r="CU318" s="64"/>
      <c r="CV318" s="64"/>
      <c r="CW318" s="64"/>
      <c r="CX318" s="64"/>
      <c r="CY318" s="64"/>
      <c r="CZ318" s="64"/>
      <c r="DA318" s="64"/>
      <c r="DB318" s="64"/>
      <c r="DC318" s="64"/>
      <c r="DD318" s="64"/>
      <c r="DE318" s="64"/>
      <c r="DF318" s="64"/>
      <c r="DG318" s="64"/>
      <c r="DH318" s="64"/>
      <c r="DI318" s="64"/>
      <c r="DJ318" s="64"/>
      <c r="DK318" s="64"/>
      <c r="DL318" s="64"/>
      <c r="DM318" s="64"/>
      <c r="DN318" s="64"/>
      <c r="DO318" s="64"/>
      <c r="DP318" s="64"/>
      <c r="DQ318" s="64"/>
      <c r="DR318" s="64"/>
      <c r="DS318" s="64"/>
      <c r="DT318" s="64"/>
      <c r="DU318" s="64"/>
      <c r="DV318" s="64"/>
      <c r="DW318" s="64"/>
      <c r="DX318" s="64"/>
      <c r="DY318" s="64"/>
      <c r="DZ318" s="64"/>
    </row>
    <row r="319" spans="2:130" x14ac:dyDescent="0.15">
      <c r="B319" s="58" t="str">
        <f>IF(G319&lt;&gt;"",SUBTOTAL(3,$G$5:G319),"")</f>
        <v/>
      </c>
      <c r="C319" s="58"/>
      <c r="D319" s="58"/>
      <c r="E319" s="59"/>
      <c r="F319" s="59"/>
      <c r="G319" s="59"/>
      <c r="H319" s="61"/>
      <c r="I319" s="62"/>
      <c r="J319" s="63"/>
      <c r="K319" s="64"/>
      <c r="L319" s="64"/>
      <c r="M319" s="64"/>
      <c r="N319" s="64"/>
      <c r="O319" s="64"/>
      <c r="P319" s="64"/>
      <c r="Q319" s="64"/>
      <c r="R319" s="64"/>
      <c r="S319" s="64"/>
      <c r="T319" s="64"/>
      <c r="U319" s="64"/>
      <c r="V319" s="64"/>
      <c r="W319" s="64"/>
      <c r="X319" s="64"/>
      <c r="Y319" s="64"/>
      <c r="Z319" s="64"/>
      <c r="AA319" s="64"/>
      <c r="AB319" s="64"/>
      <c r="AC319" s="64"/>
      <c r="AD319" s="64"/>
      <c r="AE319" s="64"/>
      <c r="AF319" s="64"/>
      <c r="AG319" s="64"/>
      <c r="AH319" s="64"/>
      <c r="AI319" s="64"/>
      <c r="AJ319" s="64"/>
      <c r="AK319" s="64"/>
      <c r="AL319" s="64"/>
      <c r="AM319" s="64"/>
      <c r="AN319" s="64"/>
      <c r="AO319" s="64"/>
      <c r="AP319" s="64"/>
      <c r="AQ319" s="64"/>
      <c r="AR319" s="65"/>
      <c r="AS319" s="63"/>
      <c r="AT319" s="64"/>
      <c r="AU319" s="64"/>
      <c r="AV319" s="64"/>
      <c r="AW319" s="64"/>
      <c r="AX319" s="64"/>
      <c r="AY319" s="64"/>
      <c r="AZ319" s="64"/>
      <c r="BA319" s="64"/>
      <c r="BB319" s="64"/>
      <c r="BC319" s="64"/>
      <c r="BD319" s="64"/>
      <c r="BE319" s="64"/>
      <c r="BF319" s="64"/>
      <c r="BG319" s="64"/>
      <c r="BH319" s="64"/>
      <c r="BI319" s="64"/>
      <c r="BJ319" s="64"/>
      <c r="BK319" s="64"/>
      <c r="BL319" s="64"/>
      <c r="BM319" s="64"/>
      <c r="BN319" s="64"/>
      <c r="BO319" s="64"/>
      <c r="BP319" s="64"/>
      <c r="BQ319" s="64"/>
      <c r="BR319" s="64"/>
      <c r="BS319" s="64"/>
      <c r="BT319" s="64"/>
      <c r="BU319" s="64"/>
      <c r="BV319" s="64"/>
      <c r="BW319" s="64"/>
      <c r="BX319" s="64"/>
      <c r="BY319" s="64"/>
      <c r="BZ319" s="64"/>
      <c r="CA319" s="65"/>
      <c r="CB319" s="60"/>
      <c r="CH319" s="64"/>
      <c r="CI319" s="64"/>
      <c r="CJ319" s="64"/>
      <c r="CK319" s="64"/>
      <c r="CL319" s="64"/>
      <c r="CM319" s="64"/>
      <c r="CN319" s="64"/>
      <c r="CO319" s="64"/>
      <c r="CP319" s="64"/>
      <c r="CQ319" s="64"/>
      <c r="CR319" s="64"/>
      <c r="CS319" s="64"/>
      <c r="CT319" s="64"/>
      <c r="CU319" s="64"/>
      <c r="CV319" s="64"/>
      <c r="CW319" s="64"/>
      <c r="CX319" s="64"/>
      <c r="CY319" s="64"/>
      <c r="CZ319" s="64"/>
      <c r="DA319" s="64"/>
      <c r="DB319" s="64"/>
      <c r="DC319" s="64"/>
      <c r="DD319" s="64"/>
      <c r="DE319" s="64"/>
      <c r="DF319" s="64"/>
      <c r="DG319" s="64"/>
      <c r="DH319" s="64"/>
      <c r="DI319" s="64"/>
      <c r="DJ319" s="64"/>
      <c r="DK319" s="64"/>
      <c r="DL319" s="64"/>
      <c r="DM319" s="64"/>
      <c r="DN319" s="64"/>
      <c r="DO319" s="64"/>
      <c r="DP319" s="64"/>
      <c r="DQ319" s="64"/>
      <c r="DR319" s="64"/>
      <c r="DS319" s="64"/>
      <c r="DT319" s="64"/>
      <c r="DU319" s="64"/>
      <c r="DV319" s="64"/>
      <c r="DW319" s="64"/>
      <c r="DX319" s="64"/>
      <c r="DY319" s="64"/>
      <c r="DZ319" s="64"/>
    </row>
    <row r="320" spans="2:130" x14ac:dyDescent="0.15">
      <c r="B320" s="58" t="str">
        <f>IF(G320&lt;&gt;"",SUBTOTAL(3,$G$5:G320),"")</f>
        <v/>
      </c>
      <c r="C320" s="58"/>
      <c r="D320" s="58"/>
      <c r="E320" s="59"/>
      <c r="F320" s="59"/>
      <c r="G320" s="59"/>
      <c r="H320" s="61"/>
      <c r="I320" s="62"/>
      <c r="J320" s="63"/>
      <c r="K320" s="64"/>
      <c r="L320" s="64"/>
      <c r="M320" s="64"/>
      <c r="N320" s="64"/>
      <c r="O320" s="64"/>
      <c r="P320" s="64"/>
      <c r="Q320" s="64"/>
      <c r="R320" s="64"/>
      <c r="S320" s="64"/>
      <c r="T320" s="64"/>
      <c r="U320" s="64"/>
      <c r="V320" s="64"/>
      <c r="W320" s="64"/>
      <c r="X320" s="64"/>
      <c r="Y320" s="64"/>
      <c r="Z320" s="64"/>
      <c r="AA320" s="64"/>
      <c r="AB320" s="64"/>
      <c r="AC320" s="64"/>
      <c r="AD320" s="64"/>
      <c r="AE320" s="64"/>
      <c r="AF320" s="64"/>
      <c r="AG320" s="64"/>
      <c r="AH320" s="64"/>
      <c r="AI320" s="64"/>
      <c r="AJ320" s="64"/>
      <c r="AK320" s="64"/>
      <c r="AL320" s="64"/>
      <c r="AM320" s="64"/>
      <c r="AN320" s="64"/>
      <c r="AO320" s="64"/>
      <c r="AP320" s="64"/>
      <c r="AQ320" s="64"/>
      <c r="AR320" s="65"/>
      <c r="AS320" s="63"/>
      <c r="AT320" s="64"/>
      <c r="AU320" s="64"/>
      <c r="AV320" s="64"/>
      <c r="AW320" s="64"/>
      <c r="AX320" s="64"/>
      <c r="AY320" s="64"/>
      <c r="AZ320" s="64"/>
      <c r="BA320" s="64"/>
      <c r="BB320" s="64"/>
      <c r="BC320" s="64"/>
      <c r="BD320" s="64"/>
      <c r="BE320" s="64"/>
      <c r="BF320" s="64"/>
      <c r="BG320" s="64"/>
      <c r="BH320" s="64"/>
      <c r="BI320" s="64"/>
      <c r="BJ320" s="64"/>
      <c r="BK320" s="64"/>
      <c r="BL320" s="64"/>
      <c r="BM320" s="64"/>
      <c r="BN320" s="64"/>
      <c r="BO320" s="64"/>
      <c r="BP320" s="64"/>
      <c r="BQ320" s="64"/>
      <c r="BR320" s="64"/>
      <c r="BS320" s="64"/>
      <c r="BT320" s="64"/>
      <c r="BU320" s="64"/>
      <c r="BV320" s="64"/>
      <c r="BW320" s="64"/>
      <c r="BX320" s="64"/>
      <c r="BY320" s="64"/>
      <c r="BZ320" s="64"/>
      <c r="CA320" s="65"/>
      <c r="CB320" s="60"/>
      <c r="CH320" s="64"/>
      <c r="CI320" s="64"/>
      <c r="CJ320" s="64"/>
      <c r="CK320" s="64"/>
      <c r="CL320" s="64"/>
      <c r="CM320" s="64"/>
      <c r="CN320" s="64"/>
      <c r="CO320" s="64"/>
      <c r="CP320" s="64"/>
      <c r="CQ320" s="64"/>
      <c r="CR320" s="64"/>
      <c r="CS320" s="64"/>
      <c r="CT320" s="64"/>
      <c r="CU320" s="64"/>
      <c r="CV320" s="64"/>
      <c r="CW320" s="64"/>
      <c r="CX320" s="64"/>
      <c r="CY320" s="64"/>
      <c r="CZ320" s="64"/>
      <c r="DA320" s="64"/>
      <c r="DB320" s="64"/>
      <c r="DC320" s="64"/>
      <c r="DD320" s="64"/>
      <c r="DE320" s="64"/>
      <c r="DF320" s="64"/>
      <c r="DG320" s="64"/>
      <c r="DH320" s="64"/>
      <c r="DI320" s="64"/>
      <c r="DJ320" s="64"/>
      <c r="DK320" s="64"/>
      <c r="DL320" s="64"/>
      <c r="DM320" s="64"/>
      <c r="DN320" s="64"/>
      <c r="DO320" s="64"/>
      <c r="DP320" s="64"/>
      <c r="DQ320" s="64"/>
      <c r="DR320" s="64"/>
      <c r="DS320" s="64"/>
      <c r="DT320" s="64"/>
      <c r="DU320" s="64"/>
      <c r="DV320" s="64"/>
      <c r="DW320" s="64"/>
      <c r="DX320" s="64"/>
      <c r="DY320" s="64"/>
      <c r="DZ320" s="64"/>
    </row>
    <row r="321" spans="2:130" ht="15.75" x14ac:dyDescent="0.15">
      <c r="B321" s="58" t="str">
        <f>IF(G321&lt;&gt;"",SUBTOTAL(3,$G$5:G321),"")</f>
        <v/>
      </c>
      <c r="C321" s="58"/>
      <c r="D321" s="58"/>
      <c r="E321" s="59"/>
      <c r="F321" s="59"/>
      <c r="G321" s="59"/>
      <c r="H321" s="61"/>
      <c r="I321" s="62"/>
      <c r="J321" s="40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  <c r="AQ321" s="41"/>
      <c r="AR321" s="42"/>
      <c r="AS321" s="63"/>
      <c r="AT321" s="64"/>
      <c r="AU321" s="64"/>
      <c r="AV321" s="64"/>
      <c r="AW321" s="64"/>
      <c r="AX321" s="64"/>
      <c r="AY321" s="64"/>
      <c r="AZ321" s="64"/>
      <c r="BA321" s="64"/>
      <c r="BB321" s="64"/>
      <c r="BC321" s="64"/>
      <c r="BD321" s="64"/>
      <c r="BE321" s="64"/>
      <c r="BF321" s="64"/>
      <c r="BG321" s="64"/>
      <c r="BH321" s="64"/>
      <c r="BI321" s="64"/>
      <c r="BJ321" s="64"/>
      <c r="BK321" s="64"/>
      <c r="BL321" s="64"/>
      <c r="BM321" s="64"/>
      <c r="BN321" s="64"/>
      <c r="BO321" s="64"/>
      <c r="BP321" s="64"/>
      <c r="BQ321" s="64"/>
      <c r="BR321" s="64"/>
      <c r="BS321" s="64"/>
      <c r="BT321" s="64"/>
      <c r="BU321" s="64"/>
      <c r="BV321" s="64"/>
      <c r="BW321" s="64"/>
      <c r="BX321" s="64"/>
      <c r="BY321" s="64"/>
      <c r="BZ321" s="64"/>
      <c r="CA321" s="65"/>
      <c r="CB321" s="60"/>
      <c r="CH321" s="64"/>
      <c r="CI321" s="69"/>
      <c r="CJ321" s="69"/>
      <c r="CK321" s="69"/>
      <c r="CL321" s="69"/>
      <c r="CM321" s="69"/>
      <c r="CN321" s="69"/>
      <c r="CO321" s="69"/>
      <c r="CP321" s="69"/>
      <c r="CQ321" s="69"/>
      <c r="CR321" s="69"/>
      <c r="CS321" s="64"/>
      <c r="CT321" s="64"/>
      <c r="CU321" s="64"/>
      <c r="CV321" s="64"/>
      <c r="CW321" s="64"/>
      <c r="CX321" s="64"/>
      <c r="CY321" s="64"/>
      <c r="CZ321" s="64"/>
      <c r="DA321" s="64"/>
      <c r="DB321" s="64"/>
      <c r="DC321" s="64"/>
      <c r="DD321" s="64"/>
      <c r="DE321" s="64"/>
      <c r="DF321" s="64"/>
      <c r="DG321" s="69"/>
      <c r="DH321" s="69"/>
      <c r="DI321" s="69"/>
      <c r="DJ321" s="69"/>
      <c r="DK321" s="69"/>
      <c r="DL321" s="69"/>
      <c r="DM321" s="69"/>
      <c r="DN321" s="69"/>
      <c r="DO321" s="69"/>
      <c r="DP321" s="69"/>
      <c r="DQ321" s="64"/>
      <c r="DR321" s="64"/>
      <c r="DS321" s="64"/>
      <c r="DT321" s="64"/>
      <c r="DU321" s="64"/>
      <c r="DV321" s="64"/>
      <c r="DW321" s="64"/>
      <c r="DX321" s="64"/>
      <c r="DY321" s="64"/>
      <c r="DZ321" s="64"/>
    </row>
    <row r="322" spans="2:130" x14ac:dyDescent="0.15">
      <c r="B322" s="58" t="str">
        <f>IF(G322&lt;&gt;"",SUBTOTAL(3,$G$5:G322),"")</f>
        <v/>
      </c>
      <c r="C322" s="58"/>
      <c r="D322" s="58"/>
      <c r="E322" s="59"/>
      <c r="F322" s="59"/>
      <c r="G322" s="59"/>
      <c r="H322" s="61"/>
      <c r="I322" s="62"/>
      <c r="J322" s="63"/>
      <c r="K322" s="64"/>
      <c r="L322" s="64"/>
      <c r="M322" s="64"/>
      <c r="N322" s="64"/>
      <c r="O322" s="64"/>
      <c r="P322" s="64"/>
      <c r="Q322" s="64"/>
      <c r="R322" s="64"/>
      <c r="S322" s="64"/>
      <c r="T322" s="64"/>
      <c r="U322" s="64"/>
      <c r="V322" s="64"/>
      <c r="W322" s="64"/>
      <c r="X322" s="64"/>
      <c r="Y322" s="64"/>
      <c r="Z322" s="64"/>
      <c r="AA322" s="64"/>
      <c r="AB322" s="64"/>
      <c r="AC322" s="64"/>
      <c r="AD322" s="64"/>
      <c r="AE322" s="64"/>
      <c r="AF322" s="64"/>
      <c r="AG322" s="64"/>
      <c r="AH322" s="64"/>
      <c r="AI322" s="64"/>
      <c r="AJ322" s="64"/>
      <c r="AK322" s="64"/>
      <c r="AL322" s="64"/>
      <c r="AM322" s="64"/>
      <c r="AN322" s="64"/>
      <c r="AO322" s="64"/>
      <c r="AP322" s="64"/>
      <c r="AQ322" s="64"/>
      <c r="AR322" s="65"/>
      <c r="AS322" s="63"/>
      <c r="AT322" s="64"/>
      <c r="AU322" s="64"/>
      <c r="AV322" s="64"/>
      <c r="AW322" s="64"/>
      <c r="AX322" s="64"/>
      <c r="AY322" s="64"/>
      <c r="AZ322" s="64"/>
      <c r="BA322" s="64"/>
      <c r="BB322" s="64"/>
      <c r="BC322" s="64"/>
      <c r="BD322" s="64"/>
      <c r="BE322" s="64"/>
      <c r="BF322" s="64"/>
      <c r="BG322" s="64"/>
      <c r="BH322" s="64"/>
      <c r="BI322" s="64"/>
      <c r="BJ322" s="64"/>
      <c r="BK322" s="64"/>
      <c r="BL322" s="64"/>
      <c r="BM322" s="64"/>
      <c r="BN322" s="64"/>
      <c r="BO322" s="64"/>
      <c r="BP322" s="64"/>
      <c r="BQ322" s="64"/>
      <c r="BR322" s="64"/>
      <c r="BS322" s="64"/>
      <c r="BT322" s="64"/>
      <c r="BU322" s="64"/>
      <c r="BV322" s="64"/>
      <c r="BW322" s="64"/>
      <c r="BX322" s="64"/>
      <c r="BY322" s="64"/>
      <c r="BZ322" s="64"/>
      <c r="CA322" s="65"/>
      <c r="CB322" s="60"/>
      <c r="CH322" s="64"/>
      <c r="CI322" s="64"/>
      <c r="CJ322" s="64"/>
      <c r="CK322" s="64"/>
      <c r="CL322" s="64"/>
      <c r="CM322" s="64"/>
      <c r="CN322" s="64"/>
      <c r="CO322" s="64"/>
      <c r="CP322" s="64"/>
      <c r="CQ322" s="64"/>
      <c r="CR322" s="64"/>
      <c r="CS322" s="64"/>
      <c r="CT322" s="64"/>
      <c r="CU322" s="64"/>
      <c r="CV322" s="64"/>
      <c r="CW322" s="64"/>
      <c r="CX322" s="64"/>
      <c r="CY322" s="64"/>
      <c r="CZ322" s="64"/>
      <c r="DA322" s="64"/>
      <c r="DB322" s="64"/>
      <c r="DC322" s="64"/>
      <c r="DD322" s="64"/>
      <c r="DE322" s="64"/>
      <c r="DF322" s="64"/>
      <c r="DG322" s="64"/>
      <c r="DH322" s="64"/>
      <c r="DI322" s="64"/>
      <c r="DJ322" s="64"/>
      <c r="DK322" s="64"/>
      <c r="DL322" s="64"/>
      <c r="DM322" s="64"/>
      <c r="DN322" s="64"/>
      <c r="DO322" s="64"/>
      <c r="DP322" s="64"/>
      <c r="DQ322" s="64"/>
      <c r="DR322" s="64"/>
      <c r="DS322" s="64"/>
      <c r="DT322" s="64"/>
      <c r="DU322" s="64"/>
      <c r="DV322" s="64"/>
      <c r="DW322" s="64"/>
      <c r="DX322" s="64"/>
      <c r="DY322" s="64"/>
      <c r="DZ322" s="64"/>
    </row>
    <row r="323" spans="2:130" x14ac:dyDescent="0.15">
      <c r="B323" s="58" t="str">
        <f>IF(G323&lt;&gt;"",SUBTOTAL(3,$G$5:G323),"")</f>
        <v/>
      </c>
      <c r="C323" s="58"/>
      <c r="D323" s="58"/>
      <c r="E323" s="59"/>
      <c r="F323" s="59"/>
      <c r="G323" s="59"/>
      <c r="H323" s="61"/>
      <c r="I323" s="62"/>
      <c r="J323" s="63"/>
      <c r="K323" s="64"/>
      <c r="L323" s="64"/>
      <c r="M323" s="64"/>
      <c r="N323" s="64"/>
      <c r="O323" s="64"/>
      <c r="P323" s="64"/>
      <c r="Q323" s="64"/>
      <c r="R323" s="64"/>
      <c r="S323" s="64"/>
      <c r="T323" s="64"/>
      <c r="U323" s="64"/>
      <c r="V323" s="64"/>
      <c r="W323" s="64"/>
      <c r="X323" s="64"/>
      <c r="Y323" s="64"/>
      <c r="Z323" s="64"/>
      <c r="AA323" s="64"/>
      <c r="AB323" s="64"/>
      <c r="AC323" s="64"/>
      <c r="AD323" s="64"/>
      <c r="AE323" s="64"/>
      <c r="AF323" s="64"/>
      <c r="AG323" s="64"/>
      <c r="AH323" s="64"/>
      <c r="AI323" s="64"/>
      <c r="AJ323" s="64"/>
      <c r="AK323" s="64"/>
      <c r="AL323" s="64"/>
      <c r="AM323" s="64"/>
      <c r="AN323" s="64"/>
      <c r="AO323" s="64"/>
      <c r="AP323" s="64"/>
      <c r="AQ323" s="64"/>
      <c r="AR323" s="65"/>
      <c r="AS323" s="63"/>
      <c r="AT323" s="64"/>
      <c r="AU323" s="64"/>
      <c r="AV323" s="64"/>
      <c r="AW323" s="64"/>
      <c r="AX323" s="64"/>
      <c r="AY323" s="64"/>
      <c r="AZ323" s="64"/>
      <c r="BA323" s="64"/>
      <c r="BB323" s="64"/>
      <c r="BC323" s="64"/>
      <c r="BD323" s="64"/>
      <c r="BE323" s="64"/>
      <c r="BF323" s="64"/>
      <c r="BG323" s="64"/>
      <c r="BH323" s="64"/>
      <c r="BI323" s="64"/>
      <c r="BJ323" s="64"/>
      <c r="BK323" s="64"/>
      <c r="BL323" s="64"/>
      <c r="BM323" s="64"/>
      <c r="BN323" s="64"/>
      <c r="BO323" s="64"/>
      <c r="BP323" s="64"/>
      <c r="BQ323" s="64"/>
      <c r="BR323" s="64"/>
      <c r="BS323" s="64"/>
      <c r="BT323" s="64"/>
      <c r="BU323" s="64"/>
      <c r="BV323" s="64"/>
      <c r="BW323" s="64"/>
      <c r="BX323" s="64"/>
      <c r="BY323" s="64"/>
      <c r="BZ323" s="64"/>
      <c r="CA323" s="65"/>
      <c r="CB323" s="60"/>
      <c r="CH323" s="64"/>
      <c r="CI323" s="64"/>
      <c r="CJ323" s="64"/>
      <c r="CK323" s="64"/>
      <c r="CL323" s="64"/>
      <c r="CM323" s="64"/>
      <c r="CN323" s="64"/>
      <c r="CO323" s="64"/>
      <c r="CP323" s="64"/>
      <c r="CQ323" s="64"/>
      <c r="CR323" s="64"/>
      <c r="CS323" s="64"/>
      <c r="CT323" s="64"/>
      <c r="CU323" s="64"/>
      <c r="CV323" s="64"/>
      <c r="CW323" s="64"/>
      <c r="CX323" s="64"/>
      <c r="CY323" s="64"/>
      <c r="CZ323" s="64"/>
      <c r="DA323" s="64"/>
      <c r="DB323" s="64"/>
      <c r="DC323" s="64"/>
      <c r="DD323" s="64"/>
      <c r="DE323" s="64"/>
      <c r="DF323" s="64"/>
      <c r="DG323" s="64"/>
      <c r="DH323" s="64"/>
      <c r="DI323" s="64"/>
      <c r="DJ323" s="64"/>
      <c r="DK323" s="64"/>
      <c r="DL323" s="64"/>
      <c r="DM323" s="64"/>
      <c r="DN323" s="64"/>
      <c r="DO323" s="64"/>
      <c r="DP323" s="64"/>
      <c r="DQ323" s="64"/>
      <c r="DR323" s="64"/>
      <c r="DS323" s="64"/>
      <c r="DT323" s="64"/>
      <c r="DU323" s="64"/>
      <c r="DV323" s="64"/>
      <c r="DW323" s="64"/>
      <c r="DX323" s="64"/>
      <c r="DY323" s="64"/>
      <c r="DZ323" s="64"/>
    </row>
    <row r="324" spans="2:130" x14ac:dyDescent="0.15">
      <c r="B324" s="58" t="str">
        <f>IF(G324&lt;&gt;"",SUBTOTAL(3,$G$5:G324),"")</f>
        <v/>
      </c>
      <c r="C324" s="58"/>
      <c r="D324" s="58"/>
      <c r="E324" s="59"/>
      <c r="F324" s="59"/>
      <c r="G324" s="59"/>
      <c r="H324" s="61"/>
      <c r="I324" s="62"/>
      <c r="J324" s="63"/>
      <c r="K324" s="64"/>
      <c r="L324" s="64"/>
      <c r="M324" s="64"/>
      <c r="N324" s="64"/>
      <c r="O324" s="64"/>
      <c r="P324" s="64"/>
      <c r="Q324" s="64"/>
      <c r="R324" s="64"/>
      <c r="S324" s="64"/>
      <c r="T324" s="64"/>
      <c r="U324" s="64"/>
      <c r="V324" s="64"/>
      <c r="W324" s="64"/>
      <c r="X324" s="64"/>
      <c r="Y324" s="64"/>
      <c r="Z324" s="64"/>
      <c r="AA324" s="64"/>
      <c r="AB324" s="64"/>
      <c r="AC324" s="64"/>
      <c r="AD324" s="64"/>
      <c r="AE324" s="64"/>
      <c r="AF324" s="64"/>
      <c r="AG324" s="64"/>
      <c r="AH324" s="64"/>
      <c r="AI324" s="64"/>
      <c r="AJ324" s="64"/>
      <c r="AK324" s="64"/>
      <c r="AL324" s="64"/>
      <c r="AM324" s="64"/>
      <c r="AN324" s="64"/>
      <c r="AO324" s="64"/>
      <c r="AP324" s="64"/>
      <c r="AQ324" s="64"/>
      <c r="AR324" s="65"/>
      <c r="AS324" s="63"/>
      <c r="AT324" s="64"/>
      <c r="AU324" s="64"/>
      <c r="AV324" s="64"/>
      <c r="AW324" s="64"/>
      <c r="AX324" s="64"/>
      <c r="AY324" s="64"/>
      <c r="AZ324" s="64"/>
      <c r="BA324" s="64"/>
      <c r="BB324" s="64"/>
      <c r="BC324" s="64"/>
      <c r="BD324" s="64"/>
      <c r="BE324" s="64"/>
      <c r="BF324" s="64"/>
      <c r="BG324" s="64"/>
      <c r="BH324" s="64"/>
      <c r="BI324" s="64"/>
      <c r="BJ324" s="64"/>
      <c r="BK324" s="64"/>
      <c r="BL324" s="64"/>
      <c r="BM324" s="64"/>
      <c r="BN324" s="64"/>
      <c r="BO324" s="64"/>
      <c r="BP324" s="64"/>
      <c r="BQ324" s="64"/>
      <c r="BR324" s="64"/>
      <c r="BS324" s="64"/>
      <c r="BT324" s="64"/>
      <c r="BU324" s="64"/>
      <c r="BV324" s="64"/>
      <c r="BW324" s="64"/>
      <c r="BX324" s="64"/>
      <c r="BY324" s="64"/>
      <c r="BZ324" s="64"/>
      <c r="CA324" s="65"/>
      <c r="CB324" s="60"/>
      <c r="CH324" s="64"/>
      <c r="CI324" s="64"/>
      <c r="CJ324" s="64"/>
      <c r="CK324" s="64"/>
      <c r="CL324" s="64"/>
      <c r="CM324" s="64"/>
      <c r="CN324" s="64"/>
      <c r="CO324" s="64"/>
      <c r="CP324" s="64"/>
      <c r="CQ324" s="64"/>
      <c r="CR324" s="64"/>
      <c r="CS324" s="64"/>
      <c r="CT324" s="64"/>
      <c r="CU324" s="64"/>
      <c r="CV324" s="64"/>
      <c r="CW324" s="64"/>
      <c r="CX324" s="64"/>
      <c r="CY324" s="64"/>
      <c r="CZ324" s="64"/>
      <c r="DA324" s="64"/>
      <c r="DB324" s="64"/>
      <c r="DC324" s="64"/>
      <c r="DD324" s="64"/>
      <c r="DE324" s="64"/>
      <c r="DF324" s="64"/>
      <c r="DG324" s="64"/>
      <c r="DH324" s="64"/>
      <c r="DI324" s="64"/>
      <c r="DJ324" s="64"/>
      <c r="DK324" s="64"/>
      <c r="DL324" s="64"/>
      <c r="DM324" s="64"/>
      <c r="DN324" s="64"/>
      <c r="DO324" s="64"/>
      <c r="DP324" s="64"/>
      <c r="DQ324" s="64"/>
      <c r="DR324" s="64"/>
      <c r="DS324" s="64"/>
      <c r="DT324" s="64"/>
      <c r="DU324" s="64"/>
      <c r="DV324" s="64"/>
      <c r="DW324" s="64"/>
      <c r="DX324" s="64"/>
      <c r="DY324" s="64"/>
      <c r="DZ324" s="64"/>
    </row>
    <row r="325" spans="2:130" x14ac:dyDescent="0.15">
      <c r="B325" s="58" t="str">
        <f>IF(G325&lt;&gt;"",SUBTOTAL(3,$G$5:G325),"")</f>
        <v/>
      </c>
      <c r="C325" s="58"/>
      <c r="D325" s="58"/>
      <c r="E325" s="59"/>
      <c r="F325" s="59"/>
      <c r="G325" s="59"/>
      <c r="H325" s="61"/>
      <c r="I325" s="62"/>
      <c r="J325" s="63"/>
      <c r="K325" s="64"/>
      <c r="L325" s="64"/>
      <c r="M325" s="64"/>
      <c r="N325" s="64"/>
      <c r="O325" s="64"/>
      <c r="P325" s="64"/>
      <c r="Q325" s="64"/>
      <c r="R325" s="64"/>
      <c r="S325" s="64"/>
      <c r="T325" s="64"/>
      <c r="U325" s="64"/>
      <c r="V325" s="64"/>
      <c r="W325" s="64"/>
      <c r="X325" s="64"/>
      <c r="Y325" s="64"/>
      <c r="Z325" s="64"/>
      <c r="AA325" s="64"/>
      <c r="AB325" s="64"/>
      <c r="AC325" s="64"/>
      <c r="AD325" s="64"/>
      <c r="AE325" s="64"/>
      <c r="AF325" s="64"/>
      <c r="AG325" s="64"/>
      <c r="AH325" s="64"/>
      <c r="AI325" s="64"/>
      <c r="AJ325" s="64"/>
      <c r="AK325" s="64"/>
      <c r="AL325" s="64"/>
      <c r="AM325" s="64"/>
      <c r="AN325" s="64"/>
      <c r="AO325" s="64"/>
      <c r="AP325" s="64"/>
      <c r="AQ325" s="64"/>
      <c r="AR325" s="65"/>
      <c r="AS325" s="63"/>
      <c r="AT325" s="64"/>
      <c r="AU325" s="64"/>
      <c r="AV325" s="64"/>
      <c r="AW325" s="64"/>
      <c r="AX325" s="64"/>
      <c r="AY325" s="64"/>
      <c r="AZ325" s="64"/>
      <c r="BA325" s="64"/>
      <c r="BB325" s="64"/>
      <c r="BC325" s="64"/>
      <c r="BD325" s="64"/>
      <c r="BE325" s="64"/>
      <c r="BF325" s="64"/>
      <c r="BG325" s="64"/>
      <c r="BH325" s="64"/>
      <c r="BI325" s="64"/>
      <c r="BJ325" s="64"/>
      <c r="BK325" s="64"/>
      <c r="BL325" s="64"/>
      <c r="BM325" s="64"/>
      <c r="BN325" s="64"/>
      <c r="BO325" s="64"/>
      <c r="BP325" s="64"/>
      <c r="BQ325" s="64"/>
      <c r="BR325" s="64"/>
      <c r="BS325" s="64"/>
      <c r="BT325" s="64"/>
      <c r="BU325" s="64"/>
      <c r="BV325" s="64"/>
      <c r="BW325" s="64"/>
      <c r="BX325" s="64"/>
      <c r="BY325" s="64"/>
      <c r="BZ325" s="64"/>
      <c r="CA325" s="65"/>
      <c r="CB325" s="60"/>
      <c r="CH325" s="64"/>
      <c r="CI325" s="64"/>
      <c r="CJ325" s="64"/>
      <c r="CK325" s="64"/>
      <c r="CL325" s="64"/>
      <c r="CM325" s="64"/>
      <c r="CN325" s="64"/>
      <c r="CO325" s="64"/>
      <c r="CP325" s="64"/>
      <c r="CQ325" s="64"/>
      <c r="CR325" s="64"/>
      <c r="CS325" s="64"/>
      <c r="CT325" s="64"/>
      <c r="CU325" s="64"/>
      <c r="CV325" s="64"/>
      <c r="CW325" s="64"/>
      <c r="CX325" s="64"/>
      <c r="CY325" s="64"/>
      <c r="CZ325" s="64"/>
      <c r="DA325" s="64"/>
      <c r="DB325" s="64"/>
      <c r="DC325" s="64"/>
      <c r="DD325" s="64"/>
      <c r="DE325" s="64"/>
      <c r="DF325" s="64"/>
      <c r="DG325" s="64"/>
      <c r="DH325" s="64"/>
      <c r="DI325" s="64"/>
      <c r="DJ325" s="64"/>
      <c r="DK325" s="64"/>
      <c r="DL325" s="64"/>
      <c r="DM325" s="64"/>
      <c r="DN325" s="64"/>
      <c r="DO325" s="64"/>
      <c r="DP325" s="64"/>
      <c r="DQ325" s="64"/>
      <c r="DR325" s="64"/>
      <c r="DS325" s="64"/>
      <c r="DT325" s="64"/>
      <c r="DU325" s="64"/>
      <c r="DV325" s="64"/>
      <c r="DW325" s="64"/>
      <c r="DX325" s="64"/>
      <c r="DY325" s="64"/>
      <c r="DZ325" s="64"/>
    </row>
    <row r="326" spans="2:130" x14ac:dyDescent="0.15">
      <c r="B326" s="58" t="str">
        <f>IF(G326&lt;&gt;"",SUBTOTAL(3,$G$5:G326),"")</f>
        <v/>
      </c>
      <c r="C326" s="58"/>
      <c r="D326" s="58"/>
      <c r="E326" s="59"/>
      <c r="F326" s="59"/>
      <c r="G326" s="59"/>
      <c r="H326" s="61"/>
      <c r="I326" s="62"/>
      <c r="J326" s="63"/>
      <c r="K326" s="64"/>
      <c r="L326" s="64"/>
      <c r="M326" s="64"/>
      <c r="N326" s="64"/>
      <c r="O326" s="64"/>
      <c r="P326" s="64"/>
      <c r="Q326" s="64"/>
      <c r="R326" s="64"/>
      <c r="S326" s="64"/>
      <c r="T326" s="64"/>
      <c r="U326" s="64"/>
      <c r="V326" s="64"/>
      <c r="W326" s="64"/>
      <c r="X326" s="64"/>
      <c r="Y326" s="64"/>
      <c r="Z326" s="64"/>
      <c r="AA326" s="64"/>
      <c r="AB326" s="64"/>
      <c r="AC326" s="64"/>
      <c r="AD326" s="64"/>
      <c r="AE326" s="64"/>
      <c r="AF326" s="64"/>
      <c r="AG326" s="64"/>
      <c r="AH326" s="64"/>
      <c r="AI326" s="64"/>
      <c r="AJ326" s="64"/>
      <c r="AK326" s="64"/>
      <c r="AL326" s="64"/>
      <c r="AM326" s="64"/>
      <c r="AN326" s="64"/>
      <c r="AO326" s="64"/>
      <c r="AP326" s="64"/>
      <c r="AQ326" s="64"/>
      <c r="AR326" s="65"/>
      <c r="AS326" s="63"/>
      <c r="AT326" s="64"/>
      <c r="AU326" s="64"/>
      <c r="AV326" s="64"/>
      <c r="AW326" s="64"/>
      <c r="AX326" s="64"/>
      <c r="AY326" s="64"/>
      <c r="AZ326" s="64"/>
      <c r="BA326" s="64"/>
      <c r="BB326" s="64"/>
      <c r="BC326" s="64"/>
      <c r="BD326" s="64"/>
      <c r="BE326" s="64"/>
      <c r="BF326" s="64"/>
      <c r="BG326" s="64"/>
      <c r="BH326" s="64"/>
      <c r="BI326" s="64"/>
      <c r="BJ326" s="64"/>
      <c r="BK326" s="64"/>
      <c r="BL326" s="64"/>
      <c r="BM326" s="64"/>
      <c r="BN326" s="64"/>
      <c r="BO326" s="64"/>
      <c r="BP326" s="64"/>
      <c r="BQ326" s="64"/>
      <c r="BR326" s="64"/>
      <c r="BS326" s="64"/>
      <c r="BT326" s="64"/>
      <c r="BU326" s="64"/>
      <c r="BV326" s="64"/>
      <c r="BW326" s="64"/>
      <c r="BX326" s="64"/>
      <c r="BY326" s="64"/>
      <c r="BZ326" s="64"/>
      <c r="CA326" s="65"/>
      <c r="CB326" s="60"/>
      <c r="CH326" s="64"/>
      <c r="CI326" s="64"/>
      <c r="CJ326" s="64"/>
      <c r="CK326" s="64"/>
      <c r="CL326" s="64"/>
      <c r="CM326" s="64"/>
      <c r="CN326" s="64"/>
      <c r="CO326" s="64"/>
      <c r="CP326" s="64"/>
      <c r="CQ326" s="64"/>
      <c r="CR326" s="64"/>
      <c r="CS326" s="64"/>
      <c r="CT326" s="64"/>
      <c r="CU326" s="64"/>
      <c r="CV326" s="64"/>
      <c r="CW326" s="64"/>
      <c r="CX326" s="64"/>
      <c r="CY326" s="64"/>
      <c r="CZ326" s="64"/>
      <c r="DA326" s="64"/>
      <c r="DB326" s="64"/>
      <c r="DC326" s="64"/>
      <c r="DD326" s="64"/>
      <c r="DE326" s="64"/>
      <c r="DF326" s="64"/>
      <c r="DG326" s="64"/>
      <c r="DH326" s="64"/>
      <c r="DI326" s="64"/>
      <c r="DJ326" s="64"/>
      <c r="DK326" s="64"/>
      <c r="DL326" s="64"/>
      <c r="DM326" s="64"/>
      <c r="DN326" s="64"/>
      <c r="DO326" s="64"/>
      <c r="DP326" s="64"/>
      <c r="DQ326" s="64"/>
      <c r="DR326" s="64"/>
      <c r="DS326" s="64"/>
      <c r="DT326" s="64"/>
      <c r="DU326" s="64"/>
      <c r="DV326" s="64"/>
      <c r="DW326" s="64"/>
      <c r="DX326" s="64"/>
      <c r="DY326" s="64"/>
      <c r="DZ326" s="64"/>
    </row>
    <row r="327" spans="2:130" x14ac:dyDescent="0.15">
      <c r="B327" s="58" t="str">
        <f>IF(G327&lt;&gt;"",SUBTOTAL(3,$G$5:G327),"")</f>
        <v/>
      </c>
      <c r="C327" s="58"/>
      <c r="D327" s="58"/>
      <c r="E327" s="59"/>
      <c r="F327" s="59"/>
      <c r="G327" s="59"/>
      <c r="H327" s="61"/>
      <c r="I327" s="62"/>
      <c r="J327" s="63"/>
      <c r="K327" s="64"/>
      <c r="L327" s="64"/>
      <c r="M327" s="64"/>
      <c r="N327" s="64"/>
      <c r="O327" s="64"/>
      <c r="P327" s="64"/>
      <c r="Q327" s="64"/>
      <c r="R327" s="64"/>
      <c r="S327" s="64"/>
      <c r="T327" s="64"/>
      <c r="U327" s="64"/>
      <c r="V327" s="64"/>
      <c r="W327" s="64"/>
      <c r="X327" s="64"/>
      <c r="Y327" s="64"/>
      <c r="Z327" s="64"/>
      <c r="AA327" s="64"/>
      <c r="AB327" s="64"/>
      <c r="AC327" s="64"/>
      <c r="AD327" s="64"/>
      <c r="AE327" s="64"/>
      <c r="AF327" s="64"/>
      <c r="AG327" s="64"/>
      <c r="AH327" s="64"/>
      <c r="AI327" s="64"/>
      <c r="AJ327" s="64"/>
      <c r="AK327" s="64"/>
      <c r="AL327" s="64"/>
      <c r="AM327" s="64"/>
      <c r="AN327" s="64"/>
      <c r="AO327" s="64"/>
      <c r="AP327" s="64"/>
      <c r="AQ327" s="64"/>
      <c r="AR327" s="65"/>
      <c r="AS327" s="63"/>
      <c r="AT327" s="64"/>
      <c r="AU327" s="64"/>
      <c r="AV327" s="64"/>
      <c r="AW327" s="64"/>
      <c r="AX327" s="64"/>
      <c r="AY327" s="64"/>
      <c r="AZ327" s="64"/>
      <c r="BA327" s="64"/>
      <c r="BB327" s="64"/>
      <c r="BC327" s="64"/>
      <c r="BD327" s="64"/>
      <c r="BE327" s="64"/>
      <c r="BF327" s="64"/>
      <c r="BG327" s="64"/>
      <c r="BH327" s="64"/>
      <c r="BI327" s="64"/>
      <c r="BJ327" s="64"/>
      <c r="BK327" s="64"/>
      <c r="BL327" s="64"/>
      <c r="BM327" s="64"/>
      <c r="BN327" s="64"/>
      <c r="BO327" s="64"/>
      <c r="BP327" s="64"/>
      <c r="BQ327" s="64"/>
      <c r="BR327" s="64"/>
      <c r="BS327" s="64"/>
      <c r="BT327" s="64"/>
      <c r="BU327" s="64"/>
      <c r="BV327" s="64"/>
      <c r="BW327" s="64"/>
      <c r="BX327" s="64"/>
      <c r="BY327" s="64"/>
      <c r="BZ327" s="64"/>
      <c r="CA327" s="65"/>
      <c r="CB327" s="60"/>
      <c r="CH327" s="64"/>
      <c r="CI327" s="64"/>
      <c r="CJ327" s="64"/>
      <c r="CK327" s="64"/>
      <c r="CL327" s="64"/>
      <c r="CM327" s="64"/>
      <c r="CN327" s="64"/>
      <c r="CO327" s="64"/>
      <c r="CP327" s="64"/>
      <c r="CQ327" s="64"/>
      <c r="CR327" s="64"/>
      <c r="CS327" s="64"/>
      <c r="CT327" s="64"/>
      <c r="CU327" s="64"/>
      <c r="CV327" s="64"/>
      <c r="CW327" s="64"/>
      <c r="CX327" s="64"/>
      <c r="CY327" s="64"/>
      <c r="CZ327" s="64"/>
      <c r="DA327" s="64"/>
      <c r="DB327" s="64"/>
      <c r="DC327" s="64"/>
      <c r="DD327" s="64"/>
      <c r="DE327" s="64"/>
      <c r="DF327" s="64"/>
      <c r="DG327" s="64"/>
      <c r="DH327" s="64"/>
      <c r="DI327" s="64"/>
      <c r="DJ327" s="64"/>
      <c r="DK327" s="64"/>
      <c r="DL327" s="64"/>
      <c r="DM327" s="64"/>
      <c r="DN327" s="64"/>
      <c r="DO327" s="64"/>
      <c r="DP327" s="64"/>
      <c r="DQ327" s="64"/>
      <c r="DR327" s="64"/>
      <c r="DS327" s="64"/>
      <c r="DT327" s="64"/>
      <c r="DU327" s="64"/>
      <c r="DV327" s="64"/>
      <c r="DW327" s="64"/>
      <c r="DX327" s="64"/>
      <c r="DY327" s="64"/>
      <c r="DZ327" s="64"/>
    </row>
    <row r="328" spans="2:130" x14ac:dyDescent="0.15">
      <c r="B328" s="58" t="str">
        <f>IF(G328&lt;&gt;"",SUBTOTAL(3,$G$5:G328),"")</f>
        <v/>
      </c>
      <c r="C328" s="58"/>
      <c r="D328" s="58"/>
      <c r="E328" s="59"/>
      <c r="F328" s="59"/>
      <c r="G328" s="59"/>
      <c r="H328" s="61"/>
      <c r="I328" s="62"/>
      <c r="J328" s="63"/>
      <c r="K328" s="64"/>
      <c r="L328" s="64"/>
      <c r="M328" s="64"/>
      <c r="N328" s="64"/>
      <c r="O328" s="64"/>
      <c r="P328" s="64"/>
      <c r="Q328" s="64"/>
      <c r="R328" s="64"/>
      <c r="S328" s="64"/>
      <c r="T328" s="64"/>
      <c r="U328" s="64"/>
      <c r="V328" s="64"/>
      <c r="W328" s="64"/>
      <c r="X328" s="64"/>
      <c r="Y328" s="64"/>
      <c r="Z328" s="64"/>
      <c r="AA328" s="64"/>
      <c r="AB328" s="64"/>
      <c r="AC328" s="64"/>
      <c r="AD328" s="64"/>
      <c r="AE328" s="64"/>
      <c r="AF328" s="64"/>
      <c r="AG328" s="64"/>
      <c r="AH328" s="64"/>
      <c r="AI328" s="64"/>
      <c r="AJ328" s="64"/>
      <c r="AK328" s="64"/>
      <c r="AL328" s="64"/>
      <c r="AM328" s="64"/>
      <c r="AN328" s="64"/>
      <c r="AO328" s="64"/>
      <c r="AP328" s="64"/>
      <c r="AQ328" s="64"/>
      <c r="AR328" s="65"/>
      <c r="AS328" s="63"/>
      <c r="AT328" s="64"/>
      <c r="AU328" s="64"/>
      <c r="AV328" s="64"/>
      <c r="AW328" s="64"/>
      <c r="AX328" s="64"/>
      <c r="AY328" s="64"/>
      <c r="AZ328" s="64"/>
      <c r="BA328" s="64"/>
      <c r="BB328" s="64"/>
      <c r="BC328" s="64"/>
      <c r="BD328" s="64"/>
      <c r="BE328" s="64"/>
      <c r="BF328" s="64"/>
      <c r="BG328" s="64"/>
      <c r="BH328" s="64"/>
      <c r="BI328" s="64"/>
      <c r="BJ328" s="64"/>
      <c r="BK328" s="64"/>
      <c r="BL328" s="64"/>
      <c r="BM328" s="64"/>
      <c r="BN328" s="64"/>
      <c r="BO328" s="64"/>
      <c r="BP328" s="64"/>
      <c r="BQ328" s="64"/>
      <c r="BR328" s="64"/>
      <c r="BS328" s="64"/>
      <c r="BT328" s="64"/>
      <c r="BU328" s="64"/>
      <c r="BV328" s="64"/>
      <c r="BW328" s="64"/>
      <c r="BX328" s="64"/>
      <c r="BY328" s="64"/>
      <c r="BZ328" s="64"/>
      <c r="CA328" s="65"/>
      <c r="CB328" s="60"/>
      <c r="CH328" s="64"/>
      <c r="CI328" s="64"/>
      <c r="CJ328" s="64"/>
      <c r="CK328" s="64"/>
      <c r="CL328" s="64"/>
      <c r="CM328" s="64"/>
      <c r="CN328" s="64"/>
      <c r="CO328" s="64"/>
      <c r="CP328" s="64"/>
      <c r="CQ328" s="64"/>
      <c r="CR328" s="64"/>
      <c r="CS328" s="64"/>
      <c r="CT328" s="64"/>
      <c r="CU328" s="64"/>
      <c r="CV328" s="64"/>
      <c r="CW328" s="64"/>
      <c r="CX328" s="64"/>
      <c r="CY328" s="64"/>
      <c r="CZ328" s="64"/>
      <c r="DA328" s="64"/>
      <c r="DB328" s="64"/>
      <c r="DC328" s="64"/>
      <c r="DD328" s="64"/>
      <c r="DE328" s="64"/>
      <c r="DF328" s="64"/>
      <c r="DG328" s="64"/>
      <c r="DH328" s="64"/>
      <c r="DI328" s="64"/>
      <c r="DJ328" s="64"/>
      <c r="DK328" s="64"/>
      <c r="DL328" s="64"/>
      <c r="DM328" s="64"/>
      <c r="DN328" s="64"/>
      <c r="DO328" s="64"/>
      <c r="DP328" s="64"/>
      <c r="DQ328" s="64"/>
      <c r="DR328" s="64"/>
      <c r="DS328" s="64"/>
      <c r="DT328" s="64"/>
      <c r="DU328" s="64"/>
      <c r="DV328" s="64"/>
      <c r="DW328" s="64"/>
      <c r="DX328" s="64"/>
      <c r="DY328" s="64"/>
      <c r="DZ328" s="64"/>
    </row>
    <row r="329" spans="2:130" ht="15.75" x14ac:dyDescent="0.15">
      <c r="B329" s="58" t="str">
        <f>IF(G329&lt;&gt;"",SUBTOTAL(3,$G$5:G329),"")</f>
        <v/>
      </c>
      <c r="C329" s="58"/>
      <c r="D329" s="58"/>
      <c r="E329" s="59"/>
      <c r="F329" s="59"/>
      <c r="G329" s="59"/>
      <c r="H329" s="61"/>
      <c r="I329" s="62"/>
      <c r="J329" s="40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  <c r="AQ329" s="41"/>
      <c r="AR329" s="42"/>
      <c r="AS329" s="63"/>
      <c r="AT329" s="64"/>
      <c r="AU329" s="64"/>
      <c r="AV329" s="64"/>
      <c r="AW329" s="64"/>
      <c r="AX329" s="64"/>
      <c r="AY329" s="64"/>
      <c r="AZ329" s="64"/>
      <c r="BA329" s="64"/>
      <c r="BB329" s="64"/>
      <c r="BC329" s="64"/>
      <c r="BD329" s="64"/>
      <c r="BE329" s="64"/>
      <c r="BF329" s="64"/>
      <c r="BG329" s="64"/>
      <c r="BH329" s="64"/>
      <c r="BI329" s="64"/>
      <c r="BJ329" s="64"/>
      <c r="BK329" s="64"/>
      <c r="BL329" s="64"/>
      <c r="BM329" s="64"/>
      <c r="BN329" s="64"/>
      <c r="BO329" s="64"/>
      <c r="BP329" s="64"/>
      <c r="BQ329" s="64"/>
      <c r="BR329" s="64"/>
      <c r="BS329" s="64"/>
      <c r="BT329" s="64"/>
      <c r="BU329" s="64"/>
      <c r="BV329" s="64"/>
      <c r="BW329" s="64"/>
      <c r="BX329" s="64"/>
      <c r="BY329" s="64"/>
      <c r="BZ329" s="64"/>
      <c r="CA329" s="65"/>
      <c r="CB329" s="60"/>
      <c r="CH329" s="64"/>
      <c r="CI329" s="64"/>
      <c r="CJ329" s="64"/>
      <c r="CK329" s="64"/>
      <c r="CL329" s="64"/>
      <c r="CM329" s="64"/>
      <c r="CN329" s="64"/>
      <c r="CO329" s="64"/>
      <c r="CP329" s="64"/>
      <c r="CQ329" s="64"/>
      <c r="CR329" s="64"/>
      <c r="CS329" s="64"/>
      <c r="CT329" s="64"/>
      <c r="CU329" s="64"/>
      <c r="CV329" s="64"/>
      <c r="CW329" s="64"/>
      <c r="CX329" s="64"/>
      <c r="CY329" s="64"/>
      <c r="CZ329" s="64"/>
      <c r="DA329" s="64"/>
      <c r="DB329" s="64"/>
      <c r="DC329" s="64"/>
      <c r="DD329" s="64"/>
      <c r="DE329" s="64"/>
      <c r="DF329" s="64"/>
      <c r="DG329" s="64"/>
      <c r="DH329" s="64"/>
      <c r="DI329" s="64"/>
      <c r="DJ329" s="64"/>
      <c r="DK329" s="64"/>
      <c r="DL329" s="64"/>
      <c r="DM329" s="64"/>
      <c r="DN329" s="64"/>
      <c r="DO329" s="64"/>
      <c r="DP329" s="64"/>
      <c r="DQ329" s="64"/>
      <c r="DR329" s="64"/>
      <c r="DS329" s="64"/>
      <c r="DT329" s="64"/>
      <c r="DU329" s="64"/>
      <c r="DV329" s="64"/>
      <c r="DW329" s="64"/>
      <c r="DX329" s="64"/>
      <c r="DY329" s="64"/>
      <c r="DZ329" s="64"/>
    </row>
    <row r="330" spans="2:130" x14ac:dyDescent="0.15">
      <c r="B330" s="58" t="str">
        <f>IF(G330&lt;&gt;"",SUBTOTAL(3,$G$5:G330),"")</f>
        <v/>
      </c>
      <c r="C330" s="58"/>
      <c r="D330" s="58"/>
      <c r="E330" s="59"/>
      <c r="F330" s="59"/>
      <c r="G330" s="59"/>
      <c r="H330" s="61"/>
      <c r="I330" s="62"/>
      <c r="J330" s="63"/>
      <c r="K330" s="64"/>
      <c r="L330" s="64"/>
      <c r="M330" s="64"/>
      <c r="N330" s="64"/>
      <c r="O330" s="64"/>
      <c r="P330" s="64"/>
      <c r="Q330" s="64"/>
      <c r="R330" s="64"/>
      <c r="S330" s="64"/>
      <c r="T330" s="64"/>
      <c r="U330" s="64"/>
      <c r="V330" s="64"/>
      <c r="W330" s="64"/>
      <c r="X330" s="64"/>
      <c r="Y330" s="64"/>
      <c r="Z330" s="64"/>
      <c r="AA330" s="64"/>
      <c r="AB330" s="64"/>
      <c r="AC330" s="64"/>
      <c r="AD330" s="64"/>
      <c r="AE330" s="64"/>
      <c r="AF330" s="64"/>
      <c r="AG330" s="64"/>
      <c r="AH330" s="64"/>
      <c r="AI330" s="64"/>
      <c r="AJ330" s="64"/>
      <c r="AK330" s="64"/>
      <c r="AL330" s="64"/>
      <c r="AM330" s="64"/>
      <c r="AN330" s="64"/>
      <c r="AO330" s="64"/>
      <c r="AP330" s="64"/>
      <c r="AQ330" s="64"/>
      <c r="AR330" s="65"/>
      <c r="AS330" s="63"/>
      <c r="AT330" s="64"/>
      <c r="AU330" s="64"/>
      <c r="AV330" s="64"/>
      <c r="AW330" s="64"/>
      <c r="AX330" s="64"/>
      <c r="AY330" s="64"/>
      <c r="AZ330" s="64"/>
      <c r="BA330" s="64"/>
      <c r="BB330" s="64"/>
      <c r="BC330" s="64"/>
      <c r="BD330" s="64"/>
      <c r="BE330" s="64"/>
      <c r="BF330" s="64"/>
      <c r="BG330" s="64"/>
      <c r="BH330" s="64"/>
      <c r="BI330" s="64"/>
      <c r="BJ330" s="64"/>
      <c r="BK330" s="64"/>
      <c r="BL330" s="64"/>
      <c r="BM330" s="64"/>
      <c r="BN330" s="64"/>
      <c r="BO330" s="64"/>
      <c r="BP330" s="64"/>
      <c r="BQ330" s="64"/>
      <c r="BR330" s="64"/>
      <c r="BS330" s="64"/>
      <c r="BT330" s="64"/>
      <c r="BU330" s="64"/>
      <c r="BV330" s="64"/>
      <c r="BW330" s="64"/>
      <c r="BX330" s="64"/>
      <c r="BY330" s="64"/>
      <c r="BZ330" s="64"/>
      <c r="CA330" s="65"/>
      <c r="CB330" s="60"/>
      <c r="CH330" s="64"/>
      <c r="CI330" s="64"/>
      <c r="CJ330" s="64"/>
      <c r="CK330" s="64"/>
      <c r="CL330" s="64"/>
      <c r="CM330" s="64"/>
      <c r="CN330" s="64"/>
      <c r="CO330" s="64"/>
      <c r="CP330" s="64"/>
      <c r="CQ330" s="64"/>
      <c r="CR330" s="64"/>
      <c r="CS330" s="64"/>
      <c r="CT330" s="64"/>
      <c r="CU330" s="64"/>
      <c r="CV330" s="64"/>
      <c r="CW330" s="64"/>
      <c r="CX330" s="64"/>
      <c r="CY330" s="64"/>
      <c r="CZ330" s="64"/>
      <c r="DA330" s="64"/>
      <c r="DB330" s="64"/>
      <c r="DC330" s="64"/>
      <c r="DD330" s="64"/>
      <c r="DE330" s="64"/>
      <c r="DF330" s="64"/>
      <c r="DG330" s="64"/>
      <c r="DH330" s="64"/>
      <c r="DI330" s="64"/>
      <c r="DJ330" s="64"/>
      <c r="DK330" s="64"/>
      <c r="DL330" s="64"/>
      <c r="DM330" s="64"/>
      <c r="DN330" s="64"/>
      <c r="DO330" s="64"/>
      <c r="DP330" s="64"/>
      <c r="DQ330" s="64"/>
      <c r="DR330" s="64"/>
      <c r="DS330" s="64"/>
      <c r="DT330" s="64"/>
      <c r="DU330" s="64"/>
      <c r="DV330" s="64"/>
      <c r="DW330" s="64"/>
      <c r="DX330" s="64"/>
      <c r="DY330" s="64"/>
      <c r="DZ330" s="64"/>
    </row>
    <row r="331" spans="2:130" x14ac:dyDescent="0.15">
      <c r="B331" s="58" t="str">
        <f>IF(G331&lt;&gt;"",SUBTOTAL(3,$G$5:G331),"")</f>
        <v/>
      </c>
      <c r="C331" s="58"/>
      <c r="D331" s="58"/>
      <c r="E331" s="59"/>
      <c r="F331" s="59"/>
      <c r="G331" s="59"/>
      <c r="H331" s="61"/>
      <c r="I331" s="62"/>
      <c r="J331" s="63"/>
      <c r="K331" s="64"/>
      <c r="L331" s="64"/>
      <c r="M331" s="64"/>
      <c r="N331" s="64"/>
      <c r="O331" s="64"/>
      <c r="P331" s="64"/>
      <c r="Q331" s="64"/>
      <c r="R331" s="64"/>
      <c r="S331" s="64"/>
      <c r="T331" s="64"/>
      <c r="U331" s="64"/>
      <c r="V331" s="64"/>
      <c r="W331" s="64"/>
      <c r="X331" s="64"/>
      <c r="Y331" s="64"/>
      <c r="Z331" s="64"/>
      <c r="AA331" s="64"/>
      <c r="AB331" s="64"/>
      <c r="AC331" s="64"/>
      <c r="AD331" s="64"/>
      <c r="AE331" s="64"/>
      <c r="AF331" s="64"/>
      <c r="AG331" s="64"/>
      <c r="AH331" s="64"/>
      <c r="AI331" s="64"/>
      <c r="AJ331" s="64"/>
      <c r="AK331" s="64"/>
      <c r="AL331" s="64"/>
      <c r="AM331" s="64"/>
      <c r="AN331" s="64"/>
      <c r="AO331" s="64"/>
      <c r="AP331" s="64"/>
      <c r="AQ331" s="64"/>
      <c r="AR331" s="65"/>
      <c r="AS331" s="63"/>
      <c r="AT331" s="64"/>
      <c r="AU331" s="64"/>
      <c r="AV331" s="64"/>
      <c r="AW331" s="64"/>
      <c r="AX331" s="64"/>
      <c r="AY331" s="64"/>
      <c r="AZ331" s="64"/>
      <c r="BA331" s="64"/>
      <c r="BB331" s="64"/>
      <c r="BC331" s="64"/>
      <c r="BD331" s="64"/>
      <c r="BE331" s="64"/>
      <c r="BF331" s="64"/>
      <c r="BG331" s="64"/>
      <c r="BH331" s="64"/>
      <c r="BI331" s="64"/>
      <c r="BJ331" s="64"/>
      <c r="BK331" s="64"/>
      <c r="BL331" s="64"/>
      <c r="BM331" s="64"/>
      <c r="BN331" s="64"/>
      <c r="BO331" s="64"/>
      <c r="BP331" s="64"/>
      <c r="BQ331" s="64"/>
      <c r="BR331" s="64"/>
      <c r="BS331" s="64"/>
      <c r="BT331" s="64"/>
      <c r="BU331" s="64"/>
      <c r="BV331" s="64"/>
      <c r="BW331" s="64"/>
      <c r="BX331" s="64"/>
      <c r="BY331" s="64"/>
      <c r="BZ331" s="64"/>
      <c r="CA331" s="65"/>
      <c r="CB331" s="60"/>
      <c r="CH331" s="64"/>
      <c r="CI331" s="64"/>
      <c r="CJ331" s="64"/>
      <c r="CK331" s="64"/>
      <c r="CL331" s="64"/>
      <c r="CM331" s="64"/>
      <c r="CN331" s="64"/>
      <c r="CO331" s="64"/>
      <c r="CP331" s="64"/>
      <c r="CQ331" s="64"/>
      <c r="CR331" s="64"/>
      <c r="CS331" s="64"/>
      <c r="CT331" s="64"/>
      <c r="CU331" s="64"/>
      <c r="CV331" s="64"/>
      <c r="CW331" s="64"/>
      <c r="CX331" s="64"/>
      <c r="CY331" s="64"/>
      <c r="CZ331" s="64"/>
      <c r="DA331" s="64"/>
      <c r="DB331" s="64"/>
      <c r="DC331" s="64"/>
      <c r="DD331" s="64"/>
      <c r="DE331" s="64"/>
      <c r="DF331" s="64"/>
      <c r="DG331" s="64"/>
      <c r="DH331" s="64"/>
      <c r="DI331" s="64"/>
      <c r="DJ331" s="64"/>
      <c r="DK331" s="64"/>
      <c r="DL331" s="64"/>
      <c r="DM331" s="64"/>
      <c r="DN331" s="64"/>
      <c r="DO331" s="64"/>
      <c r="DP331" s="64"/>
      <c r="DQ331" s="64"/>
      <c r="DR331" s="64"/>
      <c r="DS331" s="64"/>
      <c r="DT331" s="64"/>
      <c r="DU331" s="64"/>
      <c r="DV331" s="64"/>
      <c r="DW331" s="64"/>
      <c r="DX331" s="64"/>
      <c r="DY331" s="64"/>
      <c r="DZ331" s="64"/>
    </row>
    <row r="332" spans="2:130" x14ac:dyDescent="0.15">
      <c r="B332" s="58" t="str">
        <f>IF(G332&lt;&gt;"",SUBTOTAL(3,$G$5:G332),"")</f>
        <v/>
      </c>
      <c r="C332" s="58"/>
      <c r="D332" s="58"/>
      <c r="E332" s="59"/>
      <c r="F332" s="59"/>
      <c r="G332" s="59"/>
      <c r="H332" s="61"/>
      <c r="I332" s="62"/>
      <c r="J332" s="63"/>
      <c r="K332" s="64"/>
      <c r="L332" s="64"/>
      <c r="M332" s="64"/>
      <c r="N332" s="64"/>
      <c r="O332" s="64"/>
      <c r="P332" s="64"/>
      <c r="Q332" s="64"/>
      <c r="R332" s="64"/>
      <c r="S332" s="64"/>
      <c r="T332" s="64"/>
      <c r="U332" s="64"/>
      <c r="V332" s="64"/>
      <c r="W332" s="64"/>
      <c r="X332" s="64"/>
      <c r="Y332" s="64"/>
      <c r="Z332" s="64"/>
      <c r="AA332" s="64"/>
      <c r="AB332" s="64"/>
      <c r="AC332" s="64"/>
      <c r="AD332" s="64"/>
      <c r="AE332" s="64"/>
      <c r="AF332" s="64"/>
      <c r="AG332" s="64"/>
      <c r="AH332" s="64"/>
      <c r="AI332" s="64"/>
      <c r="AJ332" s="64"/>
      <c r="AK332" s="64"/>
      <c r="AL332" s="64"/>
      <c r="AM332" s="64"/>
      <c r="AN332" s="64"/>
      <c r="AO332" s="64"/>
      <c r="AP332" s="64"/>
      <c r="AQ332" s="64"/>
      <c r="AR332" s="65"/>
      <c r="AS332" s="63"/>
      <c r="AT332" s="64"/>
      <c r="AU332" s="64"/>
      <c r="AV332" s="64"/>
      <c r="AW332" s="64"/>
      <c r="AX332" s="64"/>
      <c r="AY332" s="64"/>
      <c r="AZ332" s="64"/>
      <c r="BA332" s="64"/>
      <c r="BB332" s="64"/>
      <c r="BC332" s="64"/>
      <c r="BD332" s="64"/>
      <c r="BE332" s="64"/>
      <c r="BF332" s="64"/>
      <c r="BG332" s="64"/>
      <c r="BH332" s="64"/>
      <c r="BI332" s="64"/>
      <c r="BJ332" s="64"/>
      <c r="BK332" s="64"/>
      <c r="BL332" s="64"/>
      <c r="BM332" s="64"/>
      <c r="BN332" s="64"/>
      <c r="BO332" s="64"/>
      <c r="BP332" s="64"/>
      <c r="BQ332" s="64"/>
      <c r="BR332" s="64"/>
      <c r="BS332" s="64"/>
      <c r="BT332" s="64"/>
      <c r="BU332" s="64"/>
      <c r="BV332" s="64"/>
      <c r="BW332" s="64"/>
      <c r="BX332" s="64"/>
      <c r="BY332" s="64"/>
      <c r="BZ332" s="64"/>
      <c r="CA332" s="65"/>
      <c r="CB332" s="60"/>
      <c r="CH332" s="64"/>
      <c r="CI332" s="64"/>
      <c r="CJ332" s="64"/>
      <c r="CK332" s="64"/>
      <c r="CL332" s="64"/>
      <c r="CM332" s="64"/>
      <c r="CN332" s="64"/>
      <c r="CO332" s="64"/>
      <c r="CP332" s="64"/>
      <c r="CQ332" s="64"/>
      <c r="CR332" s="64"/>
      <c r="CS332" s="64"/>
      <c r="CT332" s="64"/>
      <c r="CU332" s="64"/>
      <c r="CV332" s="64"/>
      <c r="CW332" s="64"/>
      <c r="CX332" s="64"/>
      <c r="CY332" s="64"/>
      <c r="CZ332" s="64"/>
      <c r="DA332" s="64"/>
      <c r="DB332" s="64"/>
      <c r="DC332" s="64"/>
      <c r="DD332" s="64"/>
      <c r="DE332" s="64"/>
      <c r="DF332" s="64"/>
      <c r="DG332" s="64"/>
      <c r="DH332" s="64"/>
      <c r="DI332" s="64"/>
      <c r="DJ332" s="64"/>
      <c r="DK332" s="64"/>
      <c r="DL332" s="64"/>
      <c r="DM332" s="64"/>
      <c r="DN332" s="64"/>
      <c r="DO332" s="64"/>
      <c r="DP332" s="64"/>
      <c r="DQ332" s="64"/>
      <c r="DR332" s="64"/>
      <c r="DS332" s="64"/>
      <c r="DT332" s="64"/>
      <c r="DU332" s="64"/>
      <c r="DV332" s="64"/>
      <c r="DW332" s="64"/>
      <c r="DX332" s="64"/>
      <c r="DY332" s="64"/>
      <c r="DZ332" s="64"/>
    </row>
    <row r="333" spans="2:130" x14ac:dyDescent="0.15">
      <c r="B333" s="58" t="str">
        <f>IF(G333&lt;&gt;"",SUBTOTAL(3,$G$5:G333),"")</f>
        <v/>
      </c>
      <c r="C333" s="58"/>
      <c r="D333" s="58"/>
      <c r="E333" s="59"/>
      <c r="F333" s="59"/>
      <c r="G333" s="59"/>
      <c r="H333" s="61"/>
      <c r="I333" s="62"/>
      <c r="J333" s="63"/>
      <c r="K333" s="64"/>
      <c r="L333" s="64"/>
      <c r="M333" s="64"/>
      <c r="N333" s="64"/>
      <c r="O333" s="64"/>
      <c r="P333" s="64"/>
      <c r="Q333" s="64"/>
      <c r="R333" s="64"/>
      <c r="S333" s="64"/>
      <c r="T333" s="64"/>
      <c r="U333" s="64"/>
      <c r="V333" s="64"/>
      <c r="W333" s="64"/>
      <c r="X333" s="64"/>
      <c r="Y333" s="64"/>
      <c r="Z333" s="64"/>
      <c r="AA333" s="64"/>
      <c r="AB333" s="64"/>
      <c r="AC333" s="64"/>
      <c r="AD333" s="64"/>
      <c r="AE333" s="64"/>
      <c r="AF333" s="64"/>
      <c r="AG333" s="64"/>
      <c r="AH333" s="64"/>
      <c r="AI333" s="64"/>
      <c r="AJ333" s="64"/>
      <c r="AK333" s="64"/>
      <c r="AL333" s="64"/>
      <c r="AM333" s="64"/>
      <c r="AN333" s="64"/>
      <c r="AO333" s="64"/>
      <c r="AP333" s="64"/>
      <c r="AQ333" s="64"/>
      <c r="AR333" s="65"/>
      <c r="AS333" s="63"/>
      <c r="AT333" s="64"/>
      <c r="AU333" s="64"/>
      <c r="AV333" s="64"/>
      <c r="AW333" s="64"/>
      <c r="AX333" s="64"/>
      <c r="AY333" s="64"/>
      <c r="AZ333" s="64"/>
      <c r="BA333" s="64"/>
      <c r="BB333" s="64"/>
      <c r="BC333" s="64"/>
      <c r="BD333" s="64"/>
      <c r="BE333" s="64"/>
      <c r="BF333" s="64"/>
      <c r="BG333" s="64"/>
      <c r="BH333" s="64"/>
      <c r="BI333" s="64"/>
      <c r="BJ333" s="64"/>
      <c r="BK333" s="64"/>
      <c r="BL333" s="64"/>
      <c r="BM333" s="64"/>
      <c r="BN333" s="64"/>
      <c r="BO333" s="64"/>
      <c r="BP333" s="64"/>
      <c r="BQ333" s="64"/>
      <c r="BR333" s="64"/>
      <c r="BS333" s="64"/>
      <c r="BT333" s="64"/>
      <c r="BU333" s="64"/>
      <c r="BV333" s="64"/>
      <c r="BW333" s="64"/>
      <c r="BX333" s="64"/>
      <c r="BY333" s="64"/>
      <c r="BZ333" s="64"/>
      <c r="CA333" s="65"/>
      <c r="CB333" s="60"/>
      <c r="CH333" s="64"/>
      <c r="CI333" s="64"/>
      <c r="CJ333" s="64"/>
      <c r="CK333" s="64"/>
      <c r="CL333" s="64"/>
      <c r="CM333" s="64"/>
      <c r="CN333" s="64"/>
      <c r="CO333" s="64"/>
      <c r="CP333" s="64"/>
      <c r="CQ333" s="64"/>
      <c r="CR333" s="64"/>
      <c r="CS333" s="64"/>
      <c r="CT333" s="64"/>
      <c r="CU333" s="64"/>
      <c r="CV333" s="64"/>
      <c r="CW333" s="64"/>
      <c r="CX333" s="64"/>
      <c r="CY333" s="64"/>
      <c r="CZ333" s="64"/>
      <c r="DA333" s="64"/>
      <c r="DB333" s="64"/>
      <c r="DC333" s="64"/>
      <c r="DD333" s="64"/>
      <c r="DE333" s="64"/>
      <c r="DF333" s="64"/>
      <c r="DG333" s="64"/>
      <c r="DH333" s="64"/>
      <c r="DI333" s="64"/>
      <c r="DJ333" s="64"/>
      <c r="DK333" s="64"/>
      <c r="DL333" s="64"/>
      <c r="DM333" s="64"/>
      <c r="DN333" s="64"/>
      <c r="DO333" s="64"/>
      <c r="DP333" s="64"/>
      <c r="DQ333" s="64"/>
      <c r="DR333" s="64"/>
      <c r="DS333" s="64"/>
      <c r="DT333" s="64"/>
      <c r="DU333" s="64"/>
      <c r="DV333" s="64"/>
      <c r="DW333" s="64"/>
      <c r="DX333" s="64"/>
      <c r="DY333" s="64"/>
      <c r="DZ333" s="64"/>
    </row>
    <row r="334" spans="2:130" x14ac:dyDescent="0.15">
      <c r="B334" s="58" t="str">
        <f>IF(G334&lt;&gt;"",SUBTOTAL(3,$G$5:G334),"")</f>
        <v/>
      </c>
      <c r="C334" s="58"/>
      <c r="D334" s="58"/>
      <c r="E334" s="59"/>
      <c r="F334" s="59"/>
      <c r="G334" s="59"/>
      <c r="H334" s="61"/>
      <c r="I334" s="62"/>
      <c r="J334" s="63"/>
      <c r="K334" s="64"/>
      <c r="L334" s="64"/>
      <c r="M334" s="64"/>
      <c r="N334" s="64"/>
      <c r="O334" s="64"/>
      <c r="P334" s="64"/>
      <c r="Q334" s="64"/>
      <c r="R334" s="64"/>
      <c r="S334" s="64"/>
      <c r="T334" s="64"/>
      <c r="U334" s="64"/>
      <c r="V334" s="64"/>
      <c r="W334" s="64"/>
      <c r="X334" s="64"/>
      <c r="Y334" s="64"/>
      <c r="Z334" s="64"/>
      <c r="AA334" s="64"/>
      <c r="AB334" s="64"/>
      <c r="AC334" s="64"/>
      <c r="AD334" s="64"/>
      <c r="AE334" s="64"/>
      <c r="AF334" s="64"/>
      <c r="AG334" s="64"/>
      <c r="AH334" s="64"/>
      <c r="AI334" s="64"/>
      <c r="AJ334" s="64"/>
      <c r="AK334" s="64"/>
      <c r="AL334" s="64"/>
      <c r="AM334" s="64"/>
      <c r="AN334" s="64"/>
      <c r="AO334" s="64"/>
      <c r="AP334" s="64"/>
      <c r="AQ334" s="64"/>
      <c r="AR334" s="65"/>
      <c r="AS334" s="63"/>
      <c r="AT334" s="64"/>
      <c r="AU334" s="64"/>
      <c r="AV334" s="64"/>
      <c r="AW334" s="64"/>
      <c r="AX334" s="64"/>
      <c r="AY334" s="64"/>
      <c r="AZ334" s="64"/>
      <c r="BA334" s="64"/>
      <c r="BB334" s="64"/>
      <c r="BC334" s="64"/>
      <c r="BD334" s="64"/>
      <c r="BE334" s="64"/>
      <c r="BF334" s="64"/>
      <c r="BG334" s="64"/>
      <c r="BH334" s="64"/>
      <c r="BI334" s="64"/>
      <c r="BJ334" s="64"/>
      <c r="BK334" s="64"/>
      <c r="BL334" s="64"/>
      <c r="BM334" s="64"/>
      <c r="BN334" s="64"/>
      <c r="BO334" s="64"/>
      <c r="BP334" s="64"/>
      <c r="BQ334" s="64"/>
      <c r="BR334" s="64"/>
      <c r="BS334" s="64"/>
      <c r="BT334" s="64"/>
      <c r="BU334" s="64"/>
      <c r="BV334" s="64"/>
      <c r="BW334" s="64"/>
      <c r="BX334" s="64"/>
      <c r="BY334" s="64"/>
      <c r="BZ334" s="64"/>
      <c r="CA334" s="65"/>
      <c r="CB334" s="60"/>
      <c r="CH334" s="64"/>
      <c r="CI334" s="64"/>
      <c r="CJ334" s="64"/>
      <c r="CK334" s="64"/>
      <c r="CL334" s="64"/>
      <c r="CM334" s="64"/>
      <c r="CN334" s="64"/>
      <c r="CO334" s="64"/>
      <c r="CP334" s="64"/>
      <c r="CQ334" s="64"/>
      <c r="CR334" s="64"/>
      <c r="CS334" s="64"/>
      <c r="CT334" s="64"/>
      <c r="CU334" s="64"/>
      <c r="CV334" s="64"/>
      <c r="CW334" s="64"/>
      <c r="CX334" s="64"/>
      <c r="CY334" s="64"/>
      <c r="CZ334" s="64"/>
      <c r="DA334" s="64"/>
      <c r="DB334" s="64"/>
      <c r="DC334" s="64"/>
      <c r="DD334" s="64"/>
      <c r="DE334" s="64"/>
      <c r="DF334" s="64"/>
      <c r="DG334" s="64"/>
      <c r="DH334" s="64"/>
      <c r="DI334" s="64"/>
      <c r="DJ334" s="64"/>
      <c r="DK334" s="64"/>
      <c r="DL334" s="64"/>
      <c r="DM334" s="64"/>
      <c r="DN334" s="64"/>
      <c r="DO334" s="64"/>
      <c r="DP334" s="64"/>
      <c r="DQ334" s="64"/>
      <c r="DR334" s="64"/>
      <c r="DS334" s="64"/>
      <c r="DT334" s="64"/>
      <c r="DU334" s="64"/>
      <c r="DV334" s="64"/>
      <c r="DW334" s="64"/>
      <c r="DX334" s="64"/>
      <c r="DY334" s="64"/>
      <c r="DZ334" s="64"/>
    </row>
    <row r="335" spans="2:130" x14ac:dyDescent="0.15">
      <c r="B335" s="58" t="str">
        <f>IF(G335&lt;&gt;"",SUBTOTAL(3,$G$5:G335),"")</f>
        <v/>
      </c>
      <c r="C335" s="58"/>
      <c r="D335" s="58"/>
      <c r="E335" s="59"/>
      <c r="F335" s="59"/>
      <c r="G335" s="59"/>
      <c r="H335" s="61"/>
      <c r="I335" s="62"/>
      <c r="J335" s="63"/>
      <c r="K335" s="64"/>
      <c r="L335" s="64"/>
      <c r="M335" s="64"/>
      <c r="N335" s="64"/>
      <c r="O335" s="64"/>
      <c r="P335" s="64"/>
      <c r="Q335" s="64"/>
      <c r="R335" s="64"/>
      <c r="S335" s="64"/>
      <c r="T335" s="64"/>
      <c r="U335" s="64"/>
      <c r="V335" s="64"/>
      <c r="W335" s="64"/>
      <c r="X335" s="64"/>
      <c r="Y335" s="64"/>
      <c r="Z335" s="64"/>
      <c r="AA335" s="64"/>
      <c r="AB335" s="64"/>
      <c r="AC335" s="64"/>
      <c r="AD335" s="64"/>
      <c r="AE335" s="64"/>
      <c r="AF335" s="64"/>
      <c r="AG335" s="64"/>
      <c r="AH335" s="64"/>
      <c r="AI335" s="64"/>
      <c r="AJ335" s="64"/>
      <c r="AK335" s="64"/>
      <c r="AL335" s="64"/>
      <c r="AM335" s="64"/>
      <c r="AN335" s="64"/>
      <c r="AO335" s="64"/>
      <c r="AP335" s="64"/>
      <c r="AQ335" s="64"/>
      <c r="AR335" s="65"/>
      <c r="AS335" s="63"/>
      <c r="AT335" s="64"/>
      <c r="AU335" s="64"/>
      <c r="AV335" s="64"/>
      <c r="AW335" s="64"/>
      <c r="AX335" s="64"/>
      <c r="AY335" s="64"/>
      <c r="AZ335" s="64"/>
      <c r="BA335" s="64"/>
      <c r="BB335" s="64"/>
      <c r="BC335" s="64"/>
      <c r="BD335" s="64"/>
      <c r="BE335" s="64"/>
      <c r="BF335" s="64"/>
      <c r="BG335" s="64"/>
      <c r="BH335" s="64"/>
      <c r="BI335" s="64"/>
      <c r="BJ335" s="64"/>
      <c r="BK335" s="64"/>
      <c r="BL335" s="64"/>
      <c r="BM335" s="64"/>
      <c r="BN335" s="64"/>
      <c r="BO335" s="64"/>
      <c r="BP335" s="64"/>
      <c r="BQ335" s="64"/>
      <c r="BR335" s="64"/>
      <c r="BS335" s="64"/>
      <c r="BT335" s="64"/>
      <c r="BU335" s="64"/>
      <c r="BV335" s="64"/>
      <c r="BW335" s="64"/>
      <c r="BX335" s="64"/>
      <c r="BY335" s="64"/>
      <c r="BZ335" s="64"/>
      <c r="CA335" s="65"/>
      <c r="CB335" s="60"/>
      <c r="CH335" s="64"/>
      <c r="CI335" s="64"/>
      <c r="CJ335" s="64"/>
      <c r="CK335" s="64"/>
      <c r="CL335" s="64"/>
      <c r="CM335" s="64"/>
      <c r="CN335" s="64"/>
      <c r="CO335" s="64"/>
      <c r="CP335" s="64"/>
      <c r="CQ335" s="64"/>
      <c r="CR335" s="64"/>
      <c r="CS335" s="64"/>
      <c r="CT335" s="64"/>
      <c r="CU335" s="64"/>
      <c r="CV335" s="64"/>
      <c r="CW335" s="64"/>
      <c r="CX335" s="64"/>
      <c r="CY335" s="64"/>
      <c r="CZ335" s="64"/>
      <c r="DA335" s="64"/>
      <c r="DB335" s="64"/>
      <c r="DC335" s="64"/>
      <c r="DD335" s="64"/>
      <c r="DE335" s="64"/>
      <c r="DF335" s="64"/>
      <c r="DG335" s="64"/>
      <c r="DH335" s="64"/>
      <c r="DI335" s="64"/>
      <c r="DJ335" s="64"/>
      <c r="DK335" s="64"/>
      <c r="DL335" s="64"/>
      <c r="DM335" s="64"/>
      <c r="DN335" s="64"/>
      <c r="DO335" s="64"/>
      <c r="DP335" s="64"/>
      <c r="DQ335" s="64"/>
      <c r="DR335" s="64"/>
      <c r="DS335" s="64"/>
      <c r="DT335" s="64"/>
      <c r="DU335" s="64"/>
      <c r="DV335" s="64"/>
      <c r="DW335" s="64"/>
      <c r="DX335" s="64"/>
      <c r="DY335" s="64"/>
      <c r="DZ335" s="64"/>
    </row>
    <row r="336" spans="2:130" x14ac:dyDescent="0.15">
      <c r="B336" s="58" t="str">
        <f>IF(G336&lt;&gt;"",SUBTOTAL(3,$G$5:G336),"")</f>
        <v/>
      </c>
      <c r="C336" s="58"/>
      <c r="D336" s="58"/>
      <c r="E336" s="59"/>
      <c r="F336" s="59"/>
      <c r="G336" s="59"/>
      <c r="H336" s="61"/>
      <c r="I336" s="62"/>
      <c r="J336" s="63"/>
      <c r="K336" s="64"/>
      <c r="L336" s="64"/>
      <c r="M336" s="64"/>
      <c r="N336" s="64"/>
      <c r="O336" s="64"/>
      <c r="P336" s="64"/>
      <c r="Q336" s="64"/>
      <c r="R336" s="64"/>
      <c r="S336" s="64"/>
      <c r="T336" s="64"/>
      <c r="U336" s="64"/>
      <c r="V336" s="64"/>
      <c r="W336" s="64"/>
      <c r="X336" s="64"/>
      <c r="Y336" s="64"/>
      <c r="Z336" s="64"/>
      <c r="AA336" s="64"/>
      <c r="AB336" s="64"/>
      <c r="AC336" s="64"/>
      <c r="AD336" s="64"/>
      <c r="AE336" s="64"/>
      <c r="AF336" s="64"/>
      <c r="AG336" s="64"/>
      <c r="AH336" s="64"/>
      <c r="AI336" s="64"/>
      <c r="AJ336" s="64"/>
      <c r="AK336" s="64"/>
      <c r="AL336" s="64"/>
      <c r="AM336" s="64"/>
      <c r="AN336" s="64"/>
      <c r="AO336" s="64"/>
      <c r="AP336" s="64"/>
      <c r="AQ336" s="64"/>
      <c r="AR336" s="65"/>
      <c r="AS336" s="63"/>
      <c r="AT336" s="64"/>
      <c r="AU336" s="64"/>
      <c r="AV336" s="64"/>
      <c r="AW336" s="64"/>
      <c r="AX336" s="64"/>
      <c r="AY336" s="64"/>
      <c r="AZ336" s="64"/>
      <c r="BA336" s="64"/>
      <c r="BB336" s="64"/>
      <c r="BC336" s="64"/>
      <c r="BD336" s="64"/>
      <c r="BE336" s="64"/>
      <c r="BF336" s="64"/>
      <c r="BG336" s="64"/>
      <c r="BH336" s="64"/>
      <c r="BI336" s="64"/>
      <c r="BJ336" s="64"/>
      <c r="BK336" s="64"/>
      <c r="BL336" s="64"/>
      <c r="BM336" s="64"/>
      <c r="BN336" s="64"/>
      <c r="BO336" s="64"/>
      <c r="BP336" s="64"/>
      <c r="BQ336" s="64"/>
      <c r="BR336" s="64"/>
      <c r="BS336" s="64"/>
      <c r="BT336" s="64"/>
      <c r="BU336" s="64"/>
      <c r="BV336" s="64"/>
      <c r="BW336" s="64"/>
      <c r="BX336" s="64"/>
      <c r="BY336" s="64"/>
      <c r="BZ336" s="64"/>
      <c r="CA336" s="65"/>
      <c r="CB336" s="60"/>
      <c r="CH336" s="64"/>
      <c r="CI336" s="64"/>
      <c r="CJ336" s="64"/>
      <c r="CK336" s="64"/>
      <c r="CL336" s="64"/>
      <c r="CM336" s="64"/>
      <c r="CN336" s="64"/>
      <c r="CO336" s="64"/>
      <c r="CP336" s="64"/>
      <c r="CQ336" s="64"/>
      <c r="CR336" s="64"/>
      <c r="CS336" s="64"/>
      <c r="CT336" s="64"/>
      <c r="CU336" s="64"/>
      <c r="CV336" s="64"/>
      <c r="CW336" s="64"/>
      <c r="CX336" s="64"/>
      <c r="CY336" s="64"/>
      <c r="CZ336" s="64"/>
      <c r="DA336" s="64"/>
      <c r="DB336" s="64"/>
      <c r="DC336" s="64"/>
      <c r="DD336" s="64"/>
      <c r="DE336" s="64"/>
      <c r="DF336" s="64"/>
      <c r="DG336" s="64"/>
      <c r="DH336" s="64"/>
      <c r="DI336" s="64"/>
      <c r="DJ336" s="64"/>
      <c r="DK336" s="64"/>
      <c r="DL336" s="64"/>
      <c r="DM336" s="64"/>
      <c r="DN336" s="64"/>
      <c r="DO336" s="64"/>
      <c r="DP336" s="64"/>
      <c r="DQ336" s="64"/>
      <c r="DR336" s="64"/>
      <c r="DS336" s="64"/>
      <c r="DT336" s="64"/>
      <c r="DU336" s="64"/>
      <c r="DV336" s="64"/>
      <c r="DW336" s="64"/>
      <c r="DX336" s="64"/>
      <c r="DY336" s="64"/>
      <c r="DZ336" s="64"/>
    </row>
    <row r="337" spans="2:130" x14ac:dyDescent="0.15">
      <c r="B337" s="58" t="str">
        <f>IF(G337&lt;&gt;"",SUBTOTAL(3,$G$5:G337),"")</f>
        <v/>
      </c>
      <c r="C337" s="58"/>
      <c r="D337" s="58"/>
      <c r="E337" s="59"/>
      <c r="F337" s="59"/>
      <c r="G337" s="59"/>
      <c r="H337" s="61"/>
      <c r="I337" s="62"/>
      <c r="J337" s="63"/>
      <c r="K337" s="64"/>
      <c r="L337" s="64"/>
      <c r="M337" s="64"/>
      <c r="N337" s="64"/>
      <c r="O337" s="64"/>
      <c r="P337" s="64"/>
      <c r="Q337" s="64"/>
      <c r="R337" s="64"/>
      <c r="S337" s="64"/>
      <c r="T337" s="64"/>
      <c r="U337" s="64"/>
      <c r="V337" s="64"/>
      <c r="W337" s="64"/>
      <c r="X337" s="64"/>
      <c r="Y337" s="64"/>
      <c r="Z337" s="64"/>
      <c r="AA337" s="64"/>
      <c r="AB337" s="64"/>
      <c r="AC337" s="64"/>
      <c r="AD337" s="64"/>
      <c r="AE337" s="64"/>
      <c r="AF337" s="64"/>
      <c r="AG337" s="64"/>
      <c r="AH337" s="64"/>
      <c r="AI337" s="64"/>
      <c r="AJ337" s="64"/>
      <c r="AK337" s="64"/>
      <c r="AL337" s="64"/>
      <c r="AM337" s="64"/>
      <c r="AN337" s="64"/>
      <c r="AO337" s="64"/>
      <c r="AP337" s="64"/>
      <c r="AQ337" s="64"/>
      <c r="AR337" s="65"/>
      <c r="AS337" s="63"/>
      <c r="AT337" s="64"/>
      <c r="AU337" s="64"/>
      <c r="AV337" s="64"/>
      <c r="AW337" s="64"/>
      <c r="AX337" s="64"/>
      <c r="AY337" s="64"/>
      <c r="AZ337" s="64"/>
      <c r="BA337" s="64"/>
      <c r="BB337" s="64"/>
      <c r="BC337" s="64"/>
      <c r="BD337" s="64"/>
      <c r="BE337" s="64"/>
      <c r="BF337" s="64"/>
      <c r="BG337" s="64"/>
      <c r="BH337" s="64"/>
      <c r="BI337" s="64"/>
      <c r="BJ337" s="64"/>
      <c r="BK337" s="64"/>
      <c r="BL337" s="64"/>
      <c r="BM337" s="64"/>
      <c r="BN337" s="64"/>
      <c r="BO337" s="64"/>
      <c r="BP337" s="64"/>
      <c r="BQ337" s="64"/>
      <c r="BR337" s="64"/>
      <c r="BS337" s="64"/>
      <c r="BT337" s="64"/>
      <c r="BU337" s="64"/>
      <c r="BV337" s="64"/>
      <c r="BW337" s="64"/>
      <c r="BX337" s="64"/>
      <c r="BY337" s="64"/>
      <c r="BZ337" s="64"/>
      <c r="CA337" s="65"/>
      <c r="CB337" s="60"/>
      <c r="CH337" s="64"/>
      <c r="CI337" s="64"/>
      <c r="CJ337" s="64"/>
      <c r="CK337" s="64"/>
      <c r="CL337" s="64"/>
      <c r="CM337" s="64"/>
      <c r="CN337" s="64"/>
      <c r="CO337" s="64"/>
      <c r="CP337" s="64"/>
      <c r="CQ337" s="64"/>
      <c r="CR337" s="64"/>
      <c r="CS337" s="64"/>
      <c r="CT337" s="64"/>
      <c r="CU337" s="64"/>
      <c r="CV337" s="64"/>
      <c r="CW337" s="64"/>
      <c r="CX337" s="64"/>
      <c r="CY337" s="64"/>
      <c r="CZ337" s="64"/>
      <c r="DA337" s="64"/>
      <c r="DB337" s="64"/>
      <c r="DC337" s="64"/>
      <c r="DD337" s="64"/>
      <c r="DE337" s="64"/>
      <c r="DF337" s="64"/>
      <c r="DG337" s="64"/>
      <c r="DH337" s="64"/>
      <c r="DI337" s="64"/>
      <c r="DJ337" s="64"/>
      <c r="DK337" s="64"/>
      <c r="DL337" s="64"/>
      <c r="DM337" s="64"/>
      <c r="DN337" s="64"/>
      <c r="DO337" s="64"/>
      <c r="DP337" s="64"/>
      <c r="DQ337" s="64"/>
      <c r="DR337" s="64"/>
      <c r="DS337" s="64"/>
      <c r="DT337" s="64"/>
      <c r="DU337" s="64"/>
      <c r="DV337" s="64"/>
      <c r="DW337" s="64"/>
      <c r="DX337" s="64"/>
      <c r="DY337" s="64"/>
      <c r="DZ337" s="64"/>
    </row>
    <row r="338" spans="2:130" x14ac:dyDescent="0.15">
      <c r="B338" s="58" t="str">
        <f>IF(G338&lt;&gt;"",SUBTOTAL(3,$G$5:G338),"")</f>
        <v/>
      </c>
      <c r="C338" s="58"/>
      <c r="D338" s="58"/>
      <c r="E338" s="59"/>
      <c r="F338" s="59"/>
      <c r="G338" s="59"/>
      <c r="H338" s="61"/>
      <c r="I338" s="62"/>
      <c r="J338" s="63"/>
      <c r="K338" s="64"/>
      <c r="L338" s="64"/>
      <c r="M338" s="64"/>
      <c r="N338" s="64"/>
      <c r="O338" s="64"/>
      <c r="P338" s="64"/>
      <c r="Q338" s="64"/>
      <c r="R338" s="64"/>
      <c r="S338" s="64"/>
      <c r="T338" s="64"/>
      <c r="U338" s="64"/>
      <c r="V338" s="64"/>
      <c r="W338" s="64"/>
      <c r="X338" s="64"/>
      <c r="Y338" s="64"/>
      <c r="Z338" s="64"/>
      <c r="AA338" s="64"/>
      <c r="AB338" s="64"/>
      <c r="AC338" s="64"/>
      <c r="AD338" s="64"/>
      <c r="AE338" s="64"/>
      <c r="AF338" s="64"/>
      <c r="AG338" s="64"/>
      <c r="AH338" s="64"/>
      <c r="AI338" s="64"/>
      <c r="AJ338" s="64"/>
      <c r="AK338" s="64"/>
      <c r="AL338" s="64"/>
      <c r="AM338" s="64"/>
      <c r="AN338" s="64"/>
      <c r="AO338" s="64"/>
      <c r="AP338" s="64"/>
      <c r="AQ338" s="64"/>
      <c r="AR338" s="65"/>
      <c r="AS338" s="63"/>
      <c r="AT338" s="64"/>
      <c r="AU338" s="64"/>
      <c r="AV338" s="64"/>
      <c r="AW338" s="64"/>
      <c r="AX338" s="64"/>
      <c r="AY338" s="64"/>
      <c r="AZ338" s="64"/>
      <c r="BA338" s="64"/>
      <c r="BB338" s="64"/>
      <c r="BC338" s="64"/>
      <c r="BD338" s="64"/>
      <c r="BE338" s="64"/>
      <c r="BF338" s="64"/>
      <c r="BG338" s="64"/>
      <c r="BH338" s="64"/>
      <c r="BI338" s="64"/>
      <c r="BJ338" s="64"/>
      <c r="BK338" s="64"/>
      <c r="BL338" s="64"/>
      <c r="BM338" s="64"/>
      <c r="BN338" s="64"/>
      <c r="BO338" s="64"/>
      <c r="BP338" s="64"/>
      <c r="BQ338" s="64"/>
      <c r="BR338" s="64"/>
      <c r="BS338" s="64"/>
      <c r="BT338" s="64"/>
      <c r="BU338" s="64"/>
      <c r="BV338" s="64"/>
      <c r="BW338" s="64"/>
      <c r="BX338" s="64"/>
      <c r="BY338" s="64"/>
      <c r="BZ338" s="64"/>
      <c r="CA338" s="65"/>
      <c r="CB338" s="60"/>
      <c r="CH338" s="64"/>
      <c r="CI338" s="64"/>
      <c r="CJ338" s="64"/>
      <c r="CK338" s="64"/>
      <c r="CL338" s="64"/>
      <c r="CM338" s="64"/>
      <c r="CN338" s="64"/>
      <c r="CO338" s="64"/>
      <c r="CP338" s="64"/>
      <c r="CQ338" s="64"/>
      <c r="CR338" s="64"/>
      <c r="CS338" s="64"/>
      <c r="CT338" s="64"/>
      <c r="CU338" s="64"/>
      <c r="CV338" s="64"/>
      <c r="CW338" s="64"/>
      <c r="CX338" s="64"/>
      <c r="CY338" s="64"/>
      <c r="CZ338" s="64"/>
      <c r="DA338" s="64"/>
      <c r="DB338" s="64"/>
      <c r="DC338" s="64"/>
      <c r="DD338" s="64"/>
      <c r="DE338" s="64"/>
      <c r="DF338" s="64"/>
      <c r="DG338" s="64"/>
      <c r="DH338" s="64"/>
      <c r="DI338" s="64"/>
      <c r="DJ338" s="64"/>
      <c r="DK338" s="64"/>
      <c r="DL338" s="64"/>
      <c r="DM338" s="64"/>
      <c r="DN338" s="64"/>
      <c r="DO338" s="64"/>
      <c r="DP338" s="64"/>
      <c r="DQ338" s="64"/>
      <c r="DR338" s="64"/>
      <c r="DS338" s="64"/>
      <c r="DT338" s="64"/>
      <c r="DU338" s="64"/>
      <c r="DV338" s="64"/>
      <c r="DW338" s="64"/>
      <c r="DX338" s="64"/>
      <c r="DY338" s="64"/>
      <c r="DZ338" s="64"/>
    </row>
    <row r="339" spans="2:130" x14ac:dyDescent="0.15">
      <c r="B339" s="58" t="str">
        <f>IF(G339&lt;&gt;"",SUBTOTAL(3,$G$5:G339),"")</f>
        <v/>
      </c>
      <c r="C339" s="58"/>
      <c r="D339" s="58"/>
      <c r="E339" s="59"/>
      <c r="F339" s="59"/>
      <c r="G339" s="59"/>
      <c r="H339" s="61"/>
      <c r="I339" s="62"/>
      <c r="J339" s="63"/>
      <c r="K339" s="64"/>
      <c r="L339" s="64"/>
      <c r="M339" s="64"/>
      <c r="N339" s="64"/>
      <c r="O339" s="64"/>
      <c r="P339" s="64"/>
      <c r="Q339" s="64"/>
      <c r="R339" s="64"/>
      <c r="S339" s="64"/>
      <c r="T339" s="64"/>
      <c r="U339" s="64"/>
      <c r="V339" s="64"/>
      <c r="W339" s="64"/>
      <c r="X339" s="64"/>
      <c r="Y339" s="64"/>
      <c r="Z339" s="64"/>
      <c r="AA339" s="64"/>
      <c r="AB339" s="64"/>
      <c r="AC339" s="64"/>
      <c r="AD339" s="64"/>
      <c r="AE339" s="64"/>
      <c r="AF339" s="64"/>
      <c r="AG339" s="64"/>
      <c r="AH339" s="64"/>
      <c r="AI339" s="64"/>
      <c r="AJ339" s="64"/>
      <c r="AK339" s="64"/>
      <c r="AL339" s="64"/>
      <c r="AM339" s="64"/>
      <c r="AN339" s="64"/>
      <c r="AO339" s="64"/>
      <c r="AP339" s="64"/>
      <c r="AQ339" s="64"/>
      <c r="AR339" s="65"/>
      <c r="AS339" s="63"/>
      <c r="AT339" s="64"/>
      <c r="AU339" s="64"/>
      <c r="AV339" s="64"/>
      <c r="AW339" s="64"/>
      <c r="AX339" s="64"/>
      <c r="AY339" s="64"/>
      <c r="AZ339" s="64"/>
      <c r="BA339" s="64"/>
      <c r="BB339" s="64"/>
      <c r="BC339" s="64"/>
      <c r="BD339" s="64"/>
      <c r="BE339" s="64"/>
      <c r="BF339" s="64"/>
      <c r="BG339" s="64"/>
      <c r="BH339" s="64"/>
      <c r="BI339" s="64"/>
      <c r="BJ339" s="64"/>
      <c r="BK339" s="64"/>
      <c r="BL339" s="64"/>
      <c r="BM339" s="64"/>
      <c r="BN339" s="64"/>
      <c r="BO339" s="64"/>
      <c r="BP339" s="64"/>
      <c r="BQ339" s="64"/>
      <c r="BR339" s="64"/>
      <c r="BS339" s="64"/>
      <c r="BT339" s="64"/>
      <c r="BU339" s="64"/>
      <c r="BV339" s="64"/>
      <c r="BW339" s="64"/>
      <c r="BX339" s="64"/>
      <c r="BY339" s="64"/>
      <c r="BZ339" s="64"/>
      <c r="CA339" s="65"/>
      <c r="CB339" s="60"/>
      <c r="CH339" s="64"/>
      <c r="CI339" s="64"/>
      <c r="CJ339" s="64"/>
      <c r="CK339" s="64"/>
      <c r="CL339" s="64"/>
      <c r="CM339" s="64"/>
      <c r="CN339" s="64"/>
      <c r="CO339" s="64"/>
      <c r="CP339" s="64"/>
      <c r="CQ339" s="64"/>
      <c r="CR339" s="64"/>
      <c r="CS339" s="64"/>
      <c r="CT339" s="64"/>
      <c r="CU339" s="64"/>
      <c r="CV339" s="64"/>
      <c r="CW339" s="64"/>
      <c r="CX339" s="64"/>
      <c r="CY339" s="64"/>
      <c r="CZ339" s="64"/>
      <c r="DA339" s="64"/>
      <c r="DB339" s="64"/>
      <c r="DC339" s="64"/>
      <c r="DD339" s="64"/>
      <c r="DE339" s="64"/>
      <c r="DF339" s="64"/>
      <c r="DG339" s="64"/>
      <c r="DH339" s="64"/>
      <c r="DI339" s="64"/>
      <c r="DJ339" s="64"/>
      <c r="DK339" s="64"/>
      <c r="DL339" s="64"/>
      <c r="DM339" s="64"/>
      <c r="DN339" s="64"/>
      <c r="DO339" s="64"/>
      <c r="DP339" s="64"/>
      <c r="DQ339" s="64"/>
      <c r="DR339" s="64"/>
      <c r="DS339" s="64"/>
      <c r="DT339" s="64"/>
      <c r="DU339" s="64"/>
      <c r="DV339" s="64"/>
      <c r="DW339" s="64"/>
      <c r="DX339" s="64"/>
      <c r="DY339" s="64"/>
      <c r="DZ339" s="64"/>
    </row>
    <row r="340" spans="2:130" x14ac:dyDescent="0.15">
      <c r="B340" s="58" t="str">
        <f>IF(G340&lt;&gt;"",SUBTOTAL(3,$G$5:G340),"")</f>
        <v/>
      </c>
      <c r="C340" s="58"/>
      <c r="D340" s="58"/>
      <c r="E340" s="59"/>
      <c r="F340" s="59"/>
      <c r="G340" s="59"/>
      <c r="H340" s="61"/>
      <c r="I340" s="62"/>
      <c r="J340" s="63"/>
      <c r="K340" s="64"/>
      <c r="L340" s="64"/>
      <c r="M340" s="64"/>
      <c r="N340" s="64"/>
      <c r="O340" s="64"/>
      <c r="P340" s="64"/>
      <c r="Q340" s="64"/>
      <c r="R340" s="64"/>
      <c r="S340" s="64"/>
      <c r="T340" s="64"/>
      <c r="U340" s="64"/>
      <c r="V340" s="64"/>
      <c r="W340" s="64"/>
      <c r="X340" s="64"/>
      <c r="Y340" s="64"/>
      <c r="Z340" s="64"/>
      <c r="AA340" s="64"/>
      <c r="AB340" s="64"/>
      <c r="AC340" s="64"/>
      <c r="AD340" s="64"/>
      <c r="AE340" s="64"/>
      <c r="AF340" s="64"/>
      <c r="AG340" s="64"/>
      <c r="AH340" s="64"/>
      <c r="AI340" s="64"/>
      <c r="AJ340" s="64"/>
      <c r="AK340" s="64"/>
      <c r="AL340" s="64"/>
      <c r="AM340" s="64"/>
      <c r="AN340" s="64"/>
      <c r="AO340" s="64"/>
      <c r="AP340" s="64"/>
      <c r="AQ340" s="64"/>
      <c r="AR340" s="65"/>
      <c r="AS340" s="63"/>
      <c r="AT340" s="64"/>
      <c r="AU340" s="64"/>
      <c r="AV340" s="64"/>
      <c r="AW340" s="64"/>
      <c r="AX340" s="64"/>
      <c r="AY340" s="64"/>
      <c r="AZ340" s="64"/>
      <c r="BA340" s="64"/>
      <c r="BB340" s="64"/>
      <c r="BC340" s="64"/>
      <c r="BD340" s="64"/>
      <c r="BE340" s="64"/>
      <c r="BF340" s="64"/>
      <c r="BG340" s="64"/>
      <c r="BH340" s="64"/>
      <c r="BI340" s="64"/>
      <c r="BJ340" s="64"/>
      <c r="BK340" s="64"/>
      <c r="BL340" s="64"/>
      <c r="BM340" s="64"/>
      <c r="BN340" s="64"/>
      <c r="BO340" s="64"/>
      <c r="BP340" s="64"/>
      <c r="BQ340" s="64"/>
      <c r="BR340" s="64"/>
      <c r="BS340" s="64"/>
      <c r="BT340" s="64"/>
      <c r="BU340" s="64"/>
      <c r="BV340" s="64"/>
      <c r="BW340" s="64"/>
      <c r="BX340" s="64"/>
      <c r="BY340" s="64"/>
      <c r="BZ340" s="64"/>
      <c r="CA340" s="65"/>
      <c r="CB340" s="60"/>
      <c r="CH340" s="64"/>
      <c r="CI340" s="64"/>
      <c r="CJ340" s="64"/>
      <c r="CK340" s="64"/>
      <c r="CL340" s="64"/>
      <c r="CM340" s="64"/>
      <c r="CN340" s="64"/>
      <c r="CO340" s="64"/>
      <c r="CP340" s="64"/>
      <c r="CQ340" s="64"/>
      <c r="CR340" s="64"/>
      <c r="CS340" s="64"/>
      <c r="CT340" s="64"/>
      <c r="CU340" s="64"/>
      <c r="CV340" s="64"/>
      <c r="CW340" s="64"/>
      <c r="CX340" s="64"/>
      <c r="CY340" s="64"/>
      <c r="CZ340" s="64"/>
      <c r="DA340" s="64"/>
      <c r="DB340" s="64"/>
      <c r="DC340" s="64"/>
      <c r="DD340" s="64"/>
      <c r="DE340" s="64"/>
      <c r="DF340" s="64"/>
      <c r="DG340" s="64"/>
      <c r="DH340" s="64"/>
      <c r="DI340" s="64"/>
      <c r="DJ340" s="64"/>
      <c r="DK340" s="64"/>
      <c r="DL340" s="64"/>
      <c r="DM340" s="64"/>
      <c r="DN340" s="64"/>
      <c r="DO340" s="64"/>
      <c r="DP340" s="64"/>
      <c r="DQ340" s="64"/>
      <c r="DR340" s="64"/>
      <c r="DS340" s="64"/>
      <c r="DT340" s="64"/>
      <c r="DU340" s="64"/>
      <c r="DV340" s="64"/>
      <c r="DW340" s="64"/>
      <c r="DX340" s="64"/>
      <c r="DY340" s="64"/>
      <c r="DZ340" s="64"/>
    </row>
    <row r="341" spans="2:130" x14ac:dyDescent="0.15">
      <c r="B341" s="58" t="str">
        <f>IF(G341&lt;&gt;"",SUBTOTAL(3,$G$5:G341),"")</f>
        <v/>
      </c>
      <c r="C341" s="58"/>
      <c r="D341" s="58"/>
      <c r="E341" s="59"/>
      <c r="F341" s="59"/>
      <c r="G341" s="59"/>
      <c r="H341" s="61"/>
      <c r="I341" s="62"/>
      <c r="J341" s="63"/>
      <c r="K341" s="64"/>
      <c r="L341" s="64"/>
      <c r="M341" s="64"/>
      <c r="N341" s="64"/>
      <c r="O341" s="64"/>
      <c r="P341" s="64"/>
      <c r="Q341" s="64"/>
      <c r="R341" s="64"/>
      <c r="S341" s="64"/>
      <c r="T341" s="64"/>
      <c r="U341" s="64"/>
      <c r="V341" s="64"/>
      <c r="W341" s="64"/>
      <c r="X341" s="64"/>
      <c r="Y341" s="64"/>
      <c r="Z341" s="64"/>
      <c r="AA341" s="64"/>
      <c r="AB341" s="64"/>
      <c r="AC341" s="64"/>
      <c r="AD341" s="64"/>
      <c r="AE341" s="64"/>
      <c r="AF341" s="64"/>
      <c r="AG341" s="64"/>
      <c r="AH341" s="64"/>
      <c r="AI341" s="64"/>
      <c r="AJ341" s="64"/>
      <c r="AK341" s="64"/>
      <c r="AL341" s="64"/>
      <c r="AM341" s="64"/>
      <c r="AN341" s="64"/>
      <c r="AO341" s="64"/>
      <c r="AP341" s="64"/>
      <c r="AQ341" s="64"/>
      <c r="AR341" s="65"/>
      <c r="AS341" s="63"/>
      <c r="AT341" s="64"/>
      <c r="AU341" s="64"/>
      <c r="AV341" s="64"/>
      <c r="AW341" s="64"/>
      <c r="AX341" s="64"/>
      <c r="AY341" s="64"/>
      <c r="AZ341" s="64"/>
      <c r="BA341" s="64"/>
      <c r="BB341" s="64"/>
      <c r="BC341" s="64"/>
      <c r="BD341" s="64"/>
      <c r="BE341" s="64"/>
      <c r="BF341" s="64"/>
      <c r="BG341" s="64"/>
      <c r="BH341" s="64"/>
      <c r="BI341" s="64"/>
      <c r="BJ341" s="64"/>
      <c r="BK341" s="64"/>
      <c r="BL341" s="64"/>
      <c r="BM341" s="64"/>
      <c r="BN341" s="64"/>
      <c r="BO341" s="64"/>
      <c r="BP341" s="64"/>
      <c r="BQ341" s="64"/>
      <c r="BR341" s="64"/>
      <c r="BS341" s="64"/>
      <c r="BT341" s="64"/>
      <c r="BU341" s="64"/>
      <c r="BV341" s="64"/>
      <c r="BW341" s="64"/>
      <c r="BX341" s="64"/>
      <c r="BY341" s="64"/>
      <c r="BZ341" s="64"/>
      <c r="CA341" s="65"/>
      <c r="CB341" s="60"/>
      <c r="CH341" s="64"/>
      <c r="CI341" s="64"/>
      <c r="CJ341" s="64"/>
      <c r="CK341" s="64"/>
      <c r="CL341" s="64"/>
      <c r="CM341" s="64"/>
      <c r="CN341" s="64"/>
      <c r="CO341" s="64"/>
      <c r="CP341" s="64"/>
      <c r="CQ341" s="64"/>
      <c r="CR341" s="64"/>
      <c r="CS341" s="64"/>
      <c r="CT341" s="64"/>
      <c r="CU341" s="64"/>
      <c r="CV341" s="64"/>
      <c r="CW341" s="64"/>
      <c r="CX341" s="64"/>
      <c r="CY341" s="64"/>
      <c r="CZ341" s="64"/>
      <c r="DA341" s="64"/>
      <c r="DB341" s="64"/>
      <c r="DC341" s="64"/>
      <c r="DD341" s="64"/>
      <c r="DE341" s="64"/>
      <c r="DF341" s="64"/>
      <c r="DG341" s="64"/>
      <c r="DH341" s="64"/>
      <c r="DI341" s="64"/>
      <c r="DJ341" s="64"/>
      <c r="DK341" s="64"/>
      <c r="DL341" s="64"/>
      <c r="DM341" s="64"/>
      <c r="DN341" s="64"/>
      <c r="DO341" s="64"/>
      <c r="DP341" s="64"/>
      <c r="DQ341" s="64"/>
      <c r="DR341" s="64"/>
      <c r="DS341" s="64"/>
      <c r="DT341" s="64"/>
      <c r="DU341" s="64"/>
      <c r="DV341" s="64"/>
      <c r="DW341" s="64"/>
      <c r="DX341" s="64"/>
      <c r="DY341" s="64"/>
      <c r="DZ341" s="64"/>
    </row>
    <row r="342" spans="2:130" x14ac:dyDescent="0.15">
      <c r="B342" s="58" t="str">
        <f>IF(G342&lt;&gt;"",SUBTOTAL(3,$G$5:G342),"")</f>
        <v/>
      </c>
      <c r="C342" s="58"/>
      <c r="D342" s="58"/>
      <c r="E342" s="59"/>
      <c r="F342" s="59"/>
      <c r="G342" s="59"/>
      <c r="H342" s="61"/>
      <c r="I342" s="62"/>
      <c r="J342" s="63"/>
      <c r="K342" s="64"/>
      <c r="L342" s="64"/>
      <c r="M342" s="64"/>
      <c r="N342" s="64"/>
      <c r="O342" s="64"/>
      <c r="P342" s="64"/>
      <c r="Q342" s="64"/>
      <c r="R342" s="64"/>
      <c r="S342" s="64"/>
      <c r="T342" s="64"/>
      <c r="U342" s="64"/>
      <c r="V342" s="64"/>
      <c r="W342" s="64"/>
      <c r="X342" s="64"/>
      <c r="Y342" s="64"/>
      <c r="Z342" s="64"/>
      <c r="AA342" s="64"/>
      <c r="AB342" s="64"/>
      <c r="AC342" s="64"/>
      <c r="AD342" s="64"/>
      <c r="AE342" s="64"/>
      <c r="AF342" s="64"/>
      <c r="AG342" s="64"/>
      <c r="AH342" s="64"/>
      <c r="AI342" s="64"/>
      <c r="AJ342" s="64"/>
      <c r="AK342" s="64"/>
      <c r="AL342" s="64"/>
      <c r="AM342" s="64"/>
      <c r="AN342" s="64"/>
      <c r="AO342" s="64"/>
      <c r="AP342" s="64"/>
      <c r="AQ342" s="64"/>
      <c r="AR342" s="65"/>
      <c r="AS342" s="63"/>
      <c r="AT342" s="64"/>
      <c r="AU342" s="64"/>
      <c r="AV342" s="64"/>
      <c r="AW342" s="64"/>
      <c r="AX342" s="64"/>
      <c r="AY342" s="64"/>
      <c r="AZ342" s="64"/>
      <c r="BA342" s="64"/>
      <c r="BB342" s="64"/>
      <c r="BC342" s="64"/>
      <c r="BD342" s="64"/>
      <c r="BE342" s="64"/>
      <c r="BF342" s="64"/>
      <c r="BG342" s="64"/>
      <c r="BH342" s="64"/>
      <c r="BI342" s="64"/>
      <c r="BJ342" s="64"/>
      <c r="BK342" s="64"/>
      <c r="BL342" s="64"/>
      <c r="BM342" s="64"/>
      <c r="BN342" s="64"/>
      <c r="BO342" s="64"/>
      <c r="BP342" s="64"/>
      <c r="BQ342" s="64"/>
      <c r="BR342" s="64"/>
      <c r="BS342" s="64"/>
      <c r="BT342" s="64"/>
      <c r="BU342" s="64"/>
      <c r="BV342" s="64"/>
      <c r="BW342" s="64"/>
      <c r="BX342" s="64"/>
      <c r="BY342" s="64"/>
      <c r="BZ342" s="64"/>
      <c r="CA342" s="65"/>
      <c r="CB342" s="60"/>
      <c r="CH342" s="64"/>
      <c r="CI342" s="64"/>
      <c r="CJ342" s="64"/>
      <c r="CK342" s="64"/>
      <c r="CL342" s="64"/>
      <c r="CM342" s="64"/>
      <c r="CN342" s="64"/>
      <c r="CO342" s="64"/>
      <c r="CP342" s="64"/>
      <c r="CQ342" s="64"/>
      <c r="CR342" s="64"/>
      <c r="CS342" s="64"/>
      <c r="CT342" s="64"/>
      <c r="CU342" s="64"/>
      <c r="CV342" s="64"/>
      <c r="CW342" s="64"/>
      <c r="CX342" s="64"/>
      <c r="CY342" s="64"/>
      <c r="CZ342" s="64"/>
      <c r="DA342" s="64"/>
      <c r="DB342" s="64"/>
      <c r="DC342" s="64"/>
      <c r="DD342" s="64"/>
      <c r="DE342" s="64"/>
      <c r="DF342" s="64"/>
      <c r="DG342" s="64"/>
      <c r="DH342" s="64"/>
      <c r="DI342" s="64"/>
      <c r="DJ342" s="64"/>
      <c r="DK342" s="64"/>
      <c r="DL342" s="64"/>
      <c r="DM342" s="64"/>
      <c r="DN342" s="64"/>
      <c r="DO342" s="64"/>
      <c r="DP342" s="64"/>
      <c r="DQ342" s="64"/>
      <c r="DR342" s="64"/>
      <c r="DS342" s="64"/>
      <c r="DT342" s="64"/>
      <c r="DU342" s="64"/>
      <c r="DV342" s="64"/>
      <c r="DW342" s="64"/>
      <c r="DX342" s="64"/>
      <c r="DY342" s="64"/>
      <c r="DZ342" s="64"/>
    </row>
    <row r="343" spans="2:130" x14ac:dyDescent="0.15">
      <c r="B343" s="58" t="str">
        <f>IF(G343&lt;&gt;"",SUBTOTAL(3,$G$5:G343),"")</f>
        <v/>
      </c>
      <c r="C343" s="58"/>
      <c r="D343" s="58"/>
      <c r="E343" s="59"/>
      <c r="F343" s="59"/>
      <c r="G343" s="59"/>
      <c r="H343" s="61"/>
      <c r="I343" s="62"/>
      <c r="J343" s="63"/>
      <c r="K343" s="64"/>
      <c r="L343" s="64"/>
      <c r="M343" s="64"/>
      <c r="N343" s="64"/>
      <c r="O343" s="64"/>
      <c r="P343" s="64"/>
      <c r="Q343" s="64"/>
      <c r="R343" s="64"/>
      <c r="S343" s="64"/>
      <c r="T343" s="64"/>
      <c r="U343" s="64"/>
      <c r="V343" s="64"/>
      <c r="W343" s="64"/>
      <c r="X343" s="64"/>
      <c r="Y343" s="64"/>
      <c r="Z343" s="64"/>
      <c r="AA343" s="64"/>
      <c r="AB343" s="64"/>
      <c r="AC343" s="64"/>
      <c r="AD343" s="64"/>
      <c r="AE343" s="64"/>
      <c r="AF343" s="64"/>
      <c r="AG343" s="64"/>
      <c r="AH343" s="64"/>
      <c r="AI343" s="64"/>
      <c r="AJ343" s="64"/>
      <c r="AK343" s="64"/>
      <c r="AL343" s="64"/>
      <c r="AM343" s="64"/>
      <c r="AN343" s="64"/>
      <c r="AO343" s="64"/>
      <c r="AP343" s="64"/>
      <c r="AQ343" s="64"/>
      <c r="AR343" s="65"/>
      <c r="AS343" s="63"/>
      <c r="AT343" s="64"/>
      <c r="AU343" s="64"/>
      <c r="AV343" s="64"/>
      <c r="AW343" s="64"/>
      <c r="AX343" s="64"/>
      <c r="AY343" s="64"/>
      <c r="AZ343" s="64"/>
      <c r="BA343" s="64"/>
      <c r="BB343" s="64"/>
      <c r="BC343" s="64"/>
      <c r="BD343" s="64"/>
      <c r="BE343" s="64"/>
      <c r="BF343" s="64"/>
      <c r="BG343" s="64"/>
      <c r="BH343" s="64"/>
      <c r="BI343" s="64"/>
      <c r="BJ343" s="64"/>
      <c r="BK343" s="64"/>
      <c r="BL343" s="64"/>
      <c r="BM343" s="64"/>
      <c r="BN343" s="64"/>
      <c r="BO343" s="64"/>
      <c r="BP343" s="64"/>
      <c r="BQ343" s="64"/>
      <c r="BR343" s="64"/>
      <c r="BS343" s="64"/>
      <c r="BT343" s="64"/>
      <c r="BU343" s="64"/>
      <c r="BV343" s="64"/>
      <c r="BW343" s="64"/>
      <c r="BX343" s="64"/>
      <c r="BY343" s="64"/>
      <c r="BZ343" s="64"/>
      <c r="CA343" s="65"/>
      <c r="CB343" s="60"/>
      <c r="CH343" s="64"/>
      <c r="CI343" s="64"/>
      <c r="CJ343" s="64"/>
      <c r="CK343" s="64"/>
      <c r="CL343" s="64"/>
      <c r="CM343" s="64"/>
      <c r="CN343" s="64"/>
      <c r="CO343" s="64"/>
      <c r="CP343" s="64"/>
      <c r="CQ343" s="64"/>
      <c r="CR343" s="64"/>
      <c r="CS343" s="64"/>
      <c r="CT343" s="64"/>
      <c r="CU343" s="64"/>
      <c r="CV343" s="64"/>
      <c r="CW343" s="64"/>
      <c r="CX343" s="64"/>
      <c r="CY343" s="64"/>
      <c r="CZ343" s="64"/>
      <c r="DA343" s="64"/>
      <c r="DB343" s="64"/>
      <c r="DC343" s="64"/>
      <c r="DD343" s="64"/>
      <c r="DE343" s="64"/>
      <c r="DF343" s="64"/>
      <c r="DG343" s="64"/>
      <c r="DH343" s="64"/>
      <c r="DI343" s="64"/>
      <c r="DJ343" s="64"/>
      <c r="DK343" s="64"/>
      <c r="DL343" s="64"/>
      <c r="DM343" s="64"/>
      <c r="DN343" s="64"/>
      <c r="DO343" s="64"/>
      <c r="DP343" s="64"/>
      <c r="DQ343" s="64"/>
      <c r="DR343" s="64"/>
      <c r="DS343" s="64"/>
      <c r="DT343" s="64"/>
      <c r="DU343" s="64"/>
      <c r="DV343" s="64"/>
      <c r="DW343" s="64"/>
      <c r="DX343" s="64"/>
      <c r="DY343" s="64"/>
      <c r="DZ343" s="64"/>
    </row>
    <row r="344" spans="2:130" x14ac:dyDescent="0.15">
      <c r="B344" s="88" t="str">
        <f>IF(G344&lt;&gt;"",SUBTOTAL(3,$G$5:G344),"")</f>
        <v/>
      </c>
      <c r="C344" s="88"/>
      <c r="D344" s="88"/>
      <c r="E344" s="89"/>
      <c r="F344" s="89"/>
      <c r="G344" s="89"/>
      <c r="H344" s="90"/>
      <c r="I344" s="91"/>
      <c r="J344" s="92"/>
      <c r="K344" s="93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  <c r="X344" s="93"/>
      <c r="Y344" s="93"/>
      <c r="Z344" s="93"/>
      <c r="AA344" s="93"/>
      <c r="AB344" s="93"/>
      <c r="AC344" s="93"/>
      <c r="AD344" s="93"/>
      <c r="AE344" s="93"/>
      <c r="AF344" s="93"/>
      <c r="AG344" s="93"/>
      <c r="AH344" s="93"/>
      <c r="AI344" s="93"/>
      <c r="AJ344" s="93"/>
      <c r="AK344" s="93"/>
      <c r="AL344" s="93"/>
      <c r="AM344" s="93"/>
      <c r="AN344" s="93"/>
      <c r="AO344" s="93"/>
      <c r="AP344" s="93"/>
      <c r="AQ344" s="93"/>
      <c r="AR344" s="94"/>
      <c r="AS344" s="92"/>
      <c r="AT344" s="93"/>
      <c r="AU344" s="93"/>
      <c r="AV344" s="93"/>
      <c r="AW344" s="93"/>
      <c r="AX344" s="93"/>
      <c r="AY344" s="93"/>
      <c r="AZ344" s="93"/>
      <c r="BA344" s="93"/>
      <c r="BB344" s="93"/>
      <c r="BC344" s="93"/>
      <c r="BD344" s="93"/>
      <c r="BE344" s="93"/>
      <c r="BF344" s="93"/>
      <c r="BG344" s="93"/>
      <c r="BH344" s="93"/>
      <c r="BI344" s="93"/>
      <c r="BJ344" s="93"/>
      <c r="BK344" s="93"/>
      <c r="BL344" s="93"/>
      <c r="BM344" s="93"/>
      <c r="BN344" s="93"/>
      <c r="BO344" s="93"/>
      <c r="BP344" s="93"/>
      <c r="BQ344" s="93"/>
      <c r="BR344" s="93"/>
      <c r="BS344" s="93"/>
      <c r="BT344" s="93"/>
      <c r="BU344" s="93"/>
      <c r="BV344" s="93"/>
      <c r="BW344" s="93"/>
      <c r="BX344" s="93"/>
      <c r="BY344" s="93"/>
      <c r="BZ344" s="93"/>
      <c r="CA344" s="94"/>
      <c r="CB344" s="95"/>
      <c r="CH344" s="64"/>
      <c r="CI344" s="64"/>
      <c r="CJ344" s="64"/>
      <c r="CK344" s="64"/>
      <c r="CL344" s="64"/>
      <c r="CM344" s="64"/>
      <c r="CN344" s="64"/>
      <c r="CO344" s="64"/>
      <c r="CP344" s="64"/>
      <c r="CQ344" s="64"/>
      <c r="CR344" s="64"/>
      <c r="CS344" s="64"/>
      <c r="CT344" s="64"/>
      <c r="CU344" s="64"/>
      <c r="CV344" s="64"/>
      <c r="CW344" s="64"/>
      <c r="CX344" s="64"/>
      <c r="CY344" s="64"/>
      <c r="CZ344" s="64"/>
      <c r="DA344" s="64"/>
      <c r="DB344" s="64"/>
      <c r="DC344" s="64"/>
      <c r="DD344" s="64"/>
      <c r="DE344" s="64"/>
      <c r="DF344" s="64"/>
      <c r="DG344" s="64"/>
      <c r="DH344" s="64"/>
      <c r="DI344" s="64"/>
      <c r="DJ344" s="64"/>
      <c r="DK344" s="64"/>
      <c r="DL344" s="64"/>
      <c r="DM344" s="64"/>
      <c r="DN344" s="64"/>
      <c r="DO344" s="64"/>
      <c r="DP344" s="64"/>
      <c r="DQ344" s="64"/>
      <c r="DR344" s="64"/>
      <c r="DS344" s="64"/>
      <c r="DT344" s="64"/>
      <c r="DU344" s="64"/>
      <c r="DV344" s="64"/>
      <c r="DW344" s="64"/>
      <c r="DX344" s="64"/>
      <c r="DY344" s="64"/>
      <c r="DZ344" s="64"/>
    </row>
  </sheetData>
  <autoFilter ref="B4:CB4" xr:uid="{D6185A68-BA48-45E7-B262-844E8111256C}"/>
  <mergeCells count="9">
    <mergeCell ref="CB2:CB3"/>
    <mergeCell ref="E2:G2"/>
    <mergeCell ref="B2:B3"/>
    <mergeCell ref="H2:H3"/>
    <mergeCell ref="I2:I3"/>
    <mergeCell ref="C2:C3"/>
    <mergeCell ref="D2:D3"/>
    <mergeCell ref="J2:AR3"/>
    <mergeCell ref="AS2:CA3"/>
  </mergeCells>
  <phoneticPr fontId="2"/>
  <conditionalFormatting sqref="B315:I315 B329:I329 B321:I321 B42:D42 B49:H49 B58:H58 I144:I162 B144:H163 CB144:CB163 J144:AR163 B316:AR320 B330:AR344 B5:CB39 B310:AR314 B322:AR328 AS310:CB344 F42:CB42 B43:CB47 J48:CB49 B59:CB59 AS144:CA162 B164:CB175 B185:CB249 K40:CB40 B41:CB41 K60:CB60 K250:CB250 B308:CB308 K307:CB307 K309:CB309 I163:CA163 K101:CB101 J57:CB58 B50:CB56 J61:CB63 B64:CB100 B102:CB143 B251:CB306 I176:I183 B176:H184 J176:CB184">
    <cfRule type="expression" dxfId="25" priority="96">
      <formula>AND($I5&lt;&gt;1,$I5&lt;&gt;"")</formula>
    </cfRule>
  </conditionalFormatting>
  <conditionalFormatting sqref="I184:AR184">
    <cfRule type="expression" dxfId="24" priority="82">
      <formula>AND($I184&lt;&gt;1,$I184&lt;&gt;"")</formula>
    </cfRule>
  </conditionalFormatting>
  <conditionalFormatting sqref="E42">
    <cfRule type="expression" dxfId="23" priority="71">
      <formula>AND($I42&lt;&gt;1,$I42&lt;&gt;"")</formula>
    </cfRule>
  </conditionalFormatting>
  <conditionalFormatting sqref="B61:H61">
    <cfRule type="expression" dxfId="22" priority="68">
      <formula>AND($I61&lt;&gt;1,$I61&lt;&gt;"")</formula>
    </cfRule>
  </conditionalFormatting>
  <conditionalFormatting sqref="B40:I40">
    <cfRule type="expression" dxfId="21" priority="63">
      <formula>AND($I40&lt;&gt;1,$I40&lt;&gt;"")</formula>
    </cfRule>
  </conditionalFormatting>
  <conditionalFormatting sqref="J40">
    <cfRule type="expression" dxfId="20" priority="57">
      <formula>AND($I40&lt;&gt;1,$I40&lt;&gt;"")</formula>
    </cfRule>
  </conditionalFormatting>
  <conditionalFormatting sqref="B48:H48">
    <cfRule type="expression" dxfId="19" priority="55">
      <formula>AND($I48&lt;&gt;1,$I48&lt;&gt;"")</formula>
    </cfRule>
  </conditionalFormatting>
  <conditionalFormatting sqref="I48">
    <cfRule type="expression" dxfId="18" priority="54">
      <formula>AND($I48&lt;&gt;1,$I48&lt;&gt;"")</formula>
    </cfRule>
  </conditionalFormatting>
  <conditionalFormatting sqref="I49">
    <cfRule type="expression" dxfId="17" priority="53">
      <formula>AND($I49&lt;&gt;1,$I49&lt;&gt;"")</formula>
    </cfRule>
  </conditionalFormatting>
  <conditionalFormatting sqref="B57:I57">
    <cfRule type="expression" dxfId="16" priority="50">
      <formula>AND($I57&lt;&gt;1,$I57&lt;&gt;"")</formula>
    </cfRule>
  </conditionalFormatting>
  <conditionalFormatting sqref="J57">
    <cfRule type="expression" dxfId="15" priority="49">
      <formula>AND($I57&lt;&gt;1,$I57&lt;&gt;"")</formula>
    </cfRule>
  </conditionalFormatting>
  <conditionalFormatting sqref="I58">
    <cfRule type="expression" dxfId="14" priority="48">
      <formula>AND($I58&lt;&gt;1,$I58&lt;&gt;"")</formula>
    </cfRule>
  </conditionalFormatting>
  <conditionalFormatting sqref="B60:I60">
    <cfRule type="expression" dxfId="13" priority="47">
      <formula>AND($I60&lt;&gt;1,$I60&lt;&gt;"")</formula>
    </cfRule>
  </conditionalFormatting>
  <conditionalFormatting sqref="J60">
    <cfRule type="expression" dxfId="12" priority="46">
      <formula>AND($I60&lt;&gt;1,$I60&lt;&gt;"")</formula>
    </cfRule>
  </conditionalFormatting>
  <conditionalFormatting sqref="I61">
    <cfRule type="expression" dxfId="11" priority="45">
      <formula>AND($I61&lt;&gt;1,$I61&lt;&gt;"")</formula>
    </cfRule>
  </conditionalFormatting>
  <conditionalFormatting sqref="B101:I101">
    <cfRule type="expression" dxfId="10" priority="35">
      <formula>AND($I101&lt;&gt;1,$I101&lt;&gt;"")</formula>
    </cfRule>
  </conditionalFormatting>
  <conditionalFormatting sqref="J101">
    <cfRule type="expression" dxfId="9" priority="33">
      <formula>AND($I101&lt;&gt;1,$I101&lt;&gt;"")</formula>
    </cfRule>
  </conditionalFormatting>
  <conditionalFormatting sqref="B250:I250">
    <cfRule type="expression" dxfId="8" priority="18">
      <formula>AND($I250&lt;&gt;1,$I250&lt;&gt;"")</formula>
    </cfRule>
  </conditionalFormatting>
  <conditionalFormatting sqref="J250">
    <cfRule type="expression" dxfId="7" priority="17">
      <formula>AND($I250&lt;&gt;1,$I250&lt;&gt;"")</formula>
    </cfRule>
  </conditionalFormatting>
  <conditionalFormatting sqref="B307:I307 B309:I309">
    <cfRule type="expression" dxfId="6" priority="10">
      <formula>AND($I307&lt;&gt;1,$I307&lt;&gt;"")</formula>
    </cfRule>
  </conditionalFormatting>
  <conditionalFormatting sqref="J309">
    <cfRule type="expression" dxfId="5" priority="9">
      <formula>AND($I309&lt;&gt;1,$I309&lt;&gt;"")</formula>
    </cfRule>
  </conditionalFormatting>
  <conditionalFormatting sqref="B63:H63">
    <cfRule type="expression" dxfId="4" priority="7">
      <formula>AND($I63&lt;&gt;1,$I63&lt;&gt;"")</formula>
    </cfRule>
  </conditionalFormatting>
  <conditionalFormatting sqref="I63">
    <cfRule type="expression" dxfId="3" priority="6">
      <formula>AND($I63&lt;&gt;1,$I63&lt;&gt;"")</formula>
    </cfRule>
  </conditionalFormatting>
  <conditionalFormatting sqref="B62:H62">
    <cfRule type="expression" dxfId="2" priority="4">
      <formula>AND($I62&lt;&gt;1,$I62&lt;&gt;"")</formula>
    </cfRule>
  </conditionalFormatting>
  <conditionalFormatting sqref="I62">
    <cfRule type="expression" dxfId="1" priority="3">
      <formula>AND($I62&lt;&gt;1,$I62&lt;&gt;"")</formula>
    </cfRule>
  </conditionalFormatting>
  <conditionalFormatting sqref="J56">
    <cfRule type="expression" dxfId="0" priority="1">
      <formula>AND($I56&lt;&gt;1,$I56&lt;&gt;"")</formula>
    </cfRule>
  </conditionalFormatting>
  <dataValidations count="1">
    <dataValidation type="list" allowBlank="1" showInputMessage="1" showErrorMessage="1" sqref="I5:I344" xr:uid="{CDD3132F-D59C-4B0A-9A7C-94B9D9A88440}">
      <formula1>"100%,80%,50%,30%,0%"</formula1>
    </dataValidation>
  </dataValidations>
  <hyperlinks>
    <hyperlink ref="CB65" location="toABC114_C_755" display="(→)" xr:uid="{C3DBC3A8-8FB5-4AEF-8FA5-1088932AB54B}"/>
    <hyperlink ref="CB195" location="toABC143_C_Slimes" display="(→)" xr:uid="{D0A14FDC-339D-483C-A7FB-42784F1DB2F9}"/>
    <hyperlink ref="CB203" location="toABC147_C_Honest_or_Unkind2" display="(→)" xr:uid="{5E89EE6B-F278-4D19-9890-D06616736879}"/>
    <hyperlink ref="CB207" location="toABC149_C_NextPrime" display="(→)" xr:uid="{B7EC79F3-9ECE-482D-BD97-C57882E1060F}"/>
    <hyperlink ref="J48" r:id="rId1" xr:uid="{55DF2281-CA3A-49E3-A548-9C77168C683F}"/>
    <hyperlink ref="J101" r:id="rId2" xr:uid="{38E0EAF4-C8D9-4697-98F9-FFD2638747C7}"/>
    <hyperlink ref="J309" r:id="rId3" xr:uid="{9EDCCA2D-396F-4375-BE7A-B1954A66EC32}"/>
    <hyperlink ref="J62" r:id="rId4" xr:uid="{A5E407FA-9175-4245-9950-2C7E04570900}"/>
    <hyperlink ref="J56" r:id="rId5" display="https://drken1215.hatenablog.com/entry/2019/02/24/224100" xr:uid="{3B630431-AB3C-4F71-82C0-FD934A7AF61C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2428875</xdr:colOff>
                    <xdr:row>2</xdr:row>
                    <xdr:rowOff>9525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14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116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16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17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18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117</v>
      </c>
      <c r="AJ9" s="12"/>
      <c r="AL9" s="11" t="s">
        <v>117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20</v>
      </c>
      <c r="AJ10" s="12"/>
      <c r="AL10" s="11" t="s">
        <v>20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118</v>
      </c>
      <c r="AJ11" s="12"/>
      <c r="AL11" s="11" t="s">
        <v>118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119</v>
      </c>
      <c r="AJ12" s="12"/>
      <c r="AL12" s="11" t="s">
        <v>119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25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120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26</v>
      </c>
      <c r="AJ15" s="12"/>
      <c r="AL15" s="11" t="s">
        <v>26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28</v>
      </c>
      <c r="N16" s="11" t="s">
        <v>121</v>
      </c>
      <c r="AJ16" s="12"/>
      <c r="AL16" s="11" t="s">
        <v>122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30</v>
      </c>
      <c r="N17" s="11" t="s">
        <v>123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124</v>
      </c>
      <c r="AJ18" s="12"/>
      <c r="AL18" s="11" t="s">
        <v>121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125</v>
      </c>
      <c r="AJ19" s="12"/>
      <c r="AL19" s="11" t="s">
        <v>123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126</v>
      </c>
      <c r="AJ20" s="12"/>
      <c r="AL20" s="11" t="s">
        <v>124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127</v>
      </c>
      <c r="AJ21" s="12"/>
      <c r="AL21" s="11" t="s">
        <v>125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42</v>
      </c>
      <c r="AJ22" s="12"/>
      <c r="AL22" s="11" t="s">
        <v>126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71</v>
      </c>
      <c r="AJ23" s="12"/>
      <c r="AL23" s="11" t="s">
        <v>127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41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42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71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34</v>
      </c>
      <c r="N26" s="11" t="s">
        <v>128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41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44</v>
      </c>
      <c r="N27" s="11" t="s">
        <v>129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47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46</v>
      </c>
      <c r="N28" s="11" t="s">
        <v>130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47</v>
      </c>
      <c r="AJ29" s="12"/>
      <c r="AL29" s="11" t="s">
        <v>131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49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131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49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50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132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133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134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89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16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17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18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90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90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20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20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91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91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92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92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23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25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93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26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26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28</v>
      </c>
      <c r="N52" s="21" t="s">
        <v>94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30</v>
      </c>
      <c r="N53" s="21" t="s">
        <v>95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95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96</v>
      </c>
      <c r="N54" s="21" t="s">
        <v>97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98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44</v>
      </c>
      <c r="N56" s="21" t="s">
        <v>99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100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101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102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23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103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46</v>
      </c>
      <c r="N59" s="21" t="s">
        <v>104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105</v>
      </c>
      <c r="N60" s="21" t="s">
        <v>106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106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47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47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107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107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49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49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108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109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110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111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112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113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114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115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54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55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56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57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58</v>
      </c>
      <c r="AL84" s="3" t="s">
        <v>1</v>
      </c>
      <c r="AM84" s="3" t="s">
        <v>59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60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61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62</v>
      </c>
      <c r="AL88" s="3" t="s">
        <v>1</v>
      </c>
      <c r="AM88" s="3" t="s">
        <v>63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64</v>
      </c>
      <c r="AM89" s="3" t="s">
        <v>65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66</v>
      </c>
      <c r="AM90" s="3" t="s">
        <v>67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68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69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70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71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72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73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74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26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75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76</v>
      </c>
      <c r="AL102" s="3" t="s">
        <v>1</v>
      </c>
      <c r="AM102" s="3" t="s">
        <v>77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78</v>
      </c>
      <c r="AM103" s="3" t="s">
        <v>79</v>
      </c>
      <c r="AO103" s="3" t="s">
        <v>80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81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82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47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83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84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26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75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76</v>
      </c>
      <c r="AL114" s="3" t="s">
        <v>1</v>
      </c>
      <c r="AM114" s="3" t="s">
        <v>85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78</v>
      </c>
      <c r="AM115" s="3" t="s">
        <v>79</v>
      </c>
      <c r="AO115" s="3" t="s">
        <v>86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87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88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47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15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16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17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18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19</v>
      </c>
      <c r="AJ126" s="12"/>
      <c r="AL126" s="11" t="s">
        <v>19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20</v>
      </c>
      <c r="AJ127" s="12"/>
      <c r="AL127" s="11" t="s">
        <v>20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21</v>
      </c>
      <c r="AJ128" s="12"/>
      <c r="AL128" s="11" t="s">
        <v>22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23</v>
      </c>
      <c r="AJ129" s="12"/>
      <c r="AL129" s="11" t="s">
        <v>24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25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26</v>
      </c>
      <c r="AJ131" s="12"/>
      <c r="AL131" s="13" t="s">
        <v>27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28</v>
      </c>
      <c r="O132" s="11" t="s">
        <v>29</v>
      </c>
      <c r="AJ132" s="12"/>
      <c r="AL132" s="11" t="s">
        <v>26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30</v>
      </c>
      <c r="O133" s="11" t="s">
        <v>31</v>
      </c>
      <c r="AJ133" s="12"/>
      <c r="AL133" s="11" t="s">
        <v>32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23</v>
      </c>
      <c r="AJ134" s="12"/>
      <c r="AL134" s="11" t="s">
        <v>33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34</v>
      </c>
      <c r="O135" s="11" t="s">
        <v>35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36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37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38</v>
      </c>
      <c r="AJ137" s="12"/>
      <c r="AL137" s="11" t="s">
        <v>39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40</v>
      </c>
      <c r="AJ138" s="12"/>
      <c r="AL138" s="11" t="s">
        <v>37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41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38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42</v>
      </c>
      <c r="AJ140" s="12"/>
      <c r="AL140" s="11" t="s">
        <v>40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43</v>
      </c>
      <c r="AJ141" s="12"/>
      <c r="AL141" s="11" t="s">
        <v>41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44</v>
      </c>
      <c r="O142" s="11" t="s">
        <v>45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42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46</v>
      </c>
      <c r="O143" s="11" t="s">
        <v>32</v>
      </c>
      <c r="AJ143" s="12"/>
      <c r="AL143" s="11" t="s">
        <v>47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47</v>
      </c>
      <c r="AJ144" s="12"/>
      <c r="AL144" s="11" t="s">
        <v>48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49</v>
      </c>
      <c r="AJ145" s="12"/>
      <c r="AL145" s="11" t="s">
        <v>49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50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51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52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53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238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2020-10-15T10:41:29Z</dcterms:modified>
</cp:coreProperties>
</file>
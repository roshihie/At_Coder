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https://d.docs.live.net/6abdba127392b43c/MyOwn/Develop/C^M^M/At_Coder/"/>
    </mc:Choice>
  </mc:AlternateContent>
  <xr:revisionPtr revIDLastSave="582" documentId="13_ncr:1_{C6853D52-42A5-4BF2-BD6B-A58D634F1162}" xr6:coauthVersionLast="47" xr6:coauthVersionMax="47" xr10:uidLastSave="{5020FA91-0C9C-45ED-A0B0-78D4182F7ACA}"/>
  <bookViews>
    <workbookView xWindow="-120" yWindow="-120" windowWidth="29040" windowHeight="15720" xr2:uid="{00000000-000D-0000-FFFF-FFFF00000000}"/>
  </bookViews>
  <sheets>
    <sheet name="C問題" sheetId="3" r:id="rId1"/>
    <sheet name="競プロ典型90問" sheetId="7" r:id="rId2"/>
    <sheet name="C問題_詳細" sheetId="6" r:id="rId3"/>
    <sheet name="メモ内容" sheetId="2" r:id="rId4"/>
  </sheets>
  <definedNames>
    <definedName name="_xlnm._FilterDatabase" localSheetId="0" hidden="1">C問題!$B$4:$CC$851</definedName>
    <definedName name="_xlnm._FilterDatabase" localSheetId="1" hidden="1">競プロ典型90問!$B$4:$CC$210</definedName>
    <definedName name="fromABC114_C_755" localSheetId="1">競プロ典型90問!#REF!</definedName>
    <definedName name="fromABC114_C_755">C問題!$K$127</definedName>
    <definedName name="fromABC143_C_Slimes" localSheetId="1">競プロ典型90問!#REF!</definedName>
    <definedName name="fromABC143_C_Slimes">C問題!$K$291</definedName>
    <definedName name="fromABC147_C_Honest_or_Unkind2" localSheetId="1">競プロ典型90問!#REF!</definedName>
    <definedName name="fromABC147_C_Honest_or_Unkind2">C問題!$K$308</definedName>
    <definedName name="fromABC149_C_NextPrime" localSheetId="1">競プロ典型90問!#REF!</definedName>
    <definedName name="fromABC149_C_NextPrime">C問題!$K$314</definedName>
    <definedName name="toABC114_C_755">C問題_詳細!$M$5</definedName>
    <definedName name="toABC143_C_Slimes">C問題_詳細!$M$41</definedName>
    <definedName name="toABC147_C_Honest_or_Unkind2">C問題_詳細!$M$77</definedName>
    <definedName name="toABC149_C_NextPrime">C問題_詳細!$M$122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22" i="3" l="1"/>
  <c r="B535" i="3"/>
  <c r="B534" i="3"/>
  <c r="B533" i="3"/>
  <c r="B532" i="3"/>
  <c r="B531" i="3"/>
  <c r="B530" i="3"/>
  <c r="B529" i="3"/>
  <c r="B528" i="3"/>
  <c r="B527" i="3"/>
  <c r="B526" i="3"/>
  <c r="B525" i="3"/>
  <c r="B524" i="3"/>
  <c r="B521" i="3"/>
  <c r="B519" i="3"/>
  <c r="B518" i="3"/>
  <c r="B517" i="3"/>
  <c r="B516" i="3"/>
  <c r="B515" i="3"/>
  <c r="B514" i="3"/>
  <c r="B513" i="3"/>
  <c r="B512" i="3"/>
  <c r="B511" i="3"/>
  <c r="B510" i="3"/>
  <c r="B509" i="3"/>
  <c r="B612" i="3"/>
  <c r="B611" i="3"/>
  <c r="B610" i="3"/>
  <c r="B609" i="3"/>
  <c r="B608" i="3"/>
  <c r="B607" i="3"/>
  <c r="B642" i="3"/>
  <c r="B594" i="3"/>
  <c r="B635" i="3"/>
  <c r="B632" i="3"/>
  <c r="B627" i="3"/>
  <c r="B639" i="3"/>
  <c r="B42" i="7"/>
  <c r="B41" i="7"/>
  <c r="B40" i="7"/>
  <c r="B29" i="7"/>
  <c r="B8" i="7"/>
  <c r="B11" i="7"/>
  <c r="B6" i="7"/>
  <c r="B210" i="7" l="1"/>
  <c r="B209" i="7"/>
  <c r="B208" i="7"/>
  <c r="B207" i="7"/>
  <c r="B206" i="7"/>
  <c r="B205" i="7"/>
  <c r="B204" i="7"/>
  <c r="B203" i="7"/>
  <c r="B202" i="7"/>
  <c r="B201" i="7"/>
  <c r="B200" i="7"/>
  <c r="B199" i="7"/>
  <c r="B198" i="7"/>
  <c r="B197" i="7"/>
  <c r="B196" i="7"/>
  <c r="B195" i="7"/>
  <c r="B194" i="7"/>
  <c r="B193" i="7"/>
  <c r="B192" i="7"/>
  <c r="B191" i="7"/>
  <c r="B190" i="7"/>
  <c r="B189" i="7"/>
  <c r="B188" i="7"/>
  <c r="B187" i="7"/>
  <c r="B186" i="7"/>
  <c r="B185" i="7"/>
  <c r="B184" i="7"/>
  <c r="B183" i="7"/>
  <c r="B182" i="7"/>
  <c r="B181" i="7"/>
  <c r="B180" i="7"/>
  <c r="B179" i="7"/>
  <c r="B178" i="7"/>
  <c r="B177" i="7"/>
  <c r="B176" i="7"/>
  <c r="B175" i="7"/>
  <c r="B174" i="7"/>
  <c r="B173" i="7"/>
  <c r="B172" i="7"/>
  <c r="B171" i="7"/>
  <c r="B170" i="7"/>
  <c r="B169" i="7"/>
  <c r="B168" i="7"/>
  <c r="B167" i="7"/>
  <c r="B166" i="7"/>
  <c r="B165" i="7"/>
  <c r="B164" i="7"/>
  <c r="B163" i="7"/>
  <c r="B162" i="7"/>
  <c r="B161" i="7"/>
  <c r="B160" i="7"/>
  <c r="B159" i="7"/>
  <c r="B158" i="7"/>
  <c r="B157" i="7"/>
  <c r="B156" i="7"/>
  <c r="B155" i="7"/>
  <c r="B154" i="7"/>
  <c r="B153" i="7"/>
  <c r="B152" i="7"/>
  <c r="B151" i="7"/>
  <c r="B150" i="7"/>
  <c r="B149" i="7"/>
  <c r="B148" i="7"/>
  <c r="B147" i="7"/>
  <c r="B146" i="7"/>
  <c r="B145" i="7"/>
  <c r="B144" i="7"/>
  <c r="B143" i="7"/>
  <c r="B142" i="7"/>
  <c r="B141" i="7"/>
  <c r="B140" i="7"/>
  <c r="B139" i="7"/>
  <c r="B138" i="7"/>
  <c r="B137" i="7"/>
  <c r="B136" i="7"/>
  <c r="B135" i="7"/>
  <c r="B134" i="7"/>
  <c r="B133" i="7"/>
  <c r="B132" i="7"/>
  <c r="B131" i="7"/>
  <c r="B130" i="7"/>
  <c r="B129" i="7"/>
  <c r="B128" i="7"/>
  <c r="B127" i="7"/>
  <c r="B126" i="7"/>
  <c r="B125" i="7"/>
  <c r="B124" i="7"/>
  <c r="B123" i="7"/>
  <c r="B122" i="7"/>
  <c r="B121" i="7"/>
  <c r="B120" i="7"/>
  <c r="B119" i="7"/>
  <c r="B118" i="7"/>
  <c r="B117" i="7"/>
  <c r="B116" i="7"/>
  <c r="B115" i="7"/>
  <c r="B114" i="7"/>
  <c r="B113" i="7"/>
  <c r="B112" i="7"/>
  <c r="B111" i="7"/>
  <c r="B110" i="7"/>
  <c r="B109" i="7"/>
  <c r="B108" i="7"/>
  <c r="B107" i="7"/>
  <c r="B106" i="7"/>
  <c r="B105" i="7"/>
  <c r="B104" i="7"/>
  <c r="B103" i="7"/>
  <c r="B102" i="7"/>
  <c r="B101" i="7"/>
  <c r="B100" i="7"/>
  <c r="B99" i="7"/>
  <c r="B98" i="7"/>
  <c r="B97" i="7"/>
  <c r="B96" i="7"/>
  <c r="B95" i="7"/>
  <c r="B94" i="7"/>
  <c r="B93" i="7"/>
  <c r="B92" i="7"/>
  <c r="B91" i="7"/>
  <c r="B90" i="7"/>
  <c r="B89" i="7"/>
  <c r="B88" i="7"/>
  <c r="B87" i="7"/>
  <c r="B86" i="7"/>
  <c r="B85" i="7"/>
  <c r="B84" i="7"/>
  <c r="B83" i="7"/>
  <c r="B82" i="7"/>
  <c r="B81" i="7"/>
  <c r="B80" i="7"/>
  <c r="B79" i="7"/>
  <c r="B78" i="7"/>
  <c r="B77" i="7"/>
  <c r="B76" i="7"/>
  <c r="B75" i="7"/>
  <c r="B74" i="7"/>
  <c r="B73" i="7"/>
  <c r="B72" i="7"/>
  <c r="B71" i="7"/>
  <c r="B70" i="7"/>
  <c r="B69" i="7"/>
  <c r="B68" i="7"/>
  <c r="B67" i="7"/>
  <c r="B66" i="7"/>
  <c r="B65" i="7"/>
  <c r="B64" i="7"/>
  <c r="B63" i="7"/>
  <c r="B62" i="7"/>
  <c r="B61" i="7"/>
  <c r="B60" i="7"/>
  <c r="B59" i="7"/>
  <c r="B58" i="7"/>
  <c r="B57" i="7"/>
  <c r="B56" i="7"/>
  <c r="B55" i="7"/>
  <c r="B54" i="7"/>
  <c r="B53" i="7"/>
  <c r="B52" i="7"/>
  <c r="B51" i="7"/>
  <c r="B50" i="7"/>
  <c r="B49" i="7"/>
  <c r="B48" i="7"/>
  <c r="B47" i="7"/>
  <c r="B46" i="7"/>
  <c r="B45" i="7"/>
  <c r="B44" i="7"/>
  <c r="B43" i="7"/>
  <c r="B39" i="7"/>
  <c r="B38" i="7"/>
  <c r="B37" i="7"/>
  <c r="B36" i="7"/>
  <c r="B35" i="7"/>
  <c r="B34" i="7"/>
  <c r="B33" i="7"/>
  <c r="B32" i="7"/>
  <c r="B31" i="7"/>
  <c r="B30" i="7"/>
  <c r="B28" i="7"/>
  <c r="B27" i="7"/>
  <c r="B26" i="7"/>
  <c r="B25" i="7"/>
  <c r="B24" i="7"/>
  <c r="B23" i="7"/>
  <c r="B22" i="7"/>
  <c r="B21" i="7"/>
  <c r="B20" i="7"/>
  <c r="B19" i="7"/>
  <c r="B18" i="7"/>
  <c r="B17" i="7"/>
  <c r="B16" i="7"/>
  <c r="B15" i="7"/>
  <c r="B14" i="7"/>
  <c r="B13" i="7"/>
  <c r="B12" i="7"/>
  <c r="B10" i="7"/>
  <c r="B9" i="7"/>
  <c r="B7" i="7"/>
  <c r="B5" i="7"/>
  <c r="B65" i="3"/>
  <c r="B66" i="3"/>
  <c r="B67" i="3"/>
  <c r="B68" i="3"/>
  <c r="B69" i="3"/>
  <c r="B64" i="3"/>
  <c r="B71" i="3"/>
  <c r="B72" i="3"/>
  <c r="B73" i="3"/>
  <c r="B70" i="3"/>
  <c r="B76" i="3"/>
  <c r="B74" i="3"/>
  <c r="B90" i="3"/>
  <c r="B75" i="3"/>
  <c r="B9" i="3"/>
  <c r="B7" i="3"/>
  <c r="B6" i="3"/>
  <c r="B88" i="3"/>
  <c r="B87" i="3"/>
  <c r="B86" i="3"/>
  <c r="B649" i="3"/>
  <c r="B849" i="3"/>
  <c r="B848" i="3"/>
  <c r="B847" i="3"/>
  <c r="B846" i="3"/>
  <c r="B845" i="3"/>
  <c r="B844" i="3"/>
  <c r="B843" i="3"/>
  <c r="B842" i="3"/>
  <c r="B841" i="3"/>
  <c r="B840" i="3"/>
  <c r="B839" i="3"/>
  <c r="B838" i="3"/>
  <c r="B837" i="3"/>
  <c r="B836" i="3"/>
  <c r="B835" i="3"/>
  <c r="B834" i="3"/>
  <c r="B833" i="3"/>
  <c r="B832" i="3"/>
  <c r="B831" i="3"/>
  <c r="B830" i="3"/>
  <c r="B829" i="3"/>
  <c r="B828" i="3"/>
  <c r="B827" i="3"/>
  <c r="B826" i="3"/>
  <c r="B825" i="3"/>
  <c r="B824" i="3"/>
  <c r="B823" i="3"/>
  <c r="B822" i="3"/>
  <c r="B821" i="3"/>
  <c r="B820" i="3"/>
  <c r="B819" i="3"/>
  <c r="B818" i="3"/>
  <c r="B817" i="3"/>
  <c r="B816" i="3"/>
  <c r="B815" i="3"/>
  <c r="B814" i="3"/>
  <c r="B813" i="3"/>
  <c r="B812" i="3"/>
  <c r="B811" i="3"/>
  <c r="B810" i="3"/>
  <c r="B809" i="3"/>
  <c r="B808" i="3"/>
  <c r="B807" i="3"/>
  <c r="B806" i="3"/>
  <c r="B805" i="3"/>
  <c r="B804" i="3"/>
  <c r="B803" i="3"/>
  <c r="B802" i="3"/>
  <c r="B801" i="3"/>
  <c r="B800" i="3"/>
  <c r="B799" i="3"/>
  <c r="B798" i="3"/>
  <c r="B797" i="3"/>
  <c r="B796" i="3"/>
  <c r="B795" i="3"/>
  <c r="B794" i="3"/>
  <c r="B793" i="3"/>
  <c r="B792" i="3"/>
  <c r="B791" i="3"/>
  <c r="B790" i="3"/>
  <c r="B789" i="3"/>
  <c r="B788" i="3"/>
  <c r="B787" i="3"/>
  <c r="B786" i="3"/>
  <c r="B785" i="3"/>
  <c r="B784" i="3"/>
  <c r="B783" i="3"/>
  <c r="B782" i="3"/>
  <c r="B781" i="3"/>
  <c r="B780" i="3"/>
  <c r="B779" i="3"/>
  <c r="B778" i="3"/>
  <c r="B777" i="3"/>
  <c r="B776" i="3"/>
  <c r="B775" i="3"/>
  <c r="B774" i="3"/>
  <c r="B773" i="3"/>
  <c r="B772" i="3"/>
  <c r="B771" i="3"/>
  <c r="B770" i="3"/>
  <c r="B769" i="3"/>
  <c r="B768" i="3"/>
  <c r="B767" i="3"/>
  <c r="B766" i="3"/>
  <c r="B765" i="3"/>
  <c r="B764" i="3"/>
  <c r="B763" i="3"/>
  <c r="B762" i="3"/>
  <c r="B761" i="3"/>
  <c r="B760" i="3"/>
  <c r="B759" i="3"/>
  <c r="B758" i="3"/>
  <c r="B757" i="3"/>
  <c r="B756" i="3"/>
  <c r="B755" i="3"/>
  <c r="B754" i="3"/>
  <c r="B753" i="3"/>
  <c r="B752" i="3"/>
  <c r="B751" i="3"/>
  <c r="B750" i="3"/>
  <c r="B749" i="3"/>
  <c r="B748" i="3"/>
  <c r="B747" i="3"/>
  <c r="B746" i="3"/>
  <c r="B745" i="3"/>
  <c r="B744" i="3"/>
  <c r="B743" i="3"/>
  <c r="B742" i="3"/>
  <c r="B741" i="3"/>
  <c r="B740" i="3"/>
  <c r="B739" i="3"/>
  <c r="B738" i="3"/>
  <c r="B737" i="3"/>
  <c r="B736" i="3"/>
  <c r="B735" i="3"/>
  <c r="B734" i="3"/>
  <c r="B733" i="3"/>
  <c r="B732" i="3"/>
  <c r="B731" i="3"/>
  <c r="B730" i="3"/>
  <c r="B729" i="3"/>
  <c r="B728" i="3"/>
  <c r="B727" i="3"/>
  <c r="B726" i="3"/>
  <c r="B725" i="3"/>
  <c r="B724" i="3"/>
  <c r="B723" i="3"/>
  <c r="B722" i="3"/>
  <c r="B721" i="3"/>
  <c r="B720" i="3"/>
  <c r="B719" i="3"/>
  <c r="B718" i="3"/>
  <c r="B717" i="3"/>
  <c r="B716" i="3"/>
  <c r="B715" i="3"/>
  <c r="B714" i="3"/>
  <c r="B713" i="3"/>
  <c r="B712" i="3"/>
  <c r="B711" i="3"/>
  <c r="B710" i="3"/>
  <c r="B709" i="3"/>
  <c r="B708" i="3"/>
  <c r="B707" i="3"/>
  <c r="B706" i="3"/>
  <c r="B705" i="3"/>
  <c r="B704" i="3"/>
  <c r="B703" i="3"/>
  <c r="B702" i="3"/>
  <c r="B701" i="3"/>
  <c r="B700" i="3"/>
  <c r="B699" i="3"/>
  <c r="B698" i="3"/>
  <c r="B697" i="3"/>
  <c r="B696" i="3"/>
  <c r="B695" i="3"/>
  <c r="B694" i="3"/>
  <c r="B693" i="3"/>
  <c r="B692" i="3"/>
  <c r="B691" i="3"/>
  <c r="B690" i="3"/>
  <c r="B689" i="3"/>
  <c r="B688" i="3"/>
  <c r="B687" i="3"/>
  <c r="B686" i="3"/>
  <c r="B685" i="3"/>
  <c r="B684" i="3"/>
  <c r="B683" i="3"/>
  <c r="B682" i="3"/>
  <c r="B681" i="3"/>
  <c r="B680" i="3"/>
  <c r="B679" i="3"/>
  <c r="B678" i="3"/>
  <c r="B677" i="3"/>
  <c r="B676" i="3"/>
  <c r="B675" i="3"/>
  <c r="B674" i="3"/>
  <c r="B673" i="3"/>
  <c r="B672" i="3"/>
  <c r="B671" i="3"/>
  <c r="B670" i="3"/>
  <c r="B669" i="3"/>
  <c r="B668" i="3"/>
  <c r="B667" i="3"/>
  <c r="B666" i="3"/>
  <c r="B665" i="3"/>
  <c r="B664" i="3"/>
  <c r="B663" i="3"/>
  <c r="B662" i="3"/>
  <c r="B661" i="3"/>
  <c r="B660" i="3"/>
  <c r="B659" i="3"/>
  <c r="B658" i="3"/>
  <c r="B657" i="3"/>
  <c r="B656" i="3"/>
  <c r="B655" i="3"/>
  <c r="B654" i="3"/>
  <c r="B653" i="3"/>
  <c r="B652" i="3"/>
  <c r="B651" i="3"/>
  <c r="B650" i="3"/>
  <c r="B85" i="3"/>
  <c r="B84" i="3"/>
  <c r="B83" i="3"/>
  <c r="B82" i="3"/>
  <c r="B851" i="3"/>
  <c r="B850" i="3"/>
  <c r="B81" i="3"/>
  <c r="B80" i="3"/>
  <c r="B79" i="3"/>
  <c r="B78" i="3"/>
  <c r="B89" i="3"/>
  <c r="B648" i="3"/>
  <c r="B647" i="3"/>
  <c r="B646" i="3"/>
  <c r="B645" i="3"/>
  <c r="B644" i="3"/>
  <c r="B643" i="3"/>
  <c r="B641" i="3"/>
  <c r="B640" i="3"/>
  <c r="B638" i="3"/>
  <c r="B637" i="3"/>
  <c r="B636" i="3"/>
  <c r="B626" i="3"/>
  <c r="B625" i="3"/>
  <c r="B624" i="3"/>
  <c r="B623" i="3"/>
  <c r="B621" i="3"/>
  <c r="B620" i="3"/>
  <c r="B619" i="3"/>
  <c r="B616" i="3"/>
  <c r="B613" i="3"/>
  <c r="B606" i="3"/>
  <c r="B605" i="3"/>
  <c r="B604" i="3"/>
  <c r="B603" i="3"/>
  <c r="B602" i="3"/>
  <c r="B601" i="3"/>
  <c r="B600" i="3"/>
  <c r="B599" i="3"/>
  <c r="B598" i="3"/>
  <c r="B597" i="3"/>
  <c r="B595" i="3"/>
  <c r="B593" i="3"/>
  <c r="B592" i="3"/>
  <c r="B591" i="3"/>
  <c r="B590" i="3"/>
  <c r="B589" i="3"/>
  <c r="B588" i="3"/>
  <c r="B587" i="3"/>
  <c r="B586" i="3"/>
  <c r="B585" i="3"/>
  <c r="B584" i="3"/>
  <c r="B583" i="3"/>
  <c r="B582" i="3"/>
  <c r="B581" i="3"/>
  <c r="B580" i="3"/>
  <c r="B579" i="3"/>
  <c r="B578" i="3"/>
  <c r="B577" i="3"/>
  <c r="B576" i="3"/>
  <c r="B575" i="3"/>
  <c r="B574" i="3"/>
  <c r="B553" i="3"/>
  <c r="B552" i="3"/>
  <c r="B551" i="3"/>
  <c r="B550" i="3"/>
  <c r="B549" i="3"/>
  <c r="B548" i="3"/>
  <c r="B547" i="3"/>
  <c r="B546" i="3"/>
  <c r="B545" i="3"/>
  <c r="B544" i="3"/>
  <c r="B543" i="3"/>
  <c r="B542" i="3"/>
  <c r="B541" i="3"/>
  <c r="B540" i="3"/>
  <c r="B539" i="3"/>
  <c r="B538" i="3"/>
  <c r="B537" i="3"/>
  <c r="B536" i="3"/>
  <c r="B508" i="3"/>
  <c r="B507" i="3"/>
  <c r="B506" i="3"/>
  <c r="B505" i="3"/>
  <c r="B504" i="3"/>
  <c r="B503" i="3"/>
  <c r="B502" i="3"/>
  <c r="B501" i="3"/>
  <c r="B500" i="3"/>
  <c r="B499" i="3"/>
  <c r="B498" i="3"/>
  <c r="B497" i="3"/>
  <c r="B496" i="3"/>
  <c r="B495" i="3"/>
  <c r="B494" i="3"/>
  <c r="B493" i="3"/>
  <c r="B492" i="3"/>
  <c r="B491" i="3"/>
  <c r="B490" i="3"/>
  <c r="B489" i="3"/>
  <c r="B488" i="3"/>
  <c r="B487" i="3"/>
  <c r="B486" i="3"/>
  <c r="B485" i="3"/>
  <c r="B484" i="3"/>
  <c r="B483" i="3"/>
  <c r="B482" i="3"/>
  <c r="B481" i="3"/>
  <c r="B480" i="3"/>
  <c r="B479" i="3"/>
  <c r="B478" i="3"/>
  <c r="B477" i="3"/>
  <c r="B476" i="3"/>
  <c r="B475" i="3"/>
  <c r="B474" i="3"/>
  <c r="B473" i="3"/>
  <c r="B472" i="3"/>
  <c r="B471" i="3"/>
  <c r="B470" i="3"/>
  <c r="B469" i="3"/>
  <c r="B468" i="3"/>
  <c r="B467" i="3"/>
  <c r="B466" i="3"/>
  <c r="B465" i="3"/>
  <c r="B464" i="3"/>
  <c r="B463" i="3"/>
  <c r="B462" i="3"/>
  <c r="B461" i="3"/>
  <c r="B460" i="3"/>
  <c r="B459" i="3"/>
  <c r="B458" i="3"/>
  <c r="B457" i="3"/>
  <c r="B456" i="3"/>
  <c r="B455" i="3"/>
  <c r="B454" i="3"/>
  <c r="B453" i="3"/>
  <c r="B452" i="3"/>
  <c r="B451" i="3"/>
  <c r="B450" i="3"/>
  <c r="B449" i="3"/>
  <c r="B448" i="3"/>
  <c r="B447" i="3"/>
  <c r="B446" i="3"/>
  <c r="B445" i="3"/>
  <c r="B444" i="3"/>
  <c r="B443" i="3"/>
  <c r="B442" i="3"/>
  <c r="B441" i="3"/>
  <c r="B440" i="3"/>
  <c r="B439" i="3"/>
  <c r="B438" i="3"/>
  <c r="B437" i="3"/>
  <c r="B436" i="3"/>
  <c r="B435" i="3"/>
  <c r="B434" i="3"/>
  <c r="B433" i="3"/>
  <c r="B432" i="3"/>
  <c r="B431" i="3"/>
  <c r="B430" i="3"/>
  <c r="B429" i="3"/>
  <c r="B428" i="3"/>
  <c r="B427" i="3"/>
  <c r="B426" i="3"/>
  <c r="B425" i="3"/>
  <c r="B424" i="3"/>
  <c r="B423" i="3"/>
  <c r="B422" i="3"/>
  <c r="B421" i="3"/>
  <c r="B420" i="3"/>
  <c r="B419" i="3"/>
  <c r="B418" i="3"/>
  <c r="B417" i="3"/>
  <c r="B416" i="3"/>
  <c r="B415" i="3"/>
  <c r="B414" i="3"/>
  <c r="B413" i="3"/>
  <c r="B412" i="3"/>
  <c r="B411" i="3"/>
  <c r="B410" i="3"/>
  <c r="B409" i="3"/>
  <c r="B408" i="3"/>
  <c r="B407" i="3"/>
  <c r="B406" i="3"/>
  <c r="B405" i="3"/>
  <c r="B404" i="3"/>
  <c r="B403" i="3"/>
  <c r="B402" i="3"/>
  <c r="B401" i="3"/>
  <c r="B400" i="3"/>
  <c r="B399" i="3"/>
  <c r="B398" i="3"/>
  <c r="B397" i="3"/>
  <c r="B396" i="3"/>
  <c r="B395" i="3"/>
  <c r="B394" i="3"/>
  <c r="B393" i="3"/>
  <c r="B392" i="3"/>
  <c r="B391" i="3"/>
  <c r="B390" i="3"/>
  <c r="B389" i="3"/>
  <c r="B388" i="3"/>
  <c r="B387" i="3"/>
  <c r="B386" i="3"/>
  <c r="B385" i="3"/>
  <c r="B384" i="3"/>
  <c r="B383" i="3"/>
  <c r="B382" i="3"/>
  <c r="B381" i="3"/>
  <c r="B380" i="3"/>
  <c r="B379" i="3"/>
  <c r="B378" i="3"/>
  <c r="B377" i="3"/>
  <c r="B376" i="3"/>
  <c r="B375" i="3"/>
  <c r="B374" i="3"/>
  <c r="B373" i="3"/>
  <c r="B372" i="3"/>
  <c r="B371" i="3"/>
  <c r="B370" i="3"/>
  <c r="B369" i="3"/>
  <c r="B368" i="3"/>
  <c r="B367" i="3"/>
  <c r="B366" i="3"/>
  <c r="B365" i="3"/>
  <c r="B364" i="3"/>
  <c r="B363" i="3"/>
  <c r="B362" i="3"/>
  <c r="B361" i="3"/>
  <c r="B360" i="3"/>
  <c r="B359" i="3"/>
  <c r="B358" i="3"/>
  <c r="B357" i="3"/>
  <c r="B356" i="3"/>
  <c r="B355" i="3"/>
  <c r="B354" i="3"/>
  <c r="B353" i="3"/>
  <c r="B352" i="3"/>
  <c r="B351" i="3"/>
  <c r="B350" i="3"/>
  <c r="B349" i="3"/>
  <c r="B348" i="3"/>
  <c r="B347" i="3"/>
  <c r="B346" i="3"/>
  <c r="B345" i="3"/>
  <c r="B344" i="3"/>
  <c r="B343" i="3"/>
  <c r="B342" i="3"/>
  <c r="B341" i="3"/>
  <c r="B340" i="3"/>
  <c r="B339" i="3"/>
  <c r="B338" i="3"/>
  <c r="B337" i="3"/>
  <c r="B336" i="3"/>
  <c r="B335" i="3"/>
  <c r="B334" i="3"/>
  <c r="B333" i="3"/>
  <c r="B332" i="3"/>
  <c r="B331" i="3"/>
  <c r="B330" i="3"/>
  <c r="B329" i="3"/>
  <c r="B328" i="3"/>
  <c r="B327" i="3"/>
  <c r="B326" i="3"/>
  <c r="B325" i="3"/>
  <c r="B324" i="3"/>
  <c r="B323" i="3"/>
  <c r="B322" i="3"/>
  <c r="B321" i="3"/>
  <c r="B320" i="3"/>
  <c r="B319" i="3"/>
  <c r="B318" i="3"/>
  <c r="B317" i="3"/>
  <c r="B316" i="3"/>
  <c r="B315" i="3"/>
  <c r="B314" i="3"/>
  <c r="B313" i="3"/>
  <c r="B312" i="3"/>
  <c r="B311" i="3"/>
  <c r="B310" i="3"/>
  <c r="B309" i="3"/>
  <c r="B308" i="3"/>
  <c r="B307" i="3"/>
  <c r="B306" i="3"/>
  <c r="B305" i="3"/>
  <c r="B304" i="3"/>
  <c r="B303" i="3"/>
  <c r="B302" i="3"/>
  <c r="B301" i="3"/>
  <c r="B300" i="3"/>
  <c r="B299" i="3"/>
  <c r="B298" i="3"/>
  <c r="B297" i="3"/>
  <c r="B296" i="3"/>
  <c r="B295" i="3"/>
  <c r="B294" i="3"/>
  <c r="B293" i="3"/>
  <c r="B292" i="3"/>
  <c r="B291" i="3"/>
  <c r="B290" i="3"/>
  <c r="B289" i="3"/>
  <c r="B288" i="3"/>
  <c r="B287" i="3"/>
  <c r="B286" i="3"/>
  <c r="B285" i="3"/>
  <c r="B284" i="3"/>
  <c r="B283" i="3"/>
  <c r="B282" i="3"/>
  <c r="B281" i="3"/>
  <c r="B280" i="3"/>
  <c r="B279" i="3"/>
  <c r="B278" i="3"/>
  <c r="B277" i="3"/>
  <c r="B276" i="3"/>
  <c r="B275" i="3"/>
  <c r="B274" i="3"/>
  <c r="B273" i="3"/>
  <c r="B272" i="3"/>
  <c r="B271" i="3"/>
  <c r="B270" i="3"/>
  <c r="B269" i="3"/>
  <c r="B268" i="3"/>
  <c r="B267" i="3"/>
  <c r="B266" i="3"/>
  <c r="B265" i="3"/>
  <c r="B264" i="3"/>
  <c r="B263" i="3"/>
  <c r="B262" i="3"/>
  <c r="B261" i="3"/>
  <c r="B260" i="3"/>
  <c r="B259" i="3"/>
  <c r="B258" i="3"/>
  <c r="B257" i="3"/>
  <c r="B256" i="3"/>
  <c r="B255" i="3"/>
  <c r="B254" i="3"/>
  <c r="B253" i="3"/>
  <c r="B252" i="3"/>
  <c r="B251" i="3"/>
  <c r="B250" i="3"/>
  <c r="B249" i="3"/>
  <c r="B248" i="3"/>
  <c r="B247" i="3"/>
  <c r="B246" i="3"/>
  <c r="B245" i="3"/>
  <c r="B244" i="3"/>
  <c r="B243" i="3"/>
  <c r="B242" i="3"/>
  <c r="B241" i="3"/>
  <c r="B240" i="3"/>
  <c r="B239" i="3"/>
  <c r="B238" i="3"/>
  <c r="B237" i="3"/>
  <c r="B236" i="3"/>
  <c r="B235" i="3"/>
  <c r="B234" i="3"/>
  <c r="B233" i="3"/>
  <c r="B232" i="3"/>
  <c r="B231" i="3"/>
  <c r="B230" i="3"/>
  <c r="B229" i="3"/>
  <c r="B228" i="3"/>
  <c r="B227" i="3"/>
  <c r="B226" i="3"/>
  <c r="B225" i="3"/>
  <c r="B224" i="3"/>
  <c r="B223" i="3"/>
  <c r="B222" i="3"/>
  <c r="B221" i="3"/>
  <c r="B220" i="3"/>
  <c r="B219" i="3"/>
  <c r="B218" i="3"/>
  <c r="B217" i="3"/>
  <c r="B216" i="3"/>
  <c r="B215" i="3"/>
  <c r="B214" i="3"/>
  <c r="B213" i="3"/>
  <c r="B212" i="3"/>
  <c r="B211" i="3"/>
  <c r="B210" i="3"/>
  <c r="B209" i="3"/>
  <c r="B208" i="3"/>
  <c r="B207" i="3"/>
  <c r="B206" i="3"/>
  <c r="B205" i="3"/>
  <c r="B204" i="3"/>
  <c r="B203" i="3"/>
  <c r="B202" i="3"/>
  <c r="B201" i="3"/>
  <c r="B200" i="3"/>
  <c r="B199" i="3"/>
  <c r="B198" i="3"/>
  <c r="B197" i="3"/>
  <c r="B196" i="3"/>
  <c r="B195" i="3"/>
  <c r="B194" i="3"/>
  <c r="B193" i="3"/>
  <c r="B192" i="3"/>
  <c r="B191" i="3"/>
  <c r="B190" i="3"/>
  <c r="B189" i="3"/>
  <c r="B188" i="3"/>
  <c r="B187" i="3"/>
  <c r="B186" i="3"/>
  <c r="B185" i="3"/>
  <c r="B184" i="3"/>
  <c r="B183" i="3"/>
  <c r="B182" i="3"/>
  <c r="B181" i="3"/>
  <c r="B180" i="3"/>
  <c r="B179" i="3"/>
  <c r="B178" i="3"/>
  <c r="B177" i="3"/>
  <c r="B176" i="3"/>
  <c r="B175" i="3"/>
  <c r="B174" i="3"/>
  <c r="B173" i="3"/>
  <c r="B172" i="3"/>
  <c r="B171" i="3"/>
  <c r="B170" i="3"/>
  <c r="B169" i="3"/>
  <c r="B168" i="3"/>
  <c r="B167" i="3"/>
  <c r="B166" i="3"/>
  <c r="B165" i="3"/>
  <c r="B164" i="3"/>
  <c r="B163" i="3"/>
  <c r="B162" i="3"/>
  <c r="B161" i="3"/>
  <c r="B160" i="3"/>
  <c r="B159" i="3"/>
  <c r="B158" i="3"/>
  <c r="B157" i="3"/>
  <c r="B156" i="3"/>
  <c r="B155" i="3"/>
  <c r="B154" i="3"/>
  <c r="B153" i="3"/>
  <c r="B152" i="3"/>
  <c r="B151" i="3"/>
  <c r="B150" i="3"/>
  <c r="B149" i="3"/>
  <c r="B148" i="3"/>
  <c r="B147" i="3"/>
  <c r="B146" i="3"/>
  <c r="B145" i="3"/>
  <c r="B144" i="3"/>
  <c r="B143" i="3"/>
  <c r="B142" i="3"/>
  <c r="B141" i="3"/>
  <c r="B140" i="3"/>
  <c r="B139" i="3"/>
  <c r="B138" i="3"/>
  <c r="B137" i="3"/>
  <c r="B136" i="3"/>
  <c r="B135" i="3"/>
  <c r="B134" i="3"/>
  <c r="B133" i="3"/>
  <c r="B132" i="3"/>
  <c r="B131" i="3"/>
  <c r="B130" i="3"/>
  <c r="B129" i="3"/>
  <c r="B128" i="3"/>
  <c r="B127" i="3"/>
  <c r="B126" i="3"/>
  <c r="B125" i="3"/>
  <c r="B124" i="3"/>
  <c r="B123" i="3"/>
  <c r="B122" i="3"/>
  <c r="B121" i="3"/>
  <c r="B120" i="3"/>
  <c r="B119" i="3"/>
  <c r="B118" i="3"/>
  <c r="B117" i="3"/>
  <c r="B116" i="3"/>
  <c r="B115" i="3"/>
  <c r="B114" i="3"/>
  <c r="B113" i="3"/>
  <c r="B112" i="3"/>
  <c r="B111" i="3"/>
  <c r="B110" i="3"/>
  <c r="B109" i="3"/>
  <c r="B108" i="3"/>
  <c r="B107" i="3"/>
  <c r="B106" i="3"/>
  <c r="B105" i="3"/>
  <c r="B104" i="3"/>
  <c r="B103" i="3"/>
  <c r="B102" i="3"/>
  <c r="B101" i="3"/>
  <c r="B100" i="3"/>
  <c r="B99" i="3"/>
  <c r="B98" i="3"/>
  <c r="B97" i="3"/>
  <c r="B96" i="3"/>
  <c r="B95" i="3"/>
  <c r="B94" i="3"/>
  <c r="B93" i="3"/>
  <c r="B92" i="3"/>
  <c r="B91" i="3"/>
  <c r="B63" i="3"/>
  <c r="B62" i="3"/>
  <c r="B61" i="3"/>
  <c r="B60" i="3"/>
  <c r="B59" i="3"/>
  <c r="B58" i="3"/>
  <c r="B57" i="3"/>
  <c r="B56" i="3"/>
  <c r="B55" i="3"/>
  <c r="B54" i="3"/>
  <c r="B53" i="3"/>
  <c r="B52" i="3"/>
  <c r="B51" i="3"/>
  <c r="B50" i="3"/>
  <c r="B49" i="3"/>
  <c r="B48" i="3"/>
  <c r="B47" i="3"/>
  <c r="B46" i="3"/>
  <c r="B45" i="3"/>
  <c r="B44" i="3"/>
  <c r="B43" i="3"/>
  <c r="B42" i="3"/>
  <c r="B41" i="3"/>
  <c r="B40" i="3"/>
  <c r="B39" i="3"/>
  <c r="B38" i="3"/>
  <c r="B37" i="3"/>
  <c r="B36" i="3"/>
  <c r="B35" i="3"/>
  <c r="B34" i="3"/>
  <c r="B33" i="3"/>
  <c r="B32" i="3"/>
  <c r="B31" i="3"/>
  <c r="B30" i="3"/>
  <c r="B29" i="3"/>
  <c r="B28" i="3"/>
  <c r="B27" i="3"/>
  <c r="B26" i="3"/>
  <c r="B25" i="3"/>
  <c r="B24" i="3"/>
  <c r="B23" i="3"/>
  <c r="B22" i="3"/>
  <c r="B21" i="3"/>
  <c r="B20" i="3"/>
  <c r="B19" i="3"/>
  <c r="B18" i="3"/>
  <c r="B17" i="3"/>
  <c r="B16" i="3"/>
  <c r="B15" i="3"/>
  <c r="B14" i="3"/>
  <c r="B13" i="3"/>
  <c r="B12" i="3"/>
  <c r="B11" i="3"/>
  <c r="B10" i="3"/>
  <c r="B8" i="3"/>
  <c r="K396" i="3" l="1"/>
  <c r="K338" i="3"/>
  <c r="K120" i="3" l="1"/>
  <c r="B5" i="3" l="1"/>
</calcChain>
</file>

<file path=xl/sharedStrings.xml><?xml version="1.0" encoding="utf-8"?>
<sst xmlns="http://schemas.openxmlformats.org/spreadsheetml/2006/main" count="1309" uniqueCount="894">
  <si>
    <t>メモ内容</t>
    <rPh sb="2" eb="4">
      <t>ナイヨウ</t>
    </rPh>
    <phoneticPr fontId="2"/>
  </si>
  <si>
    <t>●</t>
    <phoneticPr fontId="2"/>
  </si>
  <si>
    <t>何故解けなかったか、原因を記載する</t>
    <rPh sb="0" eb="2">
      <t>ナゼ</t>
    </rPh>
    <rPh sb="2" eb="3">
      <t>ト</t>
    </rPh>
    <rPh sb="10" eb="12">
      <t>ゲンイン</t>
    </rPh>
    <rPh sb="13" eb="15">
      <t>キサイ</t>
    </rPh>
    <phoneticPr fontId="2"/>
  </si>
  <si>
    <t>自分の解き方と模範解答の解き方の相違点を短くまとめる</t>
    <rPh sb="0" eb="2">
      <t>ジブン</t>
    </rPh>
    <rPh sb="3" eb="4">
      <t>ト</t>
    </rPh>
    <rPh sb="5" eb="6">
      <t>カタ</t>
    </rPh>
    <rPh sb="7" eb="9">
      <t>モハン</t>
    </rPh>
    <rPh sb="9" eb="11">
      <t>カイトウ</t>
    </rPh>
    <rPh sb="12" eb="13">
      <t>ト</t>
    </rPh>
    <rPh sb="14" eb="15">
      <t>カタ</t>
    </rPh>
    <rPh sb="16" eb="19">
      <t>ソウイテン</t>
    </rPh>
    <rPh sb="20" eb="21">
      <t>ミジカ</t>
    </rPh>
    <phoneticPr fontId="2"/>
  </si>
  <si>
    <t>当問題の難しかったポイントを自分の言葉でまとめる</t>
    <rPh sb="0" eb="1">
      <t>トウ</t>
    </rPh>
    <rPh sb="1" eb="3">
      <t>モンダイ</t>
    </rPh>
    <rPh sb="4" eb="5">
      <t>ムズカ</t>
    </rPh>
    <rPh sb="14" eb="16">
      <t>ジブン</t>
    </rPh>
    <rPh sb="17" eb="19">
      <t>コトバ</t>
    </rPh>
    <phoneticPr fontId="2"/>
  </si>
  <si>
    <t>Ｓｏｌｕｔｉｏｎ</t>
    <phoneticPr fontId="2"/>
  </si>
  <si>
    <t>Ｓｕｍｍａｒｙ</t>
    <phoneticPr fontId="2"/>
  </si>
  <si>
    <t>ＦｏｒＧｏａｌ</t>
    <phoneticPr fontId="2"/>
  </si>
  <si>
    <t>№</t>
    <phoneticPr fontId="2"/>
  </si>
  <si>
    <t>問題</t>
    <rPh sb="0" eb="2">
      <t>モンダイ</t>
    </rPh>
    <phoneticPr fontId="2"/>
  </si>
  <si>
    <t>日付</t>
    <rPh sb="0" eb="2">
      <t>ヒヅケ</t>
    </rPh>
    <phoneticPr fontId="2"/>
  </si>
  <si>
    <t>リンク</t>
    <phoneticPr fontId="2"/>
  </si>
  <si>
    <t>(→)</t>
  </si>
  <si>
    <t>初期化</t>
    <rPh sb="0" eb="3">
      <t>ショキカ</t>
    </rPh>
    <phoneticPr fontId="6"/>
  </si>
  <si>
    <t>ABC149_C_NextPrime</t>
  </si>
  <si>
    <t>綺麗なループ</t>
    <rPh sb="0" eb="2">
      <t>キレイ</t>
    </rPh>
    <phoneticPr fontId="2"/>
  </si>
  <si>
    <t>最初に作成したループ</t>
    <rPh sb="0" eb="2">
      <t>サイショ</t>
    </rPh>
    <rPh sb="3" eb="5">
      <t>サクセイ</t>
    </rPh>
    <phoneticPr fontId="2"/>
  </si>
  <si>
    <t>修正後のループ</t>
    <rPh sb="0" eb="2">
      <t>シュウセイ</t>
    </rPh>
    <rPh sb="2" eb="3">
      <t>ゴ</t>
    </rPh>
    <phoneticPr fontId="2"/>
  </si>
  <si>
    <t>int fnNextPrimeGet(int nNum)</t>
  </si>
  <si>
    <t>{</t>
  </si>
  <si>
    <t xml:space="preserve">  int nNextPrime = nNum;</t>
  </si>
  <si>
    <t xml:space="preserve">  int nNextPrime = nNum - 1;</t>
  </si>
  <si>
    <t xml:space="preserve"> </t>
  </si>
  <si>
    <t xml:space="preserve">  bool bPrime = false;</t>
  </si>
  <si>
    <t xml:space="preserve">  while (true)</t>
  </si>
  <si>
    <t xml:space="preserve">  {</t>
  </si>
  <si>
    <t xml:space="preserve">  while (!bPrime)</t>
  </si>
  <si>
    <t>①</t>
    <phoneticPr fontId="2"/>
  </si>
  <si>
    <t xml:space="preserve">    int nLessSqrt = sqrt(nNextPrime);</t>
  </si>
  <si>
    <t>②</t>
    <phoneticPr fontId="2"/>
  </si>
  <si>
    <t xml:space="preserve">    bool bPrime = true;</t>
  </si>
  <si>
    <t xml:space="preserve">    nNextPrime++;</t>
  </si>
  <si>
    <t xml:space="preserve">    int nSqrtInt = sqrt(nNextPrime);</t>
  </si>
  <si>
    <t>③</t>
    <phoneticPr fontId="2"/>
  </si>
  <si>
    <t xml:space="preserve">    for (int n = 2; n &lt;= nLessSqrt; n++)</t>
  </si>
  <si>
    <t xml:space="preserve">    bPrime = true;</t>
  </si>
  <si>
    <t xml:space="preserve">      if (nNextPrime % n == 0)</t>
  </si>
  <si>
    <t xml:space="preserve">      {</t>
  </si>
  <si>
    <t xml:space="preserve">    for (int n = 2; n &lt;= nSqrtInt; n++)</t>
  </si>
  <si>
    <t xml:space="preserve">        bPrime = false;</t>
  </si>
  <si>
    <t xml:space="preserve">        break;</t>
  </si>
  <si>
    <t xml:space="preserve">      }</t>
  </si>
  <si>
    <t xml:space="preserve">      </t>
  </si>
  <si>
    <t>④</t>
    <phoneticPr fontId="2"/>
  </si>
  <si>
    <t xml:space="preserve">    if (bPrime) return nNextPrime;</t>
  </si>
  <si>
    <t>⑤</t>
    <phoneticPr fontId="2"/>
  </si>
  <si>
    <t xml:space="preserve">  }</t>
  </si>
  <si>
    <t xml:space="preserve">  return nNextPrime;</t>
  </si>
  <si>
    <t>}</t>
  </si>
  <si>
    <t>④をwhile 条件にすると、</t>
    <rPh sb="8" eb="10">
      <t>ジョウケン</t>
    </rPh>
    <phoneticPr fontId="2"/>
  </si>
  <si>
    <t>④の return 条件を while 条件に変更する</t>
    <rPh sb="10" eb="12">
      <t>ジョウケン</t>
    </rPh>
    <rPh sb="20" eb="22">
      <t>ジョウケン</t>
    </rPh>
    <rPh sb="23" eb="25">
      <t>ヘンコウ</t>
    </rPh>
    <phoneticPr fontId="2"/>
  </si>
  <si>
    <t>④の while 条件判定後、次の命令は⑤であるため、⑤を行う</t>
    <rPh sb="9" eb="11">
      <t>ジョウケン</t>
    </rPh>
    <rPh sb="11" eb="13">
      <t>ハンテイ</t>
    </rPh>
    <rPh sb="13" eb="14">
      <t>ゴ</t>
    </rPh>
    <rPh sb="15" eb="16">
      <t>ツギ</t>
    </rPh>
    <rPh sb="17" eb="19">
      <t>メイレイ</t>
    </rPh>
    <rPh sb="29" eb="30">
      <t>オコナ</t>
    </rPh>
    <phoneticPr fontId="2"/>
  </si>
  <si>
    <t>次に①,②,③の命令を行う</t>
    <rPh sb="0" eb="1">
      <t>ツギ</t>
    </rPh>
    <rPh sb="8" eb="10">
      <t>メイレイ</t>
    </rPh>
    <rPh sb="11" eb="12">
      <t>オコナ</t>
    </rPh>
    <phoneticPr fontId="2"/>
  </si>
  <si>
    <t>Ｎ人は番号が１～Ｎまで付けられているため、番号１は要素１番目に格納することより、vector のサイズを Ｎ＋１ とする</t>
    <rPh sb="1" eb="2">
      <t>ニン</t>
    </rPh>
    <rPh sb="3" eb="5">
      <t>バンゴウ</t>
    </rPh>
    <rPh sb="11" eb="12">
      <t>ツ</t>
    </rPh>
    <phoneticPr fontId="2"/>
  </si>
  <si>
    <t>Ｎ人(１～15人) の全Bit探索を行うため、15bit 必要となり</t>
    <rPh sb="1" eb="2">
      <t>ニン</t>
    </rPh>
    <rPh sb="7" eb="8">
      <t>ニン</t>
    </rPh>
    <rPh sb="11" eb="12">
      <t>ゼン</t>
    </rPh>
    <rPh sb="15" eb="17">
      <t>タンサク</t>
    </rPh>
    <rPh sb="18" eb="19">
      <t>オコナ</t>
    </rPh>
    <rPh sb="29" eb="31">
      <t>ヒツヨウ</t>
    </rPh>
    <phoneticPr fontId="2"/>
  </si>
  <si>
    <r>
      <t>インデックスは １～0x111111111111111 (2</t>
    </r>
    <r>
      <rPr>
        <vertAlign val="superscript"/>
        <sz val="11"/>
        <color theme="1"/>
        <rFont val="ＭＳ 明朝"/>
        <family val="1"/>
        <charset val="128"/>
      </rPr>
      <t>15</t>
    </r>
    <r>
      <rPr>
        <sz val="11"/>
        <color theme="1"/>
        <rFont val="ＭＳ 明朝"/>
        <family val="1"/>
        <charset val="128"/>
      </rPr>
      <t>－1＝ (1 &lt;&lt; 15) - 1＝32,767) の範囲で使用する</t>
    </r>
    <rPh sb="59" eb="61">
      <t>ハンイ</t>
    </rPh>
    <rPh sb="62" eb="64">
      <t>シヨウ</t>
    </rPh>
    <phoneticPr fontId="2"/>
  </si>
  <si>
    <t>全Bit探索のループ</t>
    <rPh sb="0" eb="1">
      <t>ゼン</t>
    </rPh>
    <rPh sb="4" eb="6">
      <t>タンサク</t>
    </rPh>
    <phoneticPr fontId="2"/>
  </si>
  <si>
    <r>
      <t xml:space="preserve">for (int n = 1; n &lt; ( </t>
    </r>
    <r>
      <rPr>
        <b/>
        <sz val="11"/>
        <color theme="1"/>
        <rFont val="ＭＳ 明朝"/>
        <family val="1"/>
        <charset val="128"/>
      </rPr>
      <t>1 &lt;&lt;</t>
    </r>
    <r>
      <rPr>
        <sz val="11"/>
        <color theme="1"/>
        <rFont val="ＭＳ 明朝"/>
        <family val="1"/>
        <charset val="128"/>
      </rPr>
      <t xml:space="preserve"> </t>
    </r>
    <r>
      <rPr>
        <b/>
        <sz val="11"/>
        <color theme="1"/>
        <rFont val="ＭＳ 明朝"/>
        <family val="1"/>
        <charset val="128"/>
      </rPr>
      <t>(cnrvvoExpr.size() - 1)</t>
    </r>
    <r>
      <rPr>
        <sz val="11"/>
        <color theme="1"/>
        <rFont val="ＭＳ 明朝"/>
        <family val="1"/>
        <charset val="128"/>
      </rPr>
      <t xml:space="preserve"> ); n++)</t>
    </r>
    <phoneticPr fontId="2"/>
  </si>
  <si>
    <t>vectorサイズを Ｎ＋１ としているため －１</t>
    <phoneticPr fontId="2"/>
  </si>
  <si>
    <t>{</t>
    <phoneticPr fontId="2"/>
  </si>
  <si>
    <t xml:space="preserve">    int nHonestCnt = 0;</t>
    <phoneticPr fontId="2"/>
  </si>
  <si>
    <r>
      <t xml:space="preserve">    for (int i = 0; i &lt; </t>
    </r>
    <r>
      <rPr>
        <b/>
        <sz val="11"/>
        <color theme="1"/>
        <rFont val="ＭＳ 明朝"/>
        <family val="1"/>
        <charset val="128"/>
      </rPr>
      <t>cnrvvoExpr.size() - 1</t>
    </r>
    <r>
      <rPr>
        <sz val="11"/>
        <color theme="1"/>
        <rFont val="ＭＳ 明朝"/>
        <family val="1"/>
        <charset val="128"/>
      </rPr>
      <t>; i++)</t>
    </r>
    <phoneticPr fontId="2"/>
  </si>
  <si>
    <t>Ｎ＝15 の場合、vectorサイズは 16 であり</t>
    <rPh sb="6" eb="8">
      <t>バアイ</t>
    </rPh>
    <phoneticPr fontId="2"/>
  </si>
  <si>
    <r>
      <t xml:space="preserve">      </t>
    </r>
    <r>
      <rPr>
        <b/>
        <sz val="11"/>
        <color theme="1"/>
        <rFont val="ＭＳ 明朝"/>
        <family val="1"/>
        <charset val="128"/>
      </rPr>
      <t>if</t>
    </r>
    <r>
      <rPr>
        <sz val="11"/>
        <color theme="1"/>
        <rFont val="ＭＳ 明朝"/>
        <family val="1"/>
        <charset val="128"/>
      </rPr>
      <t xml:space="preserve"> </t>
    </r>
    <r>
      <rPr>
        <b/>
        <sz val="11"/>
        <color theme="1"/>
        <rFont val="ＭＳ 明朝"/>
        <family val="1"/>
        <charset val="128"/>
      </rPr>
      <t>( n &amp; (1 &lt;&lt; i)</t>
    </r>
    <r>
      <rPr>
        <sz val="11"/>
        <color theme="1"/>
        <rFont val="ＭＳ 明朝"/>
        <family val="1"/>
        <charset val="128"/>
      </rPr>
      <t xml:space="preserve"> </t>
    </r>
    <r>
      <rPr>
        <b/>
        <sz val="11"/>
        <color theme="1"/>
        <rFont val="ＭＳ 明朝"/>
        <family val="1"/>
        <charset val="128"/>
      </rPr>
      <t>)</t>
    </r>
    <phoneticPr fontId="2"/>
  </si>
  <si>
    <t>15bit のbit列の最左端は 16,384 (1 &lt;&lt; 14) であるから</t>
    <phoneticPr fontId="2"/>
  </si>
  <si>
    <t xml:space="preserve">      {</t>
    <phoneticPr fontId="2"/>
  </si>
  <si>
    <t>i の範囲は 0≦i＜15 (16 - 1) となる</t>
    <rPh sb="3" eb="5">
      <t>ハンイ</t>
    </rPh>
    <phoneticPr fontId="2"/>
  </si>
  <si>
    <r>
      <t xml:space="preserve">        vnHonest[</t>
    </r>
    <r>
      <rPr>
        <b/>
        <sz val="11"/>
        <color theme="1"/>
        <rFont val="ＭＳ 明朝"/>
        <family val="1"/>
        <charset val="128"/>
      </rPr>
      <t>i + 1</t>
    </r>
    <r>
      <rPr>
        <sz val="11"/>
        <color theme="1"/>
        <rFont val="ＭＳ 明朝"/>
        <family val="1"/>
        <charset val="128"/>
      </rPr>
      <t>] = 1;           // Honest</t>
    </r>
    <phoneticPr fontId="2"/>
  </si>
  <si>
    <t xml:space="preserve">        nHonestCnt++;</t>
  </si>
  <si>
    <t xml:space="preserve">      }</t>
    <phoneticPr fontId="2"/>
  </si>
  <si>
    <t xml:space="preserve">      else</t>
  </si>
  <si>
    <r>
      <t xml:space="preserve">        vnHonest[</t>
    </r>
    <r>
      <rPr>
        <b/>
        <sz val="11"/>
        <color theme="1"/>
        <rFont val="ＭＳ 明朝"/>
        <family val="1"/>
        <charset val="128"/>
      </rPr>
      <t>i + 1</t>
    </r>
    <r>
      <rPr>
        <sz val="11"/>
        <color theme="1"/>
        <rFont val="ＭＳ 明朝"/>
        <family val="1"/>
        <charset val="128"/>
      </rPr>
      <t>] = 0;           // UnKind</t>
    </r>
    <phoneticPr fontId="2"/>
  </si>
  <si>
    <t>正直者 (必ず正しい証言を行う人)</t>
    <rPh sb="0" eb="2">
      <t>ショウジキ</t>
    </rPh>
    <rPh sb="2" eb="3">
      <t>シャ</t>
    </rPh>
    <rPh sb="5" eb="6">
      <t>カナラ</t>
    </rPh>
    <rPh sb="7" eb="8">
      <t>タダ</t>
    </rPh>
    <rPh sb="10" eb="12">
      <t>ショウゲン</t>
    </rPh>
    <rPh sb="13" eb="14">
      <t>オコナ</t>
    </rPh>
    <rPh sb="15" eb="16">
      <t>ヒト</t>
    </rPh>
    <phoneticPr fontId="2"/>
  </si>
  <si>
    <t xml:space="preserve">  if (cnrvnHonest[nMan])               // Honest</t>
  </si>
  <si>
    <t xml:space="preserve">    for (int j = 0; j &lt; cnrvvoExpr[nMan].size(); j++)</t>
  </si>
  <si>
    <t xml:space="preserve">      if (cnrvvoExpr[nMan][j].m_nAttr  !=</t>
  </si>
  <si>
    <t>全ての人物の 正直/嘘 証言 が正しいこと</t>
    <rPh sb="0" eb="1">
      <t>スベ</t>
    </rPh>
    <rPh sb="3" eb="5">
      <t>ジンブツ</t>
    </rPh>
    <rPh sb="7" eb="9">
      <t>ショウジキ</t>
    </rPh>
    <rPh sb="10" eb="11">
      <t>ウソ</t>
    </rPh>
    <rPh sb="12" eb="14">
      <t>ショウゲン</t>
    </rPh>
    <rPh sb="16" eb="17">
      <t>タダ</t>
    </rPh>
    <phoneticPr fontId="2"/>
  </si>
  <si>
    <t xml:space="preserve">          cnrvnHonest[ cnrvvoExpr[nMan][j].m_nPerson ] )</t>
  </si>
  <si>
    <t>(∴)</t>
    <phoneticPr fontId="2"/>
  </si>
  <si>
    <t>１人でも 正直/嘘 証言 が正しくないと正直者ではない</t>
    <rPh sb="1" eb="2">
      <t>ニン</t>
    </rPh>
    <rPh sb="5" eb="7">
      <t>ショウジキ</t>
    </rPh>
    <rPh sb="8" eb="9">
      <t>ウソ</t>
    </rPh>
    <rPh sb="10" eb="12">
      <t>ショウゲン</t>
    </rPh>
    <rPh sb="14" eb="15">
      <t>タダ</t>
    </rPh>
    <rPh sb="20" eb="22">
      <t>ショウジキ</t>
    </rPh>
    <rPh sb="22" eb="23">
      <t>シャ</t>
    </rPh>
    <phoneticPr fontId="2"/>
  </si>
  <si>
    <t xml:space="preserve">        return 0;</t>
  </si>
  <si>
    <t xml:space="preserve">    return 1;</t>
  </si>
  <si>
    <t>不親切者 (真偽不明の証言を行う)</t>
    <rPh sb="0" eb="3">
      <t>フシンセツ</t>
    </rPh>
    <rPh sb="3" eb="4">
      <t>モノ</t>
    </rPh>
    <phoneticPr fontId="2"/>
  </si>
  <si>
    <t xml:space="preserve">  else                                 // UnKind</t>
  </si>
  <si>
    <t>１人でも人物の 正直/嘘 証言 が正しくないこと</t>
    <rPh sb="1" eb="2">
      <t>ニン</t>
    </rPh>
    <rPh sb="4" eb="6">
      <t>ジンブツ</t>
    </rPh>
    <rPh sb="8" eb="10">
      <t>ショウジキ</t>
    </rPh>
    <rPh sb="11" eb="12">
      <t>ウソ</t>
    </rPh>
    <rPh sb="13" eb="15">
      <t>ショウゲン</t>
    </rPh>
    <rPh sb="17" eb="18">
      <t>タダ</t>
    </rPh>
    <phoneticPr fontId="2"/>
  </si>
  <si>
    <t>全ての人の 正直/嘘 証言 が正しいと、不親切者ではない</t>
    <rPh sb="0" eb="1">
      <t>スベ</t>
    </rPh>
    <rPh sb="3" eb="4">
      <t>ニン</t>
    </rPh>
    <rPh sb="6" eb="8">
      <t>ショウジキ</t>
    </rPh>
    <rPh sb="9" eb="10">
      <t>ウソ</t>
    </rPh>
    <rPh sb="11" eb="13">
      <t>ショウゲン</t>
    </rPh>
    <rPh sb="15" eb="16">
      <t>タダ</t>
    </rPh>
    <rPh sb="20" eb="23">
      <t>フシンセツ</t>
    </rPh>
    <rPh sb="23" eb="24">
      <t>シャ</t>
    </rPh>
    <phoneticPr fontId="2"/>
  </si>
  <si>
    <t xml:space="preserve">        return 1;</t>
  </si>
  <si>
    <t xml:space="preserve">    return 0;</t>
  </si>
  <si>
    <t>ABC143_C_Slimes</t>
  </si>
  <si>
    <t>int fnColorCount(string sColor)</t>
  </si>
  <si>
    <t xml:space="preserve">  int nColorCnt = 0;</t>
  </si>
  <si>
    <t xml:space="preserve">  int nBgn = 0;</t>
  </si>
  <si>
    <t xml:space="preserve">  while (nBgn &lt; sColor.size())</t>
  </si>
  <si>
    <t xml:space="preserve">    char cColor = sColor[nBgn];</t>
  </si>
  <si>
    <t xml:space="preserve">    nColorCnt++;</t>
  </si>
  <si>
    <t>③</t>
  </si>
  <si>
    <t xml:space="preserve">    int nFoward;</t>
  </si>
  <si>
    <t xml:space="preserve">    int nFoward = nBgn + 1;</t>
  </si>
  <si>
    <t xml:space="preserve">    for (nFoward = nBgn + 1; nFoward &lt; sColor.size(); nFoward++)</t>
  </si>
  <si>
    <t xml:space="preserve">    while ( nFoward &lt; sColor.size()  &amp;&amp;</t>
  </si>
  <si>
    <t xml:space="preserve">      if (cColor != sColor[nFoward]) break;</t>
  </si>
  <si>
    <t xml:space="preserve">            sColor[nBgn] == sColor[nFoward] )</t>
  </si>
  <si>
    <t xml:space="preserve">      nFoward++;</t>
  </si>
  <si>
    <t xml:space="preserve">    if (nFoward == sColor.size()) break;</t>
  </si>
  <si>
    <t>⑥</t>
    <phoneticPr fontId="2"/>
  </si>
  <si>
    <t xml:space="preserve">    nBgn = nFoward;</t>
  </si>
  <si>
    <t xml:space="preserve">  return nColorCnt;</t>
  </si>
  <si>
    <t>⑤をwhile 条件にすると、</t>
    <rPh sb="8" eb="10">
      <t>ジョウケン</t>
    </rPh>
    <phoneticPr fontId="2"/>
  </si>
  <si>
    <t>⑤の break 条件を while 条件に変更する。このとき未だ nFoward 未使用のため、nBgn を使用する</t>
    <rPh sb="9" eb="11">
      <t>ジョウケン</t>
    </rPh>
    <rPh sb="19" eb="21">
      <t>ジョウケン</t>
    </rPh>
    <rPh sb="22" eb="24">
      <t>ヘンコウ</t>
    </rPh>
    <rPh sb="31" eb="32">
      <t>イマ</t>
    </rPh>
    <rPh sb="42" eb="45">
      <t>ミシヨウ</t>
    </rPh>
    <rPh sb="55" eb="57">
      <t>シヨウ</t>
    </rPh>
    <phoneticPr fontId="2"/>
  </si>
  <si>
    <t>⑤の while 条件判定後、次の命令は⑥であるが、判定を nBgn に変更したため、⑥の位置は変えなくてよい</t>
    <rPh sb="9" eb="11">
      <t>ジョウケン</t>
    </rPh>
    <rPh sb="11" eb="13">
      <t>ハンテイ</t>
    </rPh>
    <rPh sb="13" eb="14">
      <t>ゴ</t>
    </rPh>
    <rPh sb="15" eb="16">
      <t>ツギ</t>
    </rPh>
    <rPh sb="17" eb="19">
      <t>メイレイ</t>
    </rPh>
    <rPh sb="26" eb="28">
      <t>ハンテイ</t>
    </rPh>
    <rPh sb="36" eb="38">
      <t>ヘンコウ</t>
    </rPh>
    <rPh sb="45" eb="47">
      <t>イチ</t>
    </rPh>
    <rPh sb="48" eb="49">
      <t>カ</t>
    </rPh>
    <phoneticPr fontId="2"/>
  </si>
  <si>
    <t>①の命令は不要のため廃止</t>
    <rPh sb="2" eb="4">
      <t>メイレイ</t>
    </rPh>
    <rPh sb="5" eb="7">
      <t>フヨウ</t>
    </rPh>
    <rPh sb="10" eb="12">
      <t>ハイシ</t>
    </rPh>
    <phoneticPr fontId="2"/>
  </si>
  <si>
    <t>②の命令を行う</t>
    <rPh sb="2" eb="4">
      <t>メイレイ</t>
    </rPh>
    <rPh sb="5" eb="6">
      <t>オコナ</t>
    </rPh>
    <phoneticPr fontId="2"/>
  </si>
  <si>
    <t>③で nFoward の初期設定を行う</t>
    <rPh sb="12" eb="14">
      <t>ショキ</t>
    </rPh>
    <rPh sb="14" eb="16">
      <t>セッテイ</t>
    </rPh>
    <rPh sb="17" eb="18">
      <t>オコナ</t>
    </rPh>
    <phoneticPr fontId="2"/>
  </si>
  <si>
    <t>④をwhile ループにし、③をそれに併せて変更する</t>
    <rPh sb="19" eb="20">
      <t>アワ</t>
    </rPh>
    <rPh sb="22" eb="24">
      <t>ヘンコウ</t>
    </rPh>
    <phoneticPr fontId="2"/>
  </si>
  <si>
    <t>(④のネスト中の if文の break 条件を while 条件に変更する)</t>
    <rPh sb="6" eb="7">
      <t>チュウ</t>
    </rPh>
    <rPh sb="11" eb="12">
      <t>ブン</t>
    </rPh>
    <rPh sb="20" eb="22">
      <t>ジョウケン</t>
    </rPh>
    <rPh sb="30" eb="32">
      <t>ジョウケン</t>
    </rPh>
    <rPh sb="33" eb="35">
      <t>ヘンコウ</t>
    </rPh>
    <phoneticPr fontId="2"/>
  </si>
  <si>
    <t>ABC114_C_755</t>
  </si>
  <si>
    <t>int fnDgt753_Count(int nMaxNum)</t>
  </si>
  <si>
    <t xml:space="preserve">  vector&lt;char&gt; vcNum(10, '0');</t>
  </si>
  <si>
    <t xml:space="preserve">  int nDgt753Cnt = 0;</t>
  </si>
  <si>
    <t xml:space="preserve">  while (fnConvInt(vcNum) &lt;= nMaxNum) </t>
  </si>
  <si>
    <t xml:space="preserve">    vcNum[vcNum.size() - 1]++;</t>
  </si>
  <si>
    <t xml:space="preserve">    if (fnDgt753_Check(vcNum)) nDgt753Cnt++;</t>
  </si>
  <si>
    <t xml:space="preserve">    for (int i = vcNum.size() - 1; i &gt;= 1; i--)</t>
  </si>
  <si>
    <t xml:space="preserve">      if (vcNum[i] &gt; '3')</t>
  </si>
  <si>
    <t xml:space="preserve">      {  </t>
  </si>
  <si>
    <t xml:space="preserve">        vcNum[i - 1]++;</t>
  </si>
  <si>
    <t xml:space="preserve">        vcNum[i] = '1';</t>
  </si>
  <si>
    <t xml:space="preserve">    if (!fnDgt753_Check(vcNum)) continue;</t>
  </si>
  <si>
    <t xml:space="preserve">    if (fnConvInt(vcNum) &gt; nMaxNum) break;</t>
  </si>
  <si>
    <t xml:space="preserve">    nDgt753Cnt++;</t>
  </si>
  <si>
    <t xml:space="preserve">  return nDgt753Cnt;</t>
  </si>
  <si>
    <t>④の break 条件を while 条件に変更する</t>
    <rPh sb="9" eb="11">
      <t>ジョウケン</t>
    </rPh>
    <rPh sb="19" eb="21">
      <t>ジョウケン</t>
    </rPh>
    <rPh sb="22" eb="24">
      <t>ヘンコウ</t>
    </rPh>
    <phoneticPr fontId="2"/>
  </si>
  <si>
    <t>④の while 条件判定後、次の命令は⑤であるため、⑤を行うため、③と併せる</t>
    <rPh sb="9" eb="11">
      <t>ジョウケン</t>
    </rPh>
    <rPh sb="11" eb="13">
      <t>ハンテイ</t>
    </rPh>
    <rPh sb="13" eb="14">
      <t>ゴ</t>
    </rPh>
    <rPh sb="15" eb="16">
      <t>ツギ</t>
    </rPh>
    <rPh sb="17" eb="19">
      <t>メイレイ</t>
    </rPh>
    <rPh sb="29" eb="30">
      <t>オコナ</t>
    </rPh>
    <rPh sb="36" eb="37">
      <t>アワ</t>
    </rPh>
    <phoneticPr fontId="2"/>
  </si>
  <si>
    <t>次に①,②の命令を行う</t>
    <rPh sb="0" eb="1">
      <t>ツギ</t>
    </rPh>
    <rPh sb="6" eb="8">
      <t>メイレイ</t>
    </rPh>
    <rPh sb="9" eb="10">
      <t>オコナ</t>
    </rPh>
    <phoneticPr fontId="2"/>
  </si>
  <si>
    <t>C問題</t>
    <rPh sb="1" eb="3">
      <t>モンダイ</t>
    </rPh>
    <phoneticPr fontId="2"/>
  </si>
  <si>
    <t>ABC147_C_Honest_or_Unkind2</t>
    <phoneticPr fontId="2"/>
  </si>
  <si>
    <t>大分類</t>
    <rPh sb="0" eb="3">
      <t>ダイブンルイ</t>
    </rPh>
    <phoneticPr fontId="2"/>
  </si>
  <si>
    <t>小分類</t>
    <rPh sb="0" eb="1">
      <t>ショウ</t>
    </rPh>
    <rPh sb="1" eb="3">
      <t>ブンルイ</t>
    </rPh>
    <phoneticPr fontId="2"/>
  </si>
  <si>
    <t>ABCコンテスト</t>
  </si>
  <si>
    <t>ABCコンテスト</t>
    <phoneticPr fontId="2"/>
  </si>
  <si>
    <t>問題分類</t>
    <rPh sb="0" eb="2">
      <t>モンダイ</t>
    </rPh>
    <rPh sb="2" eb="4">
      <t>ブンルイ</t>
    </rPh>
    <phoneticPr fontId="2"/>
  </si>
  <si>
    <t>C問題</t>
  </si>
  <si>
    <t>ABC049_C_Daydream</t>
  </si>
  <si>
    <t>ABC057_C_Digits_in_Multiplication</t>
  </si>
  <si>
    <t>ABC072_C_Together</t>
  </si>
  <si>
    <t>ABC074_C_SugarWater</t>
  </si>
  <si>
    <t>ABC079_C_TrainTicket</t>
  </si>
  <si>
    <t>ABC081_C_Not_so_Diverse</t>
  </si>
  <si>
    <t>ABC085_C_Otoshidama</t>
  </si>
  <si>
    <t>ABC086_C_Traveling</t>
  </si>
  <si>
    <t>ABC087_C_Candies</t>
  </si>
  <si>
    <t>ABC088_C_TakahashisInformation</t>
  </si>
  <si>
    <t>ABC093_C_SameIntegers</t>
  </si>
  <si>
    <t>ABC096_C_GridRepainting2</t>
  </si>
  <si>
    <t>ABC098_C_Attention</t>
  </si>
  <si>
    <t>ABC114_C_755_1</t>
  </si>
  <si>
    <t>ABC114_C_755_2</t>
  </si>
  <si>
    <t>ABC114_C_755_ref1</t>
  </si>
  <si>
    <t>ABC124_C_ColoringColorfully</t>
  </si>
  <si>
    <t>ABC125_C_GCD_on_Blackboard</t>
  </si>
  <si>
    <t>ABC126_C_Dice_and_Coin</t>
  </si>
  <si>
    <t>ABC127_C_Prison</t>
  </si>
  <si>
    <t>ABC128_C_Switches</t>
  </si>
  <si>
    <t>ABC129_C_TypicalStairs</t>
  </si>
  <si>
    <t>ABC130_C_RectangleCutting</t>
  </si>
  <si>
    <t>ABC131_C_AntiDivision</t>
  </si>
  <si>
    <t>ABC132_C_Divide_the_Problems</t>
  </si>
  <si>
    <t>ABC133_C_RemainderMinimization2019</t>
  </si>
  <si>
    <t>ABC134_C_ExceptionHandling</t>
  </si>
  <si>
    <t>ABC135_C_CitySavers</t>
  </si>
  <si>
    <t>ABC136_C_BuildStairs</t>
  </si>
  <si>
    <t>ABC137_C_GreenBin</t>
  </si>
  <si>
    <t>ABC138_C_Alchemist</t>
  </si>
  <si>
    <t>ABC139_C_Lower</t>
  </si>
  <si>
    <t>ABC140_C_MaximalValue</t>
  </si>
  <si>
    <t>ABC141_C_AttackSrvival</t>
  </si>
  <si>
    <t>ABC142_C_GoToSchool</t>
  </si>
  <si>
    <t>ABC144_C_Walk_on_MultiplicationTable</t>
  </si>
  <si>
    <t>ABC145_C_AverageLength</t>
  </si>
  <si>
    <t>ABC146_C_Buy_an_Integer</t>
  </si>
  <si>
    <t>ABC147_C_Honest_or_Unkind2</t>
  </si>
  <si>
    <t>ABC148_C_Snack</t>
  </si>
  <si>
    <t>ABC150_C_CountOrder</t>
  </si>
  <si>
    <t>ABC151_C_Welcomt_to_AtCoder</t>
  </si>
  <si>
    <t>ABC152_C_LowElements</t>
  </si>
  <si>
    <t>ABC153_C_Fennec_vs_Monster</t>
  </si>
  <si>
    <t>ABC154_C_Distinct_or_Not</t>
  </si>
  <si>
    <t>ABC155_C_Poll</t>
  </si>
  <si>
    <t>ABC156_C_Rally</t>
  </si>
  <si>
    <t>ABC157_C_GessTheNumber</t>
  </si>
  <si>
    <t>ABC158_C_TaxIncrease</t>
  </si>
  <si>
    <t>ABC159_C_MaximumVolume</t>
  </si>
  <si>
    <t>ABC160_C_TravelingSalesman_around_Lake</t>
  </si>
  <si>
    <t>ABC161_C_ReplacingInteger</t>
  </si>
  <si>
    <t>ABC162_C_Sum_of_Gcd_of_Tuples</t>
  </si>
  <si>
    <t>ABC163_C_management</t>
  </si>
  <si>
    <t>ABC164_C_gacha</t>
  </si>
  <si>
    <t>ABC165_C_ManyRequirements</t>
  </si>
  <si>
    <t>ABC166_C_Peaks</t>
  </si>
  <si>
    <t>ABC167_C_SkillUp</t>
  </si>
  <si>
    <t>ABC169_C_Multiplication3</t>
  </si>
  <si>
    <t>ABC170_C_ForbiddenList</t>
  </si>
  <si>
    <t>ABC171_C_OneQuadrillion_and_OneDalmatians</t>
  </si>
  <si>
    <t>ABC172_C_Tsundoku</t>
  </si>
  <si>
    <t>ABC173_C_H_and_V</t>
    <phoneticPr fontId="2"/>
  </si>
  <si>
    <t>ABC123_C_FiveTransportations</t>
    <phoneticPr fontId="2"/>
  </si>
  <si>
    <t>ABC122_C_GeT_AC</t>
    <phoneticPr fontId="2"/>
  </si>
  <si>
    <t>ABC121_C_Energy Drink Collector</t>
    <phoneticPr fontId="2"/>
  </si>
  <si>
    <t>ABC120_C_Unification</t>
    <phoneticPr fontId="2"/>
  </si>
  <si>
    <t>ABC119_C_SyntheticKadomatsu</t>
    <phoneticPr fontId="2"/>
  </si>
  <si>
    <t>https://drken1215.hatenablog.com/entry/2019/02/24/224100</t>
  </si>
  <si>
    <t>ABC174_C_Repcept</t>
    <phoneticPr fontId="2"/>
  </si>
  <si>
    <t>ABC118_C_MonstersBattleRoyale</t>
    <phoneticPr fontId="2"/>
  </si>
  <si>
    <t>ABC117_C_Streamline</t>
    <phoneticPr fontId="2"/>
  </si>
  <si>
    <t>ABC116_C_GrandGarden</t>
    <phoneticPr fontId="2"/>
  </si>
  <si>
    <t>ABC115_C_ChristmasEve</t>
    <phoneticPr fontId="2"/>
  </si>
  <si>
    <t>ABC113_C_ID</t>
    <phoneticPr fontId="2"/>
  </si>
  <si>
    <t>・座標圧縮という手法がわからなかった</t>
    <rPh sb="1" eb="3">
      <t>ザヒョウ</t>
    </rPh>
    <rPh sb="3" eb="5">
      <t>アッシュク</t>
    </rPh>
    <rPh sb="8" eb="10">
      <t>シュホウ</t>
    </rPh>
    <phoneticPr fontId="2"/>
  </si>
  <si>
    <t>ABC175_C_WalkingTakahashi</t>
    <phoneticPr fontId="2"/>
  </si>
  <si>
    <t>ABC176_C_Step</t>
  </si>
  <si>
    <t>ABC112_C_Pyramid</t>
    <phoneticPr fontId="2"/>
  </si>
  <si>
    <t>https://drken1215.hatenablog.com/entry/2018/11/06/120500</t>
    <phoneticPr fontId="2"/>
  </si>
  <si>
    <t>ABC111_C_/VVV</t>
    <phoneticPr fontId="2"/>
  </si>
  <si>
    <t>ABC177_C_Sum_of_product_of_pairs</t>
    <phoneticPr fontId="2"/>
  </si>
  <si>
    <t>ABC110_C_StringTransformation</t>
  </si>
  <si>
    <t>https://img.atcoder.jp/abc110/editorial.pdf</t>
  </si>
  <si>
    <t>ABC109_C_Skip</t>
    <phoneticPr fontId="2"/>
  </si>
  <si>
    <t>ABC108_C_TrianglularRelationship</t>
    <phoneticPr fontId="2"/>
  </si>
  <si>
    <t>ABC107_C_Candles</t>
    <phoneticPr fontId="2"/>
  </si>
  <si>
    <t>解法のポイント</t>
    <rPh sb="0" eb="2">
      <t>カイホウ</t>
    </rPh>
    <phoneticPr fontId="2"/>
  </si>
  <si>
    <t>●Start座標と各点座標との差分(距離)について、最大公約数(GCD)を求める問題</t>
    <rPh sb="6" eb="8">
      <t>ザヒョウ</t>
    </rPh>
    <rPh sb="9" eb="11">
      <t>カクテン</t>
    </rPh>
    <rPh sb="11" eb="13">
      <t>ザヒョウ</t>
    </rPh>
    <rPh sb="15" eb="17">
      <t>サブン</t>
    </rPh>
    <rPh sb="18" eb="20">
      <t>キョリ</t>
    </rPh>
    <rPh sb="26" eb="28">
      <t>サイダイ</t>
    </rPh>
    <rPh sb="28" eb="31">
      <t>コウヤクスウ</t>
    </rPh>
    <rPh sb="37" eb="38">
      <t>モト</t>
    </rPh>
    <rPh sb="40" eb="42">
      <t>モンダイ</t>
    </rPh>
    <phoneticPr fontId="2"/>
  </si>
  <si>
    <t>"[C:\Users\roshi_000.000\MyImp\MyOwn\Develop\C++\At_Coder\◆C++_Language解説◆.xlsm]C++ Language解説!M4277"</t>
    <phoneticPr fontId="2"/>
  </si>
  <si>
    <t>ABC178_C_Ubiquity</t>
    <phoneticPr fontId="2"/>
  </si>
  <si>
    <t>http://satanic0258.hatenablog.com/entry/2016/04/10/104524</t>
  </si>
  <si>
    <t>・以下の規則がわからなかったため、解けなかった</t>
    <rPh sb="1" eb="3">
      <t>イカ</t>
    </rPh>
    <rPh sb="4" eb="6">
      <t>キソク</t>
    </rPh>
    <rPh sb="17" eb="18">
      <t>ト</t>
    </rPh>
    <phoneticPr fontId="2"/>
  </si>
  <si>
    <t>●10000円の枚数と5000円の枚数の２重ループ</t>
    <rPh sb="6" eb="7">
      <t>エン</t>
    </rPh>
    <rPh sb="8" eb="10">
      <t>マイスウ</t>
    </rPh>
    <rPh sb="15" eb="16">
      <t>エン</t>
    </rPh>
    <rPh sb="17" eb="19">
      <t>マイスウ</t>
    </rPh>
    <rPh sb="21" eb="22">
      <t>ジュウ</t>
    </rPh>
    <phoneticPr fontId="2"/>
  </si>
  <si>
    <t xml:space="preserve">   10000円の枚数と5000円の枚数が確定すると、1000円の枚数を必然的に確定する</t>
    <rPh sb="8" eb="9">
      <t>エン</t>
    </rPh>
    <rPh sb="10" eb="12">
      <t>マイスウ</t>
    </rPh>
    <rPh sb="17" eb="18">
      <t>エン</t>
    </rPh>
    <rPh sb="19" eb="21">
      <t>マイスウ</t>
    </rPh>
    <rPh sb="22" eb="24">
      <t>カクテイ</t>
    </rPh>
    <rPh sb="32" eb="33">
      <t>エン</t>
    </rPh>
    <rPh sb="34" eb="36">
      <t>マイスウ</t>
    </rPh>
    <rPh sb="37" eb="40">
      <t>ヒツゼンテキ</t>
    </rPh>
    <rPh sb="41" eb="43">
      <t>カクテイ</t>
    </rPh>
    <phoneticPr fontId="2"/>
  </si>
  <si>
    <t>●N本の内、K本のキャンドルの添え字を</t>
    <rPh sb="2" eb="3">
      <t>ホン</t>
    </rPh>
    <rPh sb="4" eb="5">
      <t>ウチ</t>
    </rPh>
    <rPh sb="7" eb="8">
      <t>ホン</t>
    </rPh>
    <rPh sb="15" eb="16">
      <t>ソ</t>
    </rPh>
    <rPh sb="17" eb="18">
      <t>ジ</t>
    </rPh>
    <phoneticPr fontId="2"/>
  </si>
  <si>
    <t>nLeft = 0, nRigt = nLeft + K - 1; を定義して</t>
    <rPh sb="35" eb="37">
      <t>テイギ</t>
    </rPh>
    <phoneticPr fontId="2"/>
  </si>
  <si>
    <t>while ( nLeft &lt; N  &amp;&amp;</t>
    <phoneticPr fontId="2"/>
  </si>
  <si>
    <t xml:space="preserve">            nRigt &lt; N        ) の間、処理を行い、K本のキャンドルに到達する最も小さい時間を算出する</t>
    <rPh sb="32" eb="33">
      <t>アイダ</t>
    </rPh>
    <rPh sb="34" eb="36">
      <t>ショリ</t>
    </rPh>
    <rPh sb="37" eb="38">
      <t>オコナ</t>
    </rPh>
    <rPh sb="41" eb="42">
      <t>ホン</t>
    </rPh>
    <rPh sb="49" eb="51">
      <t>トウタツ</t>
    </rPh>
    <rPh sb="53" eb="54">
      <t>モット</t>
    </rPh>
    <rPh sb="55" eb="56">
      <t>チイ</t>
    </rPh>
    <rPh sb="58" eb="60">
      <t>ジカン</t>
    </rPh>
    <rPh sb="61" eb="63">
      <t>サンシュツ</t>
    </rPh>
    <phoneticPr fontId="2"/>
  </si>
  <si>
    <t>・Kの倍数を求めるが、正整数の組(a, b, c) について</t>
    <rPh sb="3" eb="5">
      <t>バイスウ</t>
    </rPh>
    <rPh sb="6" eb="7">
      <t>モト</t>
    </rPh>
    <phoneticPr fontId="2"/>
  </si>
  <si>
    <t>●Kが奇数の場合、a, b,c  それぞれが K の倍数である必要がある</t>
    <rPh sb="3" eb="5">
      <t>キスウ</t>
    </rPh>
    <rPh sb="6" eb="8">
      <t>バアイ</t>
    </rPh>
    <rPh sb="26" eb="28">
      <t>バイスウ</t>
    </rPh>
    <rPh sb="31" eb="33">
      <t>ヒツヨウ</t>
    </rPh>
    <phoneticPr fontId="2"/>
  </si>
  <si>
    <t>●Kが偶数の場合、a, b, c それぞれが K の倍数であることと または</t>
    <rPh sb="3" eb="5">
      <t>グウスウ</t>
    </rPh>
    <rPh sb="6" eb="8">
      <t>バアイ</t>
    </rPh>
    <rPh sb="26" eb="28">
      <t>バイスウ</t>
    </rPh>
    <phoneticPr fontId="2"/>
  </si>
  <si>
    <t xml:space="preserve">                              a, b, c それぞれの 初項が K/2 公差 K の等差数列</t>
    <rPh sb="44" eb="46">
      <t>ショコウ</t>
    </rPh>
    <rPh sb="52" eb="54">
      <t>コウサ</t>
    </rPh>
    <rPh sb="58" eb="60">
      <t>トウサ</t>
    </rPh>
    <rPh sb="60" eb="62">
      <t>スウレツ</t>
    </rPh>
    <phoneticPr fontId="2"/>
  </si>
  <si>
    <t>でも条件が成り立つ</t>
    <rPh sb="2" eb="4">
      <t>ジョウケン</t>
    </rPh>
    <rPh sb="5" eb="6">
      <t>ナ</t>
    </rPh>
    <rPh sb="7" eb="8">
      <t>タ</t>
    </rPh>
    <phoneticPr fontId="2"/>
  </si>
  <si>
    <t>・2つの異なる英小文字 S, T を選び、S に含まれる全ての S を T に、T を S に置き換えて変換可能 ⇔</t>
    <rPh sb="52" eb="54">
      <t>ヘンカン</t>
    </rPh>
    <rPh sb="54" eb="56">
      <t>カノウ</t>
    </rPh>
    <phoneticPr fontId="2"/>
  </si>
  <si>
    <t xml:space="preserve">     (→対偶：Ti＝Tj ならば Si＝Sj )</t>
    <phoneticPr fontId="2"/>
  </si>
  <si>
    <t>・座標圧縮を行い、市について、県ごとの認識番号の小さい順の順番を取得する</t>
    <phoneticPr fontId="2"/>
  </si>
  <si>
    <t>・花の高さの配列を、高さ１ずつ横に見て行き、その塊りの数をカウントする</t>
    <rPh sb="1" eb="2">
      <t>ハナ</t>
    </rPh>
    <rPh sb="3" eb="4">
      <t>タカ</t>
    </rPh>
    <rPh sb="6" eb="8">
      <t>ハイレツ</t>
    </rPh>
    <rPh sb="10" eb="11">
      <t>タカ</t>
    </rPh>
    <rPh sb="15" eb="16">
      <t>ヨコ</t>
    </rPh>
    <rPh sb="17" eb="18">
      <t>ミ</t>
    </rPh>
    <rPh sb="19" eb="20">
      <t>イ</t>
    </rPh>
    <rPh sb="24" eb="25">
      <t>カタマ</t>
    </rPh>
    <rPh sb="27" eb="28">
      <t>カズ</t>
    </rPh>
    <phoneticPr fontId="2"/>
  </si>
  <si>
    <t>第１ループ</t>
    <rPh sb="0" eb="1">
      <t>ダイ</t>
    </rPh>
    <phoneticPr fontId="2"/>
  </si>
  <si>
    <t xml:space="preserve">   花の高さ配列を、高さ１ずつ横に見て行き、</t>
    <rPh sb="3" eb="4">
      <t>ハナ</t>
    </rPh>
    <rPh sb="5" eb="6">
      <t>タカ</t>
    </rPh>
    <rPh sb="7" eb="9">
      <t>ハイレツ</t>
    </rPh>
    <rPh sb="11" eb="12">
      <t>タカ</t>
    </rPh>
    <rPh sb="16" eb="17">
      <t>ヨコ</t>
    </rPh>
    <rPh sb="18" eb="19">
      <t>ミ</t>
    </rPh>
    <rPh sb="20" eb="21">
      <t>イ</t>
    </rPh>
    <phoneticPr fontId="2"/>
  </si>
  <si>
    <t xml:space="preserve">   前回カウントした塊り数≠今回カウントした塊り数 の間</t>
    <rPh sb="3" eb="5">
      <t>ゼンカイ</t>
    </rPh>
    <rPh sb="11" eb="12">
      <t>カタマ</t>
    </rPh>
    <rPh sb="13" eb="14">
      <t>スウ</t>
    </rPh>
    <rPh sb="15" eb="17">
      <t>コンカイ</t>
    </rPh>
    <rPh sb="23" eb="24">
      <t>カタマ</t>
    </rPh>
    <rPh sb="25" eb="26">
      <t>スウ</t>
    </rPh>
    <rPh sb="28" eb="29">
      <t>アイダ</t>
    </rPh>
    <phoneticPr fontId="2"/>
  </si>
  <si>
    <t xml:space="preserve">   (今回カウントした塊り数が存在する間) 処理を行う</t>
    <rPh sb="4" eb="6">
      <t>コンカイ</t>
    </rPh>
    <rPh sb="12" eb="13">
      <t>カタマ</t>
    </rPh>
    <rPh sb="14" eb="15">
      <t>カズ</t>
    </rPh>
    <rPh sb="16" eb="18">
      <t>ソンザイ</t>
    </rPh>
    <rPh sb="20" eb="21">
      <t>アイダ</t>
    </rPh>
    <rPh sb="23" eb="25">
      <t>ショリ</t>
    </rPh>
    <rPh sb="26" eb="27">
      <t>オコナ</t>
    </rPh>
    <phoneticPr fontId="2"/>
  </si>
  <si>
    <t xml:space="preserve">   第２ループ</t>
    <rPh sb="3" eb="4">
      <t>ダイ</t>
    </rPh>
    <phoneticPr fontId="2"/>
  </si>
  <si>
    <t xml:space="preserve">      花の高さ配列を、高さ１ずつ横に見て行くとき、</t>
    <phoneticPr fontId="2"/>
  </si>
  <si>
    <t xml:space="preserve">      ベースインデックス(nBgn)が高さ配列のサイズ以内の間、処理を行う</t>
    <rPh sb="22" eb="23">
      <t>タカ</t>
    </rPh>
    <rPh sb="24" eb="26">
      <t>ハイレツ</t>
    </rPh>
    <rPh sb="30" eb="32">
      <t>イナイ</t>
    </rPh>
    <rPh sb="33" eb="34">
      <t>アイダ</t>
    </rPh>
    <rPh sb="35" eb="37">
      <t>ショリ</t>
    </rPh>
    <rPh sb="38" eb="39">
      <t>オコナ</t>
    </rPh>
    <phoneticPr fontId="2"/>
  </si>
  <si>
    <t xml:space="preserve">      第３ループ</t>
    <rPh sb="6" eb="7">
      <t>ダイ</t>
    </rPh>
    <phoneticPr fontId="2"/>
  </si>
  <si>
    <t xml:space="preserve">         ベースインデックス(nBgn)からスタートしたフォワードインデックスが</t>
    <phoneticPr fontId="2"/>
  </si>
  <si>
    <t xml:space="preserve">         高さ配列のサイズ以内 かつ 高さ１の塊りがある間、高さ１を減らし、</t>
    <rPh sb="9" eb="10">
      <t>タカ</t>
    </rPh>
    <rPh sb="11" eb="13">
      <t>ハイレツ</t>
    </rPh>
    <rPh sb="17" eb="19">
      <t>イナイ</t>
    </rPh>
    <rPh sb="23" eb="24">
      <t>タカ</t>
    </rPh>
    <rPh sb="27" eb="28">
      <t>カタマ</t>
    </rPh>
    <rPh sb="32" eb="33">
      <t>アイダ</t>
    </rPh>
    <rPh sb="34" eb="35">
      <t>タカ</t>
    </rPh>
    <rPh sb="38" eb="39">
      <t>ヘ</t>
    </rPh>
    <phoneticPr fontId="2"/>
  </si>
  <si>
    <t xml:space="preserve">         フォワードインデックスをインクリメントする</t>
    <phoneticPr fontId="2"/>
  </si>
  <si>
    <t xml:space="preserve">      ●ベースインデックス≠フォワードインデックスのとき、塊り数をインクリメントする</t>
    <rPh sb="32" eb="33">
      <t>カタマ</t>
    </rPh>
    <rPh sb="34" eb="35">
      <t>スウ</t>
    </rPh>
    <phoneticPr fontId="2"/>
  </si>
  <si>
    <t>・M個の座標を昇順に sort し、各座標の距離を算出し、その距離を昇順に sort する</t>
    <rPh sb="2" eb="3">
      <t>コ</t>
    </rPh>
    <rPh sb="4" eb="6">
      <t>ザヒョウ</t>
    </rPh>
    <rPh sb="7" eb="9">
      <t>ショウジュン</t>
    </rPh>
    <rPh sb="18" eb="19">
      <t>カク</t>
    </rPh>
    <rPh sb="19" eb="21">
      <t>ザヒョウ</t>
    </rPh>
    <rPh sb="22" eb="24">
      <t>キョリ</t>
    </rPh>
    <rPh sb="25" eb="27">
      <t>サンシュツ</t>
    </rPh>
    <rPh sb="31" eb="33">
      <t>キョリ</t>
    </rPh>
    <rPh sb="34" eb="36">
      <t>ショウジュン</t>
    </rPh>
    <phoneticPr fontId="2"/>
  </si>
  <si>
    <t>座標間の距離が大きい順に N-1 箇所の区切りを入れるということが思いつかなかった</t>
    <rPh sb="0" eb="2">
      <t>ザヒョウ</t>
    </rPh>
    <rPh sb="2" eb="3">
      <t>カン</t>
    </rPh>
    <rPh sb="4" eb="6">
      <t>キョリ</t>
    </rPh>
    <rPh sb="7" eb="8">
      <t>オオ</t>
    </rPh>
    <rPh sb="10" eb="11">
      <t>ジュン</t>
    </rPh>
    <rPh sb="17" eb="19">
      <t>カショ</t>
    </rPh>
    <rPh sb="20" eb="22">
      <t>クギ</t>
    </rPh>
    <rPh sb="24" eb="25">
      <t>イ</t>
    </rPh>
    <rPh sb="33" eb="34">
      <t>オモ</t>
    </rPh>
    <phoneticPr fontId="2"/>
  </si>
  <si>
    <t>●vector&lt;int&gt;の全要素を sort することなく、先頭から順番に GCD を算出</t>
    <rPh sb="13" eb="16">
      <t>ゼンヨウソ</t>
    </rPh>
    <rPh sb="30" eb="32">
      <t>セントウ</t>
    </rPh>
    <rPh sb="34" eb="36">
      <t>ジュンバン</t>
    </rPh>
    <rPh sb="43" eb="45">
      <t>サンシュツ</t>
    </rPh>
    <phoneticPr fontId="2"/>
  </si>
  <si>
    <t>●GCDを求めるロジックは 再帰関数にする</t>
    <rPh sb="5" eb="6">
      <t>モト</t>
    </rPh>
    <rPh sb="14" eb="16">
      <t>サイキ</t>
    </rPh>
    <rPh sb="16" eb="18">
      <t>カンスウ</t>
    </rPh>
    <phoneticPr fontId="2"/>
  </si>
  <si>
    <t>自解答</t>
    <rPh sb="0" eb="1">
      <t>ジ</t>
    </rPh>
    <rPh sb="1" eb="3">
      <t>カイトウ</t>
    </rPh>
    <phoneticPr fontId="2"/>
  </si>
  <si>
    <t>・GCDを求めるロジックは忠実にユークリッドの互除法を実装した</t>
    <rPh sb="5" eb="6">
      <t>モト</t>
    </rPh>
    <rPh sb="13" eb="15">
      <t>チュウジツ</t>
    </rPh>
    <rPh sb="23" eb="26">
      <t>ゴジョホウ</t>
    </rPh>
    <rPh sb="27" eb="29">
      <t>ジッソウ</t>
    </rPh>
    <phoneticPr fontId="2"/>
  </si>
  <si>
    <t>模範解答</t>
    <rPh sb="0" eb="2">
      <t>モハン</t>
    </rPh>
    <rPh sb="2" eb="4">
      <t>カイトウ</t>
    </rPh>
    <phoneticPr fontId="2"/>
  </si>
  <si>
    <t>・vector&lt;int&gt;の全要素を sort することなく、先頭から順番に GCD を算出</t>
    <phoneticPr fontId="2"/>
  </si>
  <si>
    <t>・GCDを求めるロジックは 再帰関数にした</t>
    <phoneticPr fontId="2"/>
  </si>
  <si>
    <t>当問題は</t>
    <rPh sb="0" eb="1">
      <t>トウ</t>
    </rPh>
    <rPh sb="1" eb="3">
      <t>モンダイ</t>
    </rPh>
    <phoneticPr fontId="2"/>
  </si>
  <si>
    <t>●Dfs で解く</t>
    <rPh sb="6" eb="7">
      <t>ト</t>
    </rPh>
    <phoneticPr fontId="2"/>
  </si>
  <si>
    <t>●４進法 で解く</t>
    <rPh sb="2" eb="4">
      <t>シンホウ</t>
    </rPh>
    <rPh sb="6" eb="7">
      <t>ト</t>
    </rPh>
    <phoneticPr fontId="2"/>
  </si>
  <si>
    <t>汎用的なのは Dfs で解く</t>
    <rPh sb="0" eb="2">
      <t>ハンヨウ</t>
    </rPh>
    <rPh sb="2" eb="3">
      <t>テキ</t>
    </rPh>
    <rPh sb="12" eb="13">
      <t>ト</t>
    </rPh>
    <phoneticPr fontId="2"/>
  </si>
  <si>
    <t>（材料がA,B,C,D,なし の５種類になったら５進法で解かねばならないが、５進法だと難しい）</t>
    <rPh sb="1" eb="3">
      <t>ザイリョウ</t>
    </rPh>
    <rPh sb="17" eb="19">
      <t>シュルイ</t>
    </rPh>
    <rPh sb="25" eb="27">
      <t>シンホウ</t>
    </rPh>
    <rPh sb="28" eb="29">
      <t>ト</t>
    </rPh>
    <rPh sb="39" eb="41">
      <t>シンホウ</t>
    </rPh>
    <rPh sb="43" eb="44">
      <t>ムズカ</t>
    </rPh>
    <phoneticPr fontId="2"/>
  </si>
  <si>
    <t>解答を参考に、Dfs で解くことを知り、自分なりに Dfs で解いた。</t>
    <rPh sb="0" eb="2">
      <t>カイトウ</t>
    </rPh>
    <rPh sb="3" eb="5">
      <t>サンコウ</t>
    </rPh>
    <rPh sb="12" eb="13">
      <t>ト</t>
    </rPh>
    <rPh sb="17" eb="18">
      <t>シ</t>
    </rPh>
    <rPh sb="20" eb="22">
      <t>ジブン</t>
    </rPh>
    <rPh sb="31" eb="32">
      <t>ト</t>
    </rPh>
    <phoneticPr fontId="2"/>
  </si>
  <si>
    <t>AC獲得後、以下のｗｅｂページで解き方を参考にして、自分の Dfs を</t>
    <rPh sb="2" eb="4">
      <t>カクトク</t>
    </rPh>
    <rPh sb="4" eb="5">
      <t>ゴ</t>
    </rPh>
    <rPh sb="6" eb="8">
      <t>イカ</t>
    </rPh>
    <rPh sb="16" eb="17">
      <t>ト</t>
    </rPh>
    <rPh sb="18" eb="19">
      <t>カタ</t>
    </rPh>
    <rPh sb="20" eb="22">
      <t>サンコウ</t>
    </rPh>
    <rPh sb="26" eb="28">
      <t>ジブン</t>
    </rPh>
    <phoneticPr fontId="2"/>
  </si>
  <si>
    <t>修正した</t>
    <rPh sb="0" eb="2">
      <t>シュウセイ</t>
    </rPh>
    <phoneticPr fontId="2"/>
  </si>
  <si>
    <t>2. Dfs で一番最初に 現在の材料（cnrvnMatLen[nDpth] ）を使用</t>
    <rPh sb="8" eb="10">
      <t>イチバン</t>
    </rPh>
    <rPh sb="10" eb="12">
      <t>サイショ</t>
    </rPh>
    <rPh sb="14" eb="16">
      <t>ゲンザイ</t>
    </rPh>
    <rPh sb="17" eb="19">
      <t>ザイリョウ</t>
    </rPh>
    <rPh sb="41" eb="43">
      <t>シヨウ</t>
    </rPh>
    <phoneticPr fontId="2"/>
  </si>
  <si>
    <t>しない場合を一番最初に移動した</t>
    <rPh sb="3" eb="5">
      <t>バアイ</t>
    </rPh>
    <rPh sb="6" eb="8">
      <t>イチバン</t>
    </rPh>
    <rPh sb="8" eb="10">
      <t>サイショ</t>
    </rPh>
    <rPh sb="11" eb="13">
      <t>イドウ</t>
    </rPh>
    <phoneticPr fontId="2"/>
  </si>
  <si>
    <t>修正点</t>
    <rPh sb="0" eb="3">
      <t>シュウセイテン</t>
    </rPh>
    <phoneticPr fontId="2"/>
  </si>
  <si>
    <t>1. 材料情報（StMatrl）に材料本数を保有するのを廃止</t>
    <phoneticPr fontId="2"/>
  </si>
  <si>
    <t>●'0' - '0' == 0, '1' - '0' == 1 を利用して実装</t>
    <rPh sb="33" eb="35">
      <t>リヨウ</t>
    </rPh>
    <rPh sb="37" eb="39">
      <t>ジッソウ</t>
    </rPh>
    <phoneticPr fontId="2"/>
  </si>
  <si>
    <t xml:space="preserve">  vector&lt;int&gt; vnColor(2);</t>
    <phoneticPr fontId="2"/>
  </si>
  <si>
    <t xml:space="preserve">  return min(vnColor[0], vnColor[1]) * 2;</t>
    <phoneticPr fontId="2"/>
  </si>
  <si>
    <t>・map&lt;価格, 個数&gt;で実装可能</t>
    <phoneticPr fontId="2"/>
  </si>
  <si>
    <t>map[ 価格[n] ] += 個数[n]; としてやれば、同一価格（価格[n] ）</t>
    <phoneticPr fontId="2"/>
  </si>
  <si>
    <t>の場合、個数（個数[n] ） を加算することができる</t>
    <phoneticPr fontId="2"/>
  </si>
  <si>
    <t>累積和を初めて学んだ</t>
    <rPh sb="0" eb="2">
      <t>ルイセキ</t>
    </rPh>
    <rPh sb="2" eb="3">
      <t>ワ</t>
    </rPh>
    <rPh sb="4" eb="5">
      <t>ハジ</t>
    </rPh>
    <rPh sb="7" eb="8">
      <t>マナ</t>
    </rPh>
    <phoneticPr fontId="2"/>
  </si>
  <si>
    <t>左記の通り</t>
    <rPh sb="0" eb="2">
      <t>サキ</t>
    </rPh>
    <rPh sb="3" eb="4">
      <t>トオ</t>
    </rPh>
    <phoneticPr fontId="2"/>
  </si>
  <si>
    <t>●累積和の配列は和をとる基の配列のサイズ＋１で定義する</t>
    <phoneticPr fontId="2"/>
  </si>
  <si>
    <t>累積和配列に "AC" の出現個数を保有し、Q個の質問に対して、計算で算出</t>
    <phoneticPr fontId="2"/>
  </si>
  <si>
    <t>・実際に人を移動するロジック</t>
    <rPh sb="1" eb="3">
      <t>ジッサイ</t>
    </rPh>
    <rPh sb="4" eb="5">
      <t>ヒト</t>
    </rPh>
    <rPh sb="6" eb="8">
      <t>イドウ</t>
    </rPh>
    <phoneticPr fontId="2"/>
  </si>
  <si>
    <t>先頭からのcolor文字列が0,1,･･･と1,0,･･･のみを考えておけば十分である</t>
    <rPh sb="0" eb="2">
      <t>セントウ</t>
    </rPh>
    <rPh sb="32" eb="33">
      <t>カンガ</t>
    </rPh>
    <rPh sb="38" eb="40">
      <t>ジュウブン</t>
    </rPh>
    <phoneticPr fontId="2"/>
  </si>
  <si>
    <t>(0,1の交互の並び方は２通りしかないため)</t>
    <rPh sb="5" eb="7">
      <t>コウゴ</t>
    </rPh>
    <rPh sb="8" eb="9">
      <t>ナラ</t>
    </rPh>
    <rPh sb="10" eb="11">
      <t>カタ</t>
    </rPh>
    <rPh sb="13" eb="14">
      <t>トオ</t>
    </rPh>
    <phoneticPr fontId="2"/>
  </si>
  <si>
    <t>・２数のGCDを求めるロジックは 再帰関数にした</t>
    <rPh sb="2" eb="3">
      <t>スウ</t>
    </rPh>
    <phoneticPr fontId="2"/>
  </si>
  <si>
    <t>２数のGCDを求めるロジック部分は忠実にユークリッドの互除法を実装した</t>
    <rPh sb="1" eb="2">
      <t>スウ</t>
    </rPh>
    <rPh sb="14" eb="16">
      <t>ブブン</t>
    </rPh>
    <phoneticPr fontId="2"/>
  </si>
  <si>
    <t>・double型の精度は10進数で15桁となる</t>
    <rPh sb="7" eb="8">
      <t>ガタ</t>
    </rPh>
    <rPh sb="9" eb="11">
      <t>セイド</t>
    </rPh>
    <rPh sb="14" eb="16">
      <t>シンスウ</t>
    </rPh>
    <rPh sb="19" eb="20">
      <t>ケタ</t>
    </rPh>
    <phoneticPr fontId="2"/>
  </si>
  <si>
    <t>int型×double型で計算すると、精度が16桁となり、精度が足りない</t>
    <rPh sb="3" eb="4">
      <t>ガタ</t>
    </rPh>
    <rPh sb="11" eb="12">
      <t>ガタ</t>
    </rPh>
    <rPh sb="13" eb="15">
      <t>ケイサン</t>
    </rPh>
    <rPh sb="19" eb="21">
      <t>セイド</t>
    </rPh>
    <rPh sb="24" eb="25">
      <t>ケタ</t>
    </rPh>
    <rPh sb="29" eb="31">
      <t>セイド</t>
    </rPh>
    <rPh sb="32" eb="33">
      <t>タ</t>
    </rPh>
    <phoneticPr fontId="2"/>
  </si>
  <si>
    <t>・そこで double型(少数点以下2桁)を100倍して int型に変換する</t>
    <rPh sb="11" eb="12">
      <t>ガタ</t>
    </rPh>
    <rPh sb="13" eb="15">
      <t>ショウスウ</t>
    </rPh>
    <rPh sb="15" eb="16">
      <t>テン</t>
    </rPh>
    <rPh sb="16" eb="18">
      <t>イカ</t>
    </rPh>
    <rPh sb="19" eb="20">
      <t>ケタ</t>
    </rPh>
    <rPh sb="25" eb="26">
      <t>バイ</t>
    </rPh>
    <rPh sb="32" eb="33">
      <t>ガタ</t>
    </rPh>
    <rPh sb="34" eb="36">
      <t>ヘンカン</t>
    </rPh>
    <phoneticPr fontId="2"/>
  </si>
  <si>
    <t>このときも誤差が生じるため、0.5 を加算する</t>
    <rPh sb="5" eb="7">
      <t>ゴサ</t>
    </rPh>
    <rPh sb="8" eb="9">
      <t>ショウ</t>
    </rPh>
    <rPh sb="19" eb="21">
      <t>カサン</t>
    </rPh>
    <phoneticPr fontId="2"/>
  </si>
  <si>
    <t>(∵) double型のような浮動小数点数型は、値を2進数で格納しているが、ほとんどの10進数の小数は2進数で、</t>
    <phoneticPr fontId="2"/>
  </si>
  <si>
    <t>そのためこのような値は float型や double型では近似値でしか表現することができず、その誤差が上記のような</t>
    <phoneticPr fontId="2"/>
  </si>
  <si>
    <t>非常識的な計算結果として現れる</t>
    <phoneticPr fontId="2"/>
  </si>
  <si>
    <t>・10の位以上を考えるときも、N /= 10; として、上記と同様に考える</t>
    <rPh sb="4" eb="5">
      <t>クライ</t>
    </rPh>
    <rPh sb="5" eb="7">
      <t>イジョウ</t>
    </rPh>
    <rPh sb="8" eb="9">
      <t>カンガ</t>
    </rPh>
    <rPh sb="28" eb="30">
      <t>ジョウキ</t>
    </rPh>
    <rPh sb="31" eb="33">
      <t>ドウヨウ</t>
    </rPh>
    <rPh sb="34" eb="35">
      <t>カンガ</t>
    </rPh>
    <phoneticPr fontId="2"/>
  </si>
  <si>
    <t>自解答</t>
    <rPh sb="0" eb="3">
      <t>ジカイトウ</t>
    </rPh>
    <phoneticPr fontId="2"/>
  </si>
  <si>
    <t xml:space="preserve">  llong nCumlSum = 0;</t>
    <phoneticPr fontId="2"/>
  </si>
  <si>
    <t xml:space="preserve">  {</t>
    <phoneticPr fontId="2"/>
  </si>
  <si>
    <t xml:space="preserve">    nSumOfMultpl %= cnnMod;</t>
    <phoneticPr fontId="2"/>
  </si>
  <si>
    <t xml:space="preserve">  }</t>
    <phoneticPr fontId="2"/>
  </si>
  <si>
    <t>より</t>
    <phoneticPr fontId="2"/>
  </si>
  <si>
    <t>包除原理により、以下を利用する</t>
  </si>
  <si>
    <t>×</t>
    <phoneticPr fontId="2"/>
  </si>
  <si>
    <t>以下①で既に、long long 型演算でもオーバーフローした</t>
  </si>
  <si>
    <t>上記を改善するため、以下②で 1e9+7 で mod をとったが int 型であったため</t>
  </si>
  <si>
    <t>○</t>
    <phoneticPr fontId="2"/>
  </si>
  <si>
    <t>③の乗算要素を 1e9+7 で mod をとった後、演算して正解</t>
  </si>
  <si>
    <r>
      <t xml:space="preserve">    nSumOfMultpl += </t>
    </r>
    <r>
      <rPr>
        <sz val="9"/>
        <color rgb="FFFF0000"/>
        <rFont val="Meiryo UI"/>
        <family val="3"/>
        <charset val="128"/>
      </rPr>
      <t>cnrvnNum[i] * nCumlSum</t>
    </r>
    <r>
      <rPr>
        <sz val="9"/>
        <color theme="1"/>
        <rFont val="Meiryo UI"/>
        <family val="3"/>
        <charset val="128"/>
      </rPr>
      <t>;  ・・・①</t>
    </r>
    <phoneticPr fontId="2"/>
  </si>
  <si>
    <r>
      <t xml:space="preserve">③で </t>
    </r>
    <r>
      <rPr>
        <sz val="10"/>
        <color rgb="FFFF0000"/>
        <rFont val="Meiryo UI"/>
        <family val="3"/>
        <charset val="128"/>
      </rPr>
      <t>int 型演算</t>
    </r>
    <r>
      <rPr>
        <sz val="10"/>
        <color theme="1"/>
        <rFont val="Meiryo UI"/>
        <family val="3"/>
        <charset val="128"/>
      </rPr>
      <t xml:space="preserve">して </t>
    </r>
    <r>
      <rPr>
        <sz val="10"/>
        <color rgb="FFFF0000"/>
        <rFont val="Meiryo UI"/>
        <family val="3"/>
        <charset val="128"/>
      </rPr>
      <t>オーバーフローした</t>
    </r>
    <rPh sb="7" eb="8">
      <t>ガタ</t>
    </rPh>
    <rPh sb="8" eb="10">
      <t>エンザン</t>
    </rPh>
    <phoneticPr fontId="2"/>
  </si>
  <si>
    <r>
      <rPr>
        <b/>
        <sz val="10"/>
        <color rgb="FF0000FF"/>
        <rFont val="Meiryo UI"/>
        <family val="3"/>
        <charset val="128"/>
      </rPr>
      <t xml:space="preserve">long long </t>
    </r>
    <r>
      <rPr>
        <b/>
        <sz val="10"/>
        <rFont val="Meiryo UI"/>
        <family val="3"/>
        <charset val="128"/>
      </rPr>
      <t>に</t>
    </r>
    <r>
      <rPr>
        <b/>
        <sz val="10"/>
        <color rgb="FF0000FF"/>
        <rFont val="Meiryo UI"/>
        <family val="3"/>
        <charset val="128"/>
      </rPr>
      <t>キャスト</t>
    </r>
    <r>
      <rPr>
        <b/>
        <sz val="10"/>
        <rFont val="Meiryo UI"/>
        <family val="3"/>
        <charset val="128"/>
      </rPr>
      <t>すれば</t>
    </r>
    <r>
      <rPr>
        <b/>
        <sz val="10"/>
        <color rgb="FF0000FF"/>
        <rFont val="Meiryo UI"/>
        <family val="3"/>
        <charset val="128"/>
      </rPr>
      <t>正解</t>
    </r>
    <r>
      <rPr>
        <sz val="10"/>
        <color theme="1"/>
        <rFont val="Meiryo UI"/>
        <family val="3"/>
        <charset val="128"/>
      </rPr>
      <t>だった</t>
    </r>
    <rPh sb="18" eb="20">
      <t>セイカイ</t>
    </rPh>
    <phoneticPr fontId="2"/>
  </si>
  <si>
    <r>
      <rPr>
        <sz val="10"/>
        <color rgb="FF0000FF"/>
        <rFont val="Meiryo UI"/>
        <family val="3"/>
        <charset val="128"/>
      </rPr>
      <t>nCumlSum</t>
    </r>
    <r>
      <rPr>
        <sz val="10"/>
        <rFont val="Meiryo UI"/>
        <family val="3"/>
        <charset val="128"/>
      </rPr>
      <t xml:space="preserve"> が </t>
    </r>
    <r>
      <rPr>
        <sz val="10"/>
        <color rgb="FF0000FF"/>
        <rFont val="Meiryo UI"/>
        <family val="3"/>
        <charset val="128"/>
      </rPr>
      <t>long long型</t>
    </r>
    <r>
      <rPr>
        <sz val="10"/>
        <rFont val="Meiryo UI"/>
        <family val="3"/>
        <charset val="128"/>
      </rPr>
      <t>なので、</t>
    </r>
    <r>
      <rPr>
        <sz val="10"/>
        <color rgb="FF0000FF"/>
        <rFont val="Meiryo UI"/>
        <family val="3"/>
        <charset val="128"/>
      </rPr>
      <t>暗黙の型変換</t>
    </r>
    <r>
      <rPr>
        <sz val="10"/>
        <rFont val="Meiryo UI"/>
        <family val="3"/>
        <charset val="128"/>
      </rPr>
      <t xml:space="preserve">で </t>
    </r>
    <r>
      <rPr>
        <sz val="10"/>
        <color rgb="FF0000FF"/>
        <rFont val="Meiryo UI"/>
        <family val="3"/>
        <charset val="128"/>
      </rPr>
      <t>計算</t>
    </r>
    <r>
      <rPr>
        <sz val="10"/>
        <rFont val="Meiryo UI"/>
        <family val="3"/>
        <charset val="128"/>
      </rPr>
      <t>を l</t>
    </r>
    <r>
      <rPr>
        <sz val="10"/>
        <color rgb="FF0000FF"/>
        <rFont val="Meiryo UI"/>
        <family val="3"/>
        <charset val="128"/>
      </rPr>
      <t>ong long型演算</t>
    </r>
    <r>
      <rPr>
        <sz val="10"/>
        <rFont val="Meiryo UI"/>
        <family val="3"/>
        <charset val="128"/>
      </rPr>
      <t>を行う</t>
    </r>
    <rPh sb="20" eb="21">
      <t>ガタ</t>
    </rPh>
    <rPh sb="25" eb="27">
      <t>アンモク</t>
    </rPh>
    <rPh sb="28" eb="29">
      <t>カタ</t>
    </rPh>
    <rPh sb="29" eb="31">
      <t>ヘンカン</t>
    </rPh>
    <rPh sb="33" eb="35">
      <t>ケイサン</t>
    </rPh>
    <rPh sb="46" eb="47">
      <t>ガタ</t>
    </rPh>
    <rPh sb="47" eb="49">
      <t>エンザン</t>
    </rPh>
    <rPh sb="50" eb="51">
      <t>オコナ</t>
    </rPh>
    <phoneticPr fontId="2"/>
  </si>
  <si>
    <t>● Si＝Sj ならば Ti＝Tj   ：同じ文字は同じ文字に変換される</t>
    <phoneticPr fontId="2"/>
  </si>
  <si>
    <t>● Si≠Sj ならば Ti≠Tj   ：異なる文字は異なる文字に変換される</t>
    <phoneticPr fontId="2"/>
  </si>
  <si>
    <r>
      <t>●</t>
    </r>
    <r>
      <rPr>
        <b/>
        <sz val="10"/>
        <color theme="1"/>
        <rFont val="Meiryo UI"/>
        <family val="3"/>
        <charset val="128"/>
      </rPr>
      <t>累積和配列のindexについてはソースコードにコメントで</t>
    </r>
    <rPh sb="1" eb="3">
      <t>ルイセキ</t>
    </rPh>
    <rPh sb="3" eb="4">
      <t>ワ</t>
    </rPh>
    <rPh sb="4" eb="6">
      <t>ハイレツ</t>
    </rPh>
    <phoneticPr fontId="2"/>
  </si>
  <si>
    <r>
      <t xml:space="preserve">   </t>
    </r>
    <r>
      <rPr>
        <b/>
        <sz val="10"/>
        <color theme="1"/>
        <rFont val="Meiryo UI"/>
        <family val="3"/>
        <charset val="128"/>
      </rPr>
      <t>①累積和index, ②文字列位置, ③文字列, ④文字列index を記載</t>
    </r>
    <r>
      <rPr>
        <sz val="10"/>
        <color theme="1"/>
        <rFont val="Meiryo UI"/>
        <family val="3"/>
        <charset val="128"/>
      </rPr>
      <t>すれば</t>
    </r>
    <r>
      <rPr>
        <b/>
        <sz val="10"/>
        <color theme="1"/>
        <rFont val="Meiryo UI"/>
        <family val="3"/>
        <charset val="128"/>
      </rPr>
      <t>明確</t>
    </r>
    <r>
      <rPr>
        <sz val="10"/>
        <color theme="1"/>
        <rFont val="Meiryo UI"/>
        <family val="3"/>
        <charset val="128"/>
      </rPr>
      <t>になる</t>
    </r>
    <rPh sb="29" eb="31">
      <t>キサイ</t>
    </rPh>
    <rPh sb="34" eb="36">
      <t>メイカク</t>
    </rPh>
    <phoneticPr fontId="2"/>
  </si>
  <si>
    <r>
      <t>A</t>
    </r>
    <r>
      <rPr>
        <vertAlign val="subscript"/>
        <sz val="10"/>
        <color theme="1"/>
        <rFont val="Meiryo UI"/>
        <family val="3"/>
        <charset val="128"/>
      </rPr>
      <t>i</t>
    </r>
    <r>
      <rPr>
        <sz val="10"/>
        <color theme="1"/>
        <rFont val="Meiryo UI"/>
        <family val="3"/>
        <charset val="128"/>
      </rPr>
      <t xml:space="preserve"> を書き換えて出来る max GCDは gcd（L(i), R(i)) で算出</t>
    </r>
    <rPh sb="39" eb="41">
      <t>サンシュツ</t>
    </rPh>
    <phoneticPr fontId="2"/>
  </si>
  <si>
    <t>https://qiita.com/ganariya/items/33f1326154b85db465c3</t>
  </si>
  <si>
    <t>・文字列の後ろから指定された４つの単語を一つずつ検索していく</t>
    <rPh sb="1" eb="4">
      <t>モジレツ</t>
    </rPh>
    <rPh sb="5" eb="6">
      <t>ウシ</t>
    </rPh>
    <rPh sb="9" eb="11">
      <t>シテイ</t>
    </rPh>
    <rPh sb="17" eb="19">
      <t>タンゴ</t>
    </rPh>
    <rPh sb="20" eb="21">
      <t>ヒト</t>
    </rPh>
    <rPh sb="24" eb="26">
      <t>ケンサク</t>
    </rPh>
    <phoneticPr fontId="2"/>
  </si>
  <si>
    <t>L(i) := A1, A2, ..., Ai−1のGCD</t>
  </si>
  <si>
    <t>R(i) :=  Ai+1, ..., AnのGCD</t>
  </si>
  <si>
    <r>
      <t>・2≦N≦10</t>
    </r>
    <r>
      <rPr>
        <vertAlign val="superscript"/>
        <sz val="10"/>
        <color theme="1"/>
        <rFont val="Meiryo UI"/>
        <family val="3"/>
        <charset val="128"/>
      </rPr>
      <t>5</t>
    </r>
    <r>
      <rPr>
        <sz val="10"/>
        <color theme="1"/>
        <rFont val="Meiryo UI"/>
        <family val="3"/>
        <charset val="128"/>
      </rPr>
      <t xml:space="preserve"> の個数の数のGCDを算出するので、解法が思いつかなかった</t>
    </r>
    <rPh sb="10" eb="12">
      <t>コスウ</t>
    </rPh>
    <rPh sb="13" eb="14">
      <t>スウ</t>
    </rPh>
    <rPh sb="19" eb="21">
      <t>サンシュツ</t>
    </rPh>
    <rPh sb="26" eb="28">
      <t>カイホウ</t>
    </rPh>
    <rPh sb="29" eb="30">
      <t>オモ</t>
    </rPh>
    <phoneticPr fontId="2"/>
  </si>
  <si>
    <t>・文字の変換表がどのように作成されれば、変換可能であるのか解からなかった</t>
    <rPh sb="1" eb="3">
      <t>モジ</t>
    </rPh>
    <rPh sb="4" eb="6">
      <t>ヘンカン</t>
    </rPh>
    <rPh sb="6" eb="7">
      <t>ヒョウ</t>
    </rPh>
    <rPh sb="13" eb="15">
      <t>サクセイ</t>
    </rPh>
    <rPh sb="20" eb="22">
      <t>ヘンカン</t>
    </rPh>
    <rPh sb="22" eb="24">
      <t>カノウ</t>
    </rPh>
    <rPh sb="29" eb="30">
      <t>ワ</t>
    </rPh>
    <phoneticPr fontId="2"/>
  </si>
  <si>
    <t>・偶数列、奇数列のそれぞれにおいて、最頻値、出現回数と2番目の最頻値、出現回数を取得し、奇数列と偶数列の最頻値が</t>
    <rPh sb="1" eb="3">
      <t>グウスウ</t>
    </rPh>
    <rPh sb="3" eb="4">
      <t>レツ</t>
    </rPh>
    <rPh sb="5" eb="7">
      <t>キスウ</t>
    </rPh>
    <rPh sb="7" eb="8">
      <t>レツ</t>
    </rPh>
    <rPh sb="18" eb="21">
      <t>サイヒンチ</t>
    </rPh>
    <rPh sb="22" eb="24">
      <t>シュツゲン</t>
    </rPh>
    <rPh sb="24" eb="26">
      <t>カイスウ</t>
    </rPh>
    <rPh sb="28" eb="30">
      <t>バンメ</t>
    </rPh>
    <rPh sb="31" eb="34">
      <t>サイヒンチ</t>
    </rPh>
    <phoneticPr fontId="2"/>
  </si>
  <si>
    <t>等しい場合、上記の組合せで、書換回数の最小値を算出することが解からなかった</t>
    <rPh sb="6" eb="8">
      <t>ジョウキ</t>
    </rPh>
    <rPh sb="9" eb="11">
      <t>クミアワ</t>
    </rPh>
    <phoneticPr fontId="2"/>
  </si>
  <si>
    <t>・自分の解法の通り実施したところ、周辺座標の中で、高さ≠０の座標が１個しかないテストケースがあり、そのケースのみ誤解答した</t>
    <rPh sb="1" eb="3">
      <t>ジブン</t>
    </rPh>
    <rPh sb="4" eb="6">
      <t>カイホウ</t>
    </rPh>
    <rPh sb="7" eb="8">
      <t>トオ</t>
    </rPh>
    <rPh sb="9" eb="11">
      <t>ジッシ</t>
    </rPh>
    <rPh sb="17" eb="19">
      <t>シュウヘン</t>
    </rPh>
    <rPh sb="19" eb="21">
      <t>ザヒョウ</t>
    </rPh>
    <rPh sb="22" eb="23">
      <t>ナカ</t>
    </rPh>
    <rPh sb="25" eb="26">
      <t>タカ</t>
    </rPh>
    <rPh sb="30" eb="32">
      <t>ザヒョウ</t>
    </rPh>
    <phoneticPr fontId="2"/>
  </si>
  <si>
    <t>・偶数列、奇数列のそれぞれにおいて、最頻値、出現回数と2番目の最頻値、出現回数を取得し、奇数列と偶数列の最頻値が</t>
    <phoneticPr fontId="2"/>
  </si>
  <si>
    <t>等しい場合、上記の組合せで、書換回数の最小値を算出する</t>
    <phoneticPr fontId="2"/>
  </si>
  <si>
    <t>・ソートされた配列内で、検索キー以上の要素の一番左のイテレータを返す lower_ bound を使用する (２分索引)</t>
    <rPh sb="7" eb="9">
      <t>ハイレツ</t>
    </rPh>
    <rPh sb="9" eb="10">
      <t>ナイ</t>
    </rPh>
    <rPh sb="12" eb="14">
      <t>ケンサク</t>
    </rPh>
    <rPh sb="16" eb="18">
      <t>イジョウ</t>
    </rPh>
    <rPh sb="19" eb="21">
      <t>ヨウソ</t>
    </rPh>
    <rPh sb="22" eb="24">
      <t>イチバン</t>
    </rPh>
    <rPh sb="24" eb="25">
      <t>ヒダリ</t>
    </rPh>
    <rPh sb="32" eb="33">
      <t>カエ</t>
    </rPh>
    <rPh sb="49" eb="51">
      <t>シヨウ</t>
    </rPh>
    <phoneticPr fontId="2"/>
  </si>
  <si>
    <t>・木の高さ配列を小さい順にソート・木の高さ配列を、先頭からK本(選択した本数)ずつ見て行き、高さの差の min を求める</t>
    <rPh sb="1" eb="2">
      <t>キ</t>
    </rPh>
    <rPh sb="3" eb="4">
      <t>タカ</t>
    </rPh>
    <rPh sb="5" eb="7">
      <t>ハイレツ</t>
    </rPh>
    <rPh sb="8" eb="9">
      <t>チイ</t>
    </rPh>
    <rPh sb="11" eb="12">
      <t>ジュン</t>
    </rPh>
    <rPh sb="17" eb="18">
      <t>キ</t>
    </rPh>
    <rPh sb="19" eb="20">
      <t>タカ</t>
    </rPh>
    <rPh sb="21" eb="23">
      <t>ハイレツ</t>
    </rPh>
    <rPh sb="25" eb="27">
      <t>セントウ</t>
    </rPh>
    <rPh sb="30" eb="31">
      <t>ホン</t>
    </rPh>
    <rPh sb="32" eb="34">
      <t>センタク</t>
    </rPh>
    <rPh sb="36" eb="38">
      <t>ホンスウ</t>
    </rPh>
    <rPh sb="41" eb="42">
      <t>ミ</t>
    </rPh>
    <rPh sb="43" eb="44">
      <t>イ</t>
    </rPh>
    <phoneticPr fontId="2"/>
  </si>
  <si>
    <t>N個のコマがあるため、N-1 箇所の区切りを入れることができる (区切りを入れた区間はコマを移動しない)</t>
    <rPh sb="1" eb="2">
      <t>コ</t>
    </rPh>
    <rPh sb="15" eb="17">
      <t>カショ</t>
    </rPh>
    <rPh sb="18" eb="20">
      <t>クギ</t>
    </rPh>
    <rPh sb="22" eb="23">
      <t>イ</t>
    </rPh>
    <phoneticPr fontId="2"/>
  </si>
  <si>
    <t>・N個のコマが存在し、N-1 箇所の区切りを入れることが可能なため、距離が大きい順に N-1 個を取り除いた、残りの距離の和が</t>
    <rPh sb="2" eb="3">
      <t>コ</t>
    </rPh>
    <rPh sb="7" eb="9">
      <t>ソンザイ</t>
    </rPh>
    <rPh sb="15" eb="17">
      <t>カショ</t>
    </rPh>
    <rPh sb="18" eb="20">
      <t>クギ</t>
    </rPh>
    <rPh sb="22" eb="23">
      <t>イ</t>
    </rPh>
    <rPh sb="28" eb="30">
      <t>カノウ</t>
    </rPh>
    <rPh sb="34" eb="36">
      <t>キョリ</t>
    </rPh>
    <rPh sb="37" eb="38">
      <t>オオ</t>
    </rPh>
    <rPh sb="40" eb="41">
      <t>ジュン</t>
    </rPh>
    <rPh sb="47" eb="48">
      <t>コ</t>
    </rPh>
    <phoneticPr fontId="2"/>
  </si>
  <si>
    <t>求める解となる (区切りを入れた区間はコマを移動しない)</t>
    <phoneticPr fontId="2"/>
  </si>
  <si>
    <t>・map&lt;価格, 個数&gt;で実装したが、同一の価格が存在し、mapは重複キー許さないため、multimap&lt;価格, 個数&gt; を使用して</t>
    <rPh sb="5" eb="7">
      <t>カカク</t>
    </rPh>
    <rPh sb="9" eb="11">
      <t>コスウ</t>
    </rPh>
    <rPh sb="13" eb="15">
      <t>ジッソウ</t>
    </rPh>
    <rPh sb="19" eb="21">
      <t>ドウイツ</t>
    </rPh>
    <rPh sb="22" eb="24">
      <t>カカク</t>
    </rPh>
    <rPh sb="25" eb="27">
      <t>ソンザイ</t>
    </rPh>
    <rPh sb="33" eb="35">
      <t>チョウフク</t>
    </rPh>
    <phoneticPr fontId="2"/>
  </si>
  <si>
    <t>実装をし直した</t>
  </si>
  <si>
    <t>なぜならば、価格[n1] == 価格[n2] としたとき、map[ 価格[n1] ] = 個数[n1]; を実行し、次に</t>
    <rPh sb="6" eb="8">
      <t>カカク</t>
    </rPh>
    <rPh sb="16" eb="18">
      <t>カカク</t>
    </rPh>
    <rPh sb="34" eb="36">
      <t>カカク</t>
    </rPh>
    <rPh sb="45" eb="47">
      <t>コスウ</t>
    </rPh>
    <rPh sb="54" eb="56">
      <t>ジッコウ</t>
    </rPh>
    <phoneticPr fontId="2"/>
  </si>
  <si>
    <t xml:space="preserve"> map[ 価格[n2] ] = 個数[n2]; を実行しても、mapに挿入されないため</t>
  </si>
  <si>
    <t>先頭からの "AC" の文字をカウントして配列に持たせ、Q個の質問に対しては計算で算出</t>
    <rPh sb="0" eb="2">
      <t>セントウ</t>
    </rPh>
    <rPh sb="12" eb="14">
      <t>モジ</t>
    </rPh>
    <rPh sb="21" eb="23">
      <t>ハイレツ</t>
    </rPh>
    <rPh sb="24" eb="25">
      <t>モ</t>
    </rPh>
    <rPh sb="29" eb="30">
      <t>コ</t>
    </rPh>
    <rPh sb="31" eb="33">
      <t>シツモン</t>
    </rPh>
    <rPh sb="34" eb="35">
      <t>タイ</t>
    </rPh>
    <phoneticPr fontId="2"/>
  </si>
  <si>
    <t>最も小さな容量の交通機関に合わせて（すべての交通機関を最小の交通機関にする）計算し（１つの交通機関の使用時間）</t>
    <rPh sb="0" eb="1">
      <t>モット</t>
    </rPh>
    <rPh sb="2" eb="3">
      <t>チイ</t>
    </rPh>
    <rPh sb="5" eb="7">
      <t>ヨウリョウ</t>
    </rPh>
    <rPh sb="8" eb="10">
      <t>コウツウ</t>
    </rPh>
    <rPh sb="10" eb="12">
      <t>キカン</t>
    </rPh>
    <rPh sb="13" eb="14">
      <t>ア</t>
    </rPh>
    <rPh sb="22" eb="24">
      <t>コウツウ</t>
    </rPh>
    <rPh sb="24" eb="26">
      <t>キカン</t>
    </rPh>
    <rPh sb="27" eb="29">
      <t>サイショウ</t>
    </rPh>
    <rPh sb="30" eb="32">
      <t>コウツウ</t>
    </rPh>
    <rPh sb="32" eb="34">
      <t>キカン</t>
    </rPh>
    <rPh sb="38" eb="40">
      <t>ケイサン</t>
    </rPh>
    <phoneticPr fontId="2"/>
  </si>
  <si>
    <t>そこに４分を加算する（４つ分の交通機関の使用時間）</t>
    <rPh sb="4" eb="5">
      <t>プン</t>
    </rPh>
    <rPh sb="6" eb="8">
      <t>カサン</t>
    </rPh>
    <rPh sb="13" eb="14">
      <t>ブン</t>
    </rPh>
    <rPh sb="15" eb="17">
      <t>コウツウ</t>
    </rPh>
    <rPh sb="17" eb="19">
      <t>キカン</t>
    </rPh>
    <rPh sb="20" eb="22">
      <t>シヨウ</t>
    </rPh>
    <rPh sb="22" eb="24">
      <t>ジカン</t>
    </rPh>
    <phoneticPr fontId="2"/>
  </si>
  <si>
    <t>（ABC123_C_FiveTransportations_TLE.cpp）では移動時間に比例する計算時間がかかり、TLE となる</t>
    <rPh sb="40" eb="42">
      <t>イドウ</t>
    </rPh>
    <rPh sb="42" eb="44">
      <t>ジカン</t>
    </rPh>
    <phoneticPr fontId="2"/>
  </si>
  <si>
    <t>そこで、各交通機関の容量を直前の交通機関の大きさに合わせ、各都市への移動時間を計算し、移動のトータル時間を計算した</t>
  </si>
  <si>
    <t>（各都市間へ同時に移動しているため移動時間の差分を加算）</t>
  </si>
  <si>
    <t>先頭からのcolor文字列が0,1,･･･と1,0,･･･の他に末尾からのcolor文字列が0,1,･･･と1,0,･･･と4種類のパターンを考えていた</t>
    <rPh sb="0" eb="2">
      <t>セントウ</t>
    </rPh>
    <rPh sb="10" eb="13">
      <t>モジレツ</t>
    </rPh>
    <rPh sb="30" eb="31">
      <t>ホカ</t>
    </rPh>
    <rPh sb="32" eb="34">
      <t>マツビ</t>
    </rPh>
    <phoneticPr fontId="2"/>
  </si>
  <si>
    <t>ことを考えると、きれいな 26進法を考えることが出来る</t>
    <rPh sb="3" eb="4">
      <t>カンガ</t>
    </rPh>
    <rPh sb="15" eb="17">
      <t>シンホウ</t>
    </rPh>
    <rPh sb="18" eb="19">
      <t>カンガ</t>
    </rPh>
    <rPh sb="24" eb="26">
      <t>デキ</t>
    </rPh>
    <phoneticPr fontId="2"/>
  </si>
  <si>
    <t>・N を1から考える (1-indexed) のではなく、0 から考える (0-indexed )ため、Nをデクリメントして、0 ～ 25 を "a"～"z" に変換する</t>
    <rPh sb="7" eb="8">
      <t>カンガ</t>
    </rPh>
    <rPh sb="33" eb="34">
      <t>カンガ</t>
    </rPh>
    <phoneticPr fontId="2"/>
  </si>
  <si>
    <t xml:space="preserve">・N を10進法→26進法に変換するとき、26で割った余りが 0 のとき、商をデクリメントして、商から 26 を借りてきて、1～26 を </t>
    <rPh sb="6" eb="8">
      <t>シンホウ</t>
    </rPh>
    <rPh sb="11" eb="13">
      <t>シンホウ</t>
    </rPh>
    <rPh sb="14" eb="16">
      <t>ヘンカン</t>
    </rPh>
    <rPh sb="24" eb="25">
      <t>ワ</t>
    </rPh>
    <rPh sb="27" eb="28">
      <t>アマ</t>
    </rPh>
    <phoneticPr fontId="2"/>
  </si>
  <si>
    <t>"a～"z" に変換した</t>
    <phoneticPr fontId="2"/>
  </si>
  <si>
    <t>・行と列のsizeの和だけ全探索し、その添え字の大きさにより、行と列に分解した</t>
    <rPh sb="1" eb="2">
      <t>ギョウ</t>
    </rPh>
    <rPh sb="3" eb="4">
      <t>レツ</t>
    </rPh>
    <rPh sb="10" eb="11">
      <t>ワ</t>
    </rPh>
    <rPh sb="13" eb="14">
      <t>ゼン</t>
    </rPh>
    <rPh sb="14" eb="16">
      <t>タンサク</t>
    </rPh>
    <rPh sb="20" eb="21">
      <t>ソ</t>
    </rPh>
    <rPh sb="22" eb="23">
      <t>ジ</t>
    </rPh>
    <rPh sb="24" eb="25">
      <t>オオ</t>
    </rPh>
    <rPh sb="31" eb="32">
      <t>ギョウ</t>
    </rPh>
    <rPh sb="33" eb="34">
      <t>レツ</t>
    </rPh>
    <phoneticPr fontId="2"/>
  </si>
  <si>
    <t>・選んだ行、列のマスを塗り替えるロジックを作成したが、模範解答では選択した行、列の塗り替えは行わず、黒マス("#")カウントアップを</t>
    <rPh sb="1" eb="2">
      <t>エラ</t>
    </rPh>
    <rPh sb="4" eb="5">
      <t>ギョウ</t>
    </rPh>
    <rPh sb="6" eb="7">
      <t>レツ</t>
    </rPh>
    <rPh sb="11" eb="12">
      <t>ヌ</t>
    </rPh>
    <rPh sb="13" eb="14">
      <t>カ</t>
    </rPh>
    <rPh sb="21" eb="23">
      <t>サクセイ</t>
    </rPh>
    <rPh sb="27" eb="29">
      <t>モハン</t>
    </rPh>
    <rPh sb="29" eb="31">
      <t>カイトウ</t>
    </rPh>
    <phoneticPr fontId="2"/>
  </si>
  <si>
    <t>考えなかったため</t>
    <rPh sb="0" eb="1">
      <t>カンガ</t>
    </rPh>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</si>
  <si>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を作る際、long long int の範囲でしか考えられず {an | (n=1～19)} の数列でしか</t>
    </r>
    <rPh sb="1" eb="4">
      <t>ヒジョスウ</t>
    </rPh>
    <rPh sb="7" eb="9">
      <t>スウレツ</t>
    </rPh>
    <rPh sb="22" eb="23">
      <t>ツク</t>
    </rPh>
    <rPh sb="24" eb="25">
      <t>サイ</t>
    </rPh>
    <rPh sb="41" eb="43">
      <t>ハンイ</t>
    </rPh>
    <rPh sb="46" eb="47">
      <t>カンガ</t>
    </rPh>
    <phoneticPr fontId="2"/>
  </si>
  <si>
    <r>
      <t>・上記数列の mod K を考え、mod K の余りを数列 {a</t>
    </r>
    <r>
      <rPr>
        <vertAlign val="subscript"/>
        <sz val="10"/>
        <color theme="1"/>
        <rFont val="Meiryo UI"/>
        <family val="3"/>
        <charset val="128"/>
      </rPr>
      <t xml:space="preserve">n </t>
    </r>
    <r>
      <rPr>
        <sz val="10"/>
        <color theme="1"/>
        <rFont val="Meiryo UI"/>
        <family val="3"/>
        <charset val="128"/>
      </rPr>
      <t>} として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を考え、同じ余りが出現したら、</t>
    </r>
    <rPh sb="1" eb="3">
      <t>ジョウキ</t>
    </rPh>
    <rPh sb="3" eb="5">
      <t>スウレツ</t>
    </rPh>
    <rPh sb="14" eb="15">
      <t>カンガ</t>
    </rPh>
    <rPh sb="24" eb="25">
      <t>アマ</t>
    </rPh>
    <rPh sb="27" eb="29">
      <t>スウレツ</t>
    </rPh>
    <phoneticPr fontId="2"/>
  </si>
  <si>
    <t>以下循環すると考える</t>
  </si>
  <si>
    <t>同一の余りが出る</t>
    <rPh sb="0" eb="2">
      <t>ドウイツ</t>
    </rPh>
    <rPh sb="3" eb="4">
      <t>アマ</t>
    </rPh>
    <rPh sb="6" eb="7">
      <t>デ</t>
    </rPh>
    <phoneticPr fontId="2"/>
  </si>
  <si>
    <r>
      <t>・左記の777777･･･の mod K の余りの数列 {a</t>
    </r>
    <r>
      <rPr>
        <vertAlign val="subscript"/>
        <sz val="10"/>
        <color theme="1"/>
        <rFont val="Meiryo UI"/>
        <family val="3"/>
        <charset val="128"/>
      </rPr>
      <t>n</t>
    </r>
    <r>
      <rPr>
        <sz val="10"/>
        <color theme="1"/>
        <rFont val="Meiryo UI"/>
        <family val="3"/>
        <charset val="128"/>
      </rPr>
      <t>} を考え、漸化式 an+1=(7an+7) % K で数列 {an} を作成し、</t>
    </r>
    <rPh sb="1" eb="3">
      <t>サキ</t>
    </rPh>
    <rPh sb="22" eb="23">
      <t>アマ</t>
    </rPh>
    <rPh sb="25" eb="27">
      <t>スウレツ</t>
    </rPh>
    <rPh sb="34" eb="35">
      <t>カンガ</t>
    </rPh>
    <phoneticPr fontId="2"/>
  </si>
  <si>
    <t>まで、ループを廻し その中で 余り== 0 になった時点で、数列の項番をreturn した</t>
    <rPh sb="7" eb="8">
      <t>マワ</t>
    </rPh>
    <rPh sb="12" eb="13">
      <t>ナカ</t>
    </rPh>
    <rPh sb="15" eb="16">
      <t>アマ</t>
    </rPh>
    <rPh sb="26" eb="28">
      <t>ジテン</t>
    </rPh>
    <rPh sb="30" eb="32">
      <t>スウレツ</t>
    </rPh>
    <rPh sb="33" eb="35">
      <t>コウバン</t>
    </rPh>
    <phoneticPr fontId="2"/>
  </si>
  <si>
    <t xml:space="preserve">改善点・修正点 ポイント </t>
    <rPh sb="0" eb="3">
      <t>カイゼンテン</t>
    </rPh>
    <rPh sb="4" eb="6">
      <t>シュウセイ</t>
    </rPh>
    <rPh sb="6" eb="7">
      <t>テン</t>
    </rPh>
    <phoneticPr fontId="2"/>
  </si>
  <si>
    <t>・正解者以外全員からポイント 1 引くというのはコストがかかる</t>
    <rPh sb="1" eb="3">
      <t>セイカイ</t>
    </rPh>
    <rPh sb="3" eb="4">
      <t>シャ</t>
    </rPh>
    <rPh sb="4" eb="6">
      <t>イガイ</t>
    </rPh>
    <rPh sb="6" eb="8">
      <t>ゼンイン</t>
    </rPh>
    <rPh sb="17" eb="18">
      <t>ヒ</t>
    </rPh>
    <phoneticPr fontId="2"/>
  </si>
  <si>
    <t xml:space="preserve"> 正解者のみポイント 1 加算するという方法に変更する。そのためには、スタート時に持つべきポイントを計算して、持たせればよい</t>
    <rPh sb="1" eb="4">
      <t>セイカイシャ</t>
    </rPh>
    <rPh sb="13" eb="15">
      <t>カサン</t>
    </rPh>
    <rPh sb="20" eb="22">
      <t>ホウホウ</t>
    </rPh>
    <rPh sb="23" eb="25">
      <t>ヘンコウ</t>
    </rPh>
    <rPh sb="39" eb="40">
      <t>ジ</t>
    </rPh>
    <rPh sb="41" eb="42">
      <t>モ</t>
    </rPh>
    <rPh sb="50" eb="52">
      <t>ケイサン</t>
    </rPh>
    <rPh sb="55" eb="56">
      <t>モ</t>
    </rPh>
    <phoneticPr fontId="2"/>
  </si>
  <si>
    <t xml:space="preserve">  スタート時に持つべきポイントは 最初に持たせるポイント K －問題数 Q となる</t>
    <rPh sb="6" eb="7">
      <t>ジ</t>
    </rPh>
    <rPh sb="8" eb="9">
      <t>モ</t>
    </rPh>
    <rPh sb="18" eb="20">
      <t>サイショ</t>
    </rPh>
    <rPh sb="21" eb="22">
      <t>モ</t>
    </rPh>
    <rPh sb="33" eb="35">
      <t>モンダイ</t>
    </rPh>
    <rPh sb="35" eb="36">
      <t>スウ</t>
    </rPh>
    <phoneticPr fontId="2"/>
  </si>
  <si>
    <t>・B[i]&lt;A[i] のとき A[i] ← B[i]、</t>
    <phoneticPr fontId="2"/>
  </si>
  <si>
    <t xml:space="preserve">  B[i]＜A[i＋1] のとき A[i＋1] ← B[i]  これを B の要素数分行う</t>
    <rPh sb="40" eb="42">
      <t>ヨウソ</t>
    </rPh>
    <rPh sb="42" eb="43">
      <t>スウ</t>
    </rPh>
    <rPh sb="43" eb="44">
      <t>ブン</t>
    </rPh>
    <rPh sb="44" eb="45">
      <t>オコナ</t>
    </rPh>
    <phoneticPr fontId="2"/>
  </si>
  <si>
    <t>・素数判定の数値に対して、２乗根をとり、</t>
    <rPh sb="1" eb="3">
      <t>ソスウ</t>
    </rPh>
    <rPh sb="3" eb="5">
      <t>ハンテイ</t>
    </rPh>
    <rPh sb="6" eb="8">
      <t>スウチ</t>
    </rPh>
    <rPh sb="9" eb="10">
      <t>タイ</t>
    </rPh>
    <rPh sb="14" eb="16">
      <t>ジョウコン</t>
    </rPh>
    <phoneticPr fontId="2"/>
  </si>
  <si>
    <t xml:space="preserve">  素数判定数値を２～２乗根以下の最大正数 までで mod をとって、割り切れなければ素数である</t>
    <phoneticPr fontId="2"/>
  </si>
  <si>
    <t xml:space="preserve">  数列の１回ループで算出可能。そのために現在の要素までで最小の数値を設定し、参照する必要がある</t>
    <rPh sb="2" eb="4">
      <t>スウレツ</t>
    </rPh>
    <rPh sb="6" eb="7">
      <t>カイ</t>
    </rPh>
    <rPh sb="11" eb="13">
      <t>サンシュツ</t>
    </rPh>
    <rPh sb="13" eb="15">
      <t>カノウ</t>
    </rPh>
    <rPh sb="21" eb="23">
      <t>ゲンザイ</t>
    </rPh>
    <rPh sb="24" eb="26">
      <t>ヨウソ</t>
    </rPh>
    <rPh sb="29" eb="31">
      <t>サイショウ</t>
    </rPh>
    <rPh sb="32" eb="34">
      <t>スウチ</t>
    </rPh>
    <rPh sb="35" eb="37">
      <t>セッテイ</t>
    </rPh>
    <rPh sb="39" eb="41">
      <t>サンショウ</t>
    </rPh>
    <rPh sb="43" eb="45">
      <t>ヒツヨウ</t>
    </rPh>
    <phoneticPr fontId="2"/>
  </si>
  <si>
    <t>・数列において、現在の要素が、0番目の要素～現在の1つ前の要素までで、最小であれば、条件を満たした個数となる</t>
    <rPh sb="1" eb="3">
      <t>スウレツ</t>
    </rPh>
    <rPh sb="8" eb="10">
      <t>ゲンザイ</t>
    </rPh>
    <rPh sb="11" eb="13">
      <t>ヨウソ</t>
    </rPh>
    <rPh sb="16" eb="18">
      <t>バンメ</t>
    </rPh>
    <rPh sb="19" eb="21">
      <t>ヨウソ</t>
    </rPh>
    <rPh sb="22" eb="24">
      <t>ゲンザイ</t>
    </rPh>
    <rPh sb="27" eb="28">
      <t>マエ</t>
    </rPh>
    <rPh sb="29" eb="31">
      <t>ヨウソ</t>
    </rPh>
    <rPh sb="35" eb="37">
      <t>サイショウ</t>
    </rPh>
    <rPh sb="42" eb="44">
      <t>ジョウケン</t>
    </rPh>
    <rPh sb="45" eb="46">
      <t>ミ</t>
    </rPh>
    <rPh sb="49" eb="51">
      <t>コスウ</t>
    </rPh>
    <phoneticPr fontId="2"/>
  </si>
  <si>
    <t>・正答数は１回目に "AC" を出した問題数である。２回目以降の "AC" は何もしない</t>
    <rPh sb="1" eb="3">
      <t>セイトウ</t>
    </rPh>
    <rPh sb="3" eb="4">
      <t>スウ</t>
    </rPh>
    <rPh sb="6" eb="8">
      <t>カイメ</t>
    </rPh>
    <rPh sb="16" eb="17">
      <t>ダ</t>
    </rPh>
    <rPh sb="19" eb="21">
      <t>モンダイ</t>
    </rPh>
    <rPh sb="21" eb="22">
      <t>スウ</t>
    </rPh>
    <rPh sb="27" eb="29">
      <t>カイメ</t>
    </rPh>
    <rPh sb="29" eb="31">
      <t>イコウ</t>
    </rPh>
    <rPh sb="39" eb="40">
      <t>ナニ</t>
    </rPh>
    <phoneticPr fontId="2"/>
  </si>
  <si>
    <t>・ペナルティ数は １回目に "AC" を出すまでに出した "WA" の数である</t>
    <rPh sb="6" eb="7">
      <t>スウ</t>
    </rPh>
    <rPh sb="10" eb="12">
      <t>カイメ</t>
    </rPh>
    <rPh sb="20" eb="21">
      <t>ダ</t>
    </rPh>
    <rPh sb="25" eb="26">
      <t>ダ</t>
    </rPh>
    <rPh sb="35" eb="36">
      <t>カズ</t>
    </rPh>
    <phoneticPr fontId="2"/>
  </si>
  <si>
    <t xml:space="preserve">  １回目の "AC" を出した以降の同一問題の "WA" はペナルティ数にならない、かつ</t>
    <rPh sb="3" eb="5">
      <t>カイメ</t>
    </rPh>
    <rPh sb="13" eb="14">
      <t>ダ</t>
    </rPh>
    <rPh sb="16" eb="18">
      <t>イコウ</t>
    </rPh>
    <rPh sb="19" eb="21">
      <t>ドウイツ</t>
    </rPh>
    <rPh sb="21" eb="23">
      <t>モンダイ</t>
    </rPh>
    <rPh sb="36" eb="37">
      <t>スウ</t>
    </rPh>
    <phoneticPr fontId="2"/>
  </si>
  <si>
    <t xml:space="preserve">  １回も "AC" を出さない問題の "WA" はペナルティ数にならない</t>
    <phoneticPr fontId="2"/>
  </si>
  <si>
    <t>・順列を発生させて、P列 と Q列 の辞書順の順番を確定させる</t>
    <rPh sb="1" eb="3">
      <t>ジュンレツ</t>
    </rPh>
    <rPh sb="4" eb="6">
      <t>ハッセイ</t>
    </rPh>
    <rPh sb="11" eb="12">
      <t>レツ</t>
    </rPh>
    <rPh sb="16" eb="17">
      <t>レツ</t>
    </rPh>
    <rPh sb="19" eb="21">
      <t>ジショ</t>
    </rPh>
    <rPh sb="21" eb="22">
      <t>ジュン</t>
    </rPh>
    <rPh sb="23" eb="25">
      <t>ジュンバン</t>
    </rPh>
    <rPh sb="26" eb="28">
      <t>カクテイ</t>
    </rPh>
    <phoneticPr fontId="2"/>
  </si>
  <si>
    <t xml:space="preserve">  P列 と Q列 の辞書順順番が確定したら、順列発生のループを抜け、P、Q列の順番の差分の絶対値を算出する</t>
    <rPh sb="3" eb="4">
      <t>レツ</t>
    </rPh>
    <rPh sb="8" eb="9">
      <t>レツ</t>
    </rPh>
    <rPh sb="11" eb="13">
      <t>ジショ</t>
    </rPh>
    <rPh sb="13" eb="14">
      <t>ジュン</t>
    </rPh>
    <rPh sb="14" eb="16">
      <t>ジュンバン</t>
    </rPh>
    <rPh sb="17" eb="19">
      <t>カクテイ</t>
    </rPh>
    <rPh sb="23" eb="25">
      <t>ジュンレツ</t>
    </rPh>
    <rPh sb="25" eb="27">
      <t>ハッセイ</t>
    </rPh>
    <rPh sb="32" eb="33">
      <t>ヌ</t>
    </rPh>
    <rPh sb="38" eb="39">
      <t>レツ</t>
    </rPh>
    <rPh sb="40" eb="42">
      <t>ジュンバン</t>
    </rPh>
    <rPh sb="43" eb="45">
      <t>サブン</t>
    </rPh>
    <rPh sb="46" eb="49">
      <t>ゼッタイチ</t>
    </rPh>
    <rPh sb="50" eb="52">
      <t>サンシュツ</t>
    </rPh>
    <phoneticPr fontId="2"/>
  </si>
  <si>
    <t>・具材の価値の小さい順に、新たな具材を生成させて行き(価値の平均をとって行き)、最後に、生成された具材と一番価値の大きい具材</t>
    <rPh sb="1" eb="2">
      <t>グ</t>
    </rPh>
    <rPh sb="2" eb="3">
      <t>ザイ</t>
    </rPh>
    <rPh sb="4" eb="6">
      <t>カチ</t>
    </rPh>
    <rPh sb="7" eb="8">
      <t>チイ</t>
    </rPh>
    <rPh sb="10" eb="11">
      <t>ジュン</t>
    </rPh>
    <rPh sb="13" eb="14">
      <t>アラ</t>
    </rPh>
    <rPh sb="16" eb="17">
      <t>グ</t>
    </rPh>
    <rPh sb="17" eb="18">
      <t>ザイ</t>
    </rPh>
    <rPh sb="19" eb="21">
      <t>セイセイ</t>
    </rPh>
    <rPh sb="24" eb="25">
      <t>イ</t>
    </rPh>
    <rPh sb="27" eb="29">
      <t>カチ</t>
    </rPh>
    <rPh sb="30" eb="32">
      <t>ヘイキン</t>
    </rPh>
    <rPh sb="36" eb="37">
      <t>イ</t>
    </rPh>
    <rPh sb="44" eb="46">
      <t>セイセイ</t>
    </rPh>
    <rPh sb="49" eb="50">
      <t>グ</t>
    </rPh>
    <rPh sb="50" eb="51">
      <t>ザイ</t>
    </rPh>
    <rPh sb="52" eb="54">
      <t>イチバン</t>
    </rPh>
    <rPh sb="54" eb="56">
      <t>カチ</t>
    </rPh>
    <rPh sb="57" eb="58">
      <t>オオ</t>
    </rPh>
    <rPh sb="60" eb="61">
      <t>グ</t>
    </rPh>
    <rPh sb="61" eb="62">
      <t>ザイ</t>
    </rPh>
    <phoneticPr fontId="2"/>
  </si>
  <si>
    <t>とを生成する</t>
    <phoneticPr fontId="2"/>
  </si>
  <si>
    <t>・順列は next_permutation で作成。最小の並び順は iota で作成</t>
    <rPh sb="1" eb="3">
      <t>ジュンレツ</t>
    </rPh>
    <rPh sb="23" eb="25">
      <t>サクセイ</t>
    </rPh>
    <rPh sb="26" eb="28">
      <t>サイショウ</t>
    </rPh>
    <rPh sb="29" eb="30">
      <t>ナラ</t>
    </rPh>
    <rPh sb="31" eb="32">
      <t>ジュン</t>
    </rPh>
    <rPh sb="40" eb="42">
      <t>サクセイ</t>
    </rPh>
    <phoneticPr fontId="2"/>
  </si>
  <si>
    <t>・順列を作成させながら、隣接する町の距離を算出し、累積する</t>
    <rPh sb="1" eb="3">
      <t>ジュンレツ</t>
    </rPh>
    <rPh sb="4" eb="6">
      <t>サクセイ</t>
    </rPh>
    <rPh sb="12" eb="14">
      <t>リンセツ</t>
    </rPh>
    <rPh sb="16" eb="17">
      <t>マチ</t>
    </rPh>
    <rPh sb="18" eb="20">
      <t>キョリ</t>
    </rPh>
    <rPh sb="21" eb="23">
      <t>サンシュツ</t>
    </rPh>
    <rPh sb="25" eb="27">
      <t>ルイセキ</t>
    </rPh>
    <phoneticPr fontId="2"/>
  </si>
  <si>
    <t xml:space="preserve">  累積した距離を 順列数(n!) で割る</t>
    <rPh sb="2" eb="4">
      <t>ルイセキ</t>
    </rPh>
    <rPh sb="6" eb="8">
      <t>キョリ</t>
    </rPh>
    <rPh sb="10" eb="12">
      <t>ジュンレツ</t>
    </rPh>
    <rPh sb="12" eb="13">
      <t>スウ</t>
    </rPh>
    <rPh sb="19" eb="20">
      <t>ワ</t>
    </rPh>
    <phoneticPr fontId="2"/>
  </si>
  <si>
    <t>・正数列{An} の vector から set に設定して、vector と set の 要素数が等しいか否かを判定する</t>
    <rPh sb="1" eb="3">
      <t>セイスウ</t>
    </rPh>
    <rPh sb="3" eb="4">
      <t>レツ</t>
    </rPh>
    <rPh sb="26" eb="28">
      <t>セッテイ</t>
    </rPh>
    <rPh sb="46" eb="48">
      <t>ヨウソ</t>
    </rPh>
    <rPh sb="48" eb="49">
      <t>スウ</t>
    </rPh>
    <rPh sb="50" eb="51">
      <t>ヒト</t>
    </rPh>
    <rPh sb="54" eb="55">
      <t>イナ</t>
    </rPh>
    <rPh sb="57" eb="59">
      <t>ハンテイ</t>
    </rPh>
    <phoneticPr fontId="2"/>
  </si>
  <si>
    <t>・税率10％ から税抜価格の配列(サイズ10) を作成(税抜価格の下一桁が０～９)し、それぞれについて、税率８％で税額を計算し</t>
    <rPh sb="1" eb="3">
      <t>ゼイリツ</t>
    </rPh>
    <rPh sb="9" eb="10">
      <t>ゼイ</t>
    </rPh>
    <rPh sb="10" eb="11">
      <t>ヌ</t>
    </rPh>
    <rPh sb="11" eb="13">
      <t>カカク</t>
    </rPh>
    <rPh sb="14" eb="16">
      <t>ハイレツ</t>
    </rPh>
    <rPh sb="25" eb="27">
      <t>サクセイ</t>
    </rPh>
    <rPh sb="28" eb="30">
      <t>ゼイヌキ</t>
    </rPh>
    <rPh sb="30" eb="32">
      <t>カカク</t>
    </rPh>
    <rPh sb="33" eb="34">
      <t>シモ</t>
    </rPh>
    <rPh sb="34" eb="36">
      <t>ヒトケタ</t>
    </rPh>
    <rPh sb="52" eb="54">
      <t>ゼイリツ</t>
    </rPh>
    <rPh sb="57" eb="59">
      <t>ゼイガク</t>
    </rPh>
    <rPh sb="60" eb="62">
      <t>ケイサン</t>
    </rPh>
    <phoneticPr fontId="2"/>
  </si>
  <si>
    <t xml:space="preserve">  税率8％の税額が等しいものを探す</t>
    <rPh sb="16" eb="17">
      <t>サガ</t>
    </rPh>
    <phoneticPr fontId="2"/>
  </si>
  <si>
    <t>・正整数Ｌから、立方体の一辺の長さを求め、それを 3乗する</t>
    <rPh sb="1" eb="2">
      <t>セイ</t>
    </rPh>
    <rPh sb="2" eb="4">
      <t>セイスウ</t>
    </rPh>
    <rPh sb="8" eb="11">
      <t>リッポウタイ</t>
    </rPh>
    <rPh sb="12" eb="14">
      <t>イッペン</t>
    </rPh>
    <rPh sb="15" eb="16">
      <t>ナガ</t>
    </rPh>
    <rPh sb="18" eb="19">
      <t>モト</t>
    </rPh>
    <rPh sb="26" eb="27">
      <t>ジョウ</t>
    </rPh>
    <phoneticPr fontId="2"/>
  </si>
  <si>
    <t>・湖の周囲の家々の中で、ある家と隣の家の距離が最大のものを確定し、それを湖の周囲の距離から引く</t>
    <rPh sb="1" eb="2">
      <t>ミズウミ</t>
    </rPh>
    <rPh sb="3" eb="5">
      <t>シュウイ</t>
    </rPh>
    <rPh sb="6" eb="8">
      <t>イエイエ</t>
    </rPh>
    <rPh sb="9" eb="10">
      <t>ナカ</t>
    </rPh>
    <rPh sb="14" eb="15">
      <t>イエ</t>
    </rPh>
    <rPh sb="16" eb="17">
      <t>トナリ</t>
    </rPh>
    <rPh sb="18" eb="19">
      <t>イエ</t>
    </rPh>
    <rPh sb="20" eb="22">
      <t>キョリ</t>
    </rPh>
    <rPh sb="23" eb="25">
      <t>サイダイ</t>
    </rPh>
    <rPh sb="29" eb="31">
      <t>カクテイ</t>
    </rPh>
    <rPh sb="36" eb="37">
      <t>ミズウミ</t>
    </rPh>
    <rPh sb="38" eb="40">
      <t>シュウイ</t>
    </rPh>
    <rPh sb="41" eb="43">
      <t>キョリ</t>
    </rPh>
    <rPh sb="45" eb="46">
      <t>ヒ</t>
    </rPh>
    <phoneticPr fontId="2"/>
  </si>
  <si>
    <t xml:space="preserve">  MAX階段より２段以上低い階段を検知した時点で、単調非減少にできない (”No" を return)</t>
    <rPh sb="5" eb="7">
      <t>カイダン</t>
    </rPh>
    <rPh sb="10" eb="11">
      <t>ダン</t>
    </rPh>
    <rPh sb="11" eb="13">
      <t>イジョウ</t>
    </rPh>
    <rPh sb="13" eb="14">
      <t>ヒク</t>
    </rPh>
    <rPh sb="15" eb="17">
      <t>カイダン</t>
    </rPh>
    <rPh sb="18" eb="20">
      <t>ケンチ</t>
    </rPh>
    <rPh sb="22" eb="24">
      <t>ジテン</t>
    </rPh>
    <phoneticPr fontId="2"/>
  </si>
  <si>
    <t xml:space="preserve">  最終要素まで参照し、MAX階段より２段以上低い階段を検知しなかった場合、単調非減少にできる (”Yes" を return)</t>
    <rPh sb="2" eb="4">
      <t>サイシュウ</t>
    </rPh>
    <rPh sb="4" eb="6">
      <t>ヨウソ</t>
    </rPh>
    <rPh sb="8" eb="10">
      <t>サンショウ</t>
    </rPh>
    <rPh sb="15" eb="17">
      <t>カイダン</t>
    </rPh>
    <rPh sb="20" eb="21">
      <t>ダン</t>
    </rPh>
    <rPh sb="21" eb="23">
      <t>イジョウ</t>
    </rPh>
    <rPh sb="23" eb="24">
      <t>ヒク</t>
    </rPh>
    <rPh sb="25" eb="27">
      <t>カイダン</t>
    </rPh>
    <rPh sb="28" eb="30">
      <t>ケンチ</t>
    </rPh>
    <rPh sb="35" eb="37">
      <t>バアイ</t>
    </rPh>
    <rPh sb="38" eb="40">
      <t>タンチョウ</t>
    </rPh>
    <rPh sb="40" eb="41">
      <t>ヒ</t>
    </rPh>
    <rPh sb="41" eb="43">
      <t>ゲンショウ</t>
    </rPh>
    <phoneticPr fontId="2"/>
  </si>
  <si>
    <t>・階段配列を先頭要素から最終要素まで順に参照し、現在の参照要素までの MAX階段を順次更新していく</t>
    <rPh sb="1" eb="3">
      <t>カイダン</t>
    </rPh>
    <rPh sb="3" eb="5">
      <t>ハイレツ</t>
    </rPh>
    <rPh sb="6" eb="8">
      <t>セントウ</t>
    </rPh>
    <rPh sb="8" eb="10">
      <t>ヨウソ</t>
    </rPh>
    <rPh sb="12" eb="14">
      <t>サイシュウ</t>
    </rPh>
    <rPh sb="14" eb="16">
      <t>ヨウソ</t>
    </rPh>
    <rPh sb="18" eb="19">
      <t>ジュン</t>
    </rPh>
    <rPh sb="20" eb="22">
      <t>サンショウ</t>
    </rPh>
    <rPh sb="24" eb="26">
      <t>ゲンザイ</t>
    </rPh>
    <rPh sb="27" eb="29">
      <t>サンショウ</t>
    </rPh>
    <rPh sb="29" eb="31">
      <t>ヨウソ</t>
    </rPh>
    <rPh sb="38" eb="40">
      <t>カイダン</t>
    </rPh>
    <rPh sb="41" eb="43">
      <t>ジュンジ</t>
    </rPh>
    <rPh sb="43" eb="45">
      <t>コウシン</t>
    </rPh>
    <phoneticPr fontId="2"/>
  </si>
  <si>
    <t>・3重ループで１～上限数までの３数を決定する</t>
    <rPh sb="2" eb="3">
      <t>ジュウ</t>
    </rPh>
    <rPh sb="9" eb="11">
      <t>ジョウゲン</t>
    </rPh>
    <rPh sb="11" eb="12">
      <t>スウ</t>
    </rPh>
    <rPh sb="16" eb="17">
      <t>スウ</t>
    </rPh>
    <rPh sb="18" eb="20">
      <t>ケッテイ</t>
    </rPh>
    <phoneticPr fontId="2"/>
  </si>
  <si>
    <t xml:space="preserve">  その中の２数の GCD を算出し、算出した GCD と残り１数との GCD を算出する</t>
    <rPh sb="4" eb="5">
      <t>ナカ</t>
    </rPh>
    <rPh sb="7" eb="8">
      <t>スウ</t>
    </rPh>
    <rPh sb="15" eb="17">
      <t>サンシュツ</t>
    </rPh>
    <rPh sb="19" eb="21">
      <t>サンシュツ</t>
    </rPh>
    <rPh sb="29" eb="30">
      <t>ノコ</t>
    </rPh>
    <rPh sb="32" eb="33">
      <t>スウ</t>
    </rPh>
    <rPh sb="41" eb="43">
      <t>サンシュツ</t>
    </rPh>
    <phoneticPr fontId="2"/>
  </si>
  <si>
    <t xml:space="preserve">  算出した GCD を３重ループの中で累積する</t>
    <rPh sb="2" eb="4">
      <t>サンシュツ</t>
    </rPh>
    <rPh sb="13" eb="14">
      <t>ジュウ</t>
    </rPh>
    <rPh sb="18" eb="19">
      <t>ナカ</t>
    </rPh>
    <rPh sb="20" eb="22">
      <t>ルイセキ</t>
    </rPh>
    <phoneticPr fontId="2"/>
  </si>
  <si>
    <t>・上司の配下にスタッフが何人いるかを算出するため、入力された上司番号をキーにして、スタッフ人数配列をインクリメントする</t>
    <rPh sb="1" eb="3">
      <t>ジョウシ</t>
    </rPh>
    <rPh sb="4" eb="6">
      <t>ハイカ</t>
    </rPh>
    <rPh sb="12" eb="14">
      <t>ナンニン</t>
    </rPh>
    <rPh sb="18" eb="20">
      <t>サンシュツ</t>
    </rPh>
    <rPh sb="30" eb="32">
      <t>ジョウシ</t>
    </rPh>
    <rPh sb="32" eb="34">
      <t>バンゴウ</t>
    </rPh>
    <phoneticPr fontId="2"/>
  </si>
  <si>
    <t>・set に景品を入力し、size() で景品の種類を取得する</t>
    <rPh sb="6" eb="8">
      <t>ケイヒン</t>
    </rPh>
    <rPh sb="9" eb="11">
      <t>ニュウリョク</t>
    </rPh>
    <rPh sb="21" eb="23">
      <t>ケイヒン</t>
    </rPh>
    <rPh sb="24" eb="26">
      <t>シュルイ</t>
    </rPh>
    <rPh sb="27" eb="29">
      <t>シュトク</t>
    </rPh>
    <phoneticPr fontId="2"/>
  </si>
  <si>
    <t xml:space="preserve">  数列全体の中で最大のポイントを算出する</t>
    <rPh sb="7" eb="8">
      <t>ナカ</t>
    </rPh>
    <rPh sb="17" eb="19">
      <t>サンシュツ</t>
    </rPh>
    <phoneticPr fontId="2"/>
  </si>
  <si>
    <t>・展望台どうしの隣接リストは vectorの２次元で実現する</t>
    <rPh sb="1" eb="4">
      <t>テンボウダイ</t>
    </rPh>
    <rPh sb="8" eb="10">
      <t>リンセツ</t>
    </rPh>
    <rPh sb="23" eb="25">
      <t>ジゲン</t>
    </rPh>
    <rPh sb="26" eb="28">
      <t>ジツゲン</t>
    </rPh>
    <phoneticPr fontId="2"/>
  </si>
  <si>
    <t>・１次元目(from展望台)は resize し、２次元目(to展望台)は push_back して作成する</t>
    <phoneticPr fontId="2"/>
  </si>
  <si>
    <t>・１次元目を固定し、２次元目を順次取得し ( for (int nEnd : cnrvvnEdge[nBgn]) )、１次元目展望台(from展望台) と</t>
    <rPh sb="2" eb="4">
      <t>ジゲン</t>
    </rPh>
    <rPh sb="4" eb="5">
      <t>メ</t>
    </rPh>
    <rPh sb="6" eb="8">
      <t>コテイ</t>
    </rPh>
    <rPh sb="11" eb="13">
      <t>ジゲン</t>
    </rPh>
    <rPh sb="13" eb="14">
      <t>メ</t>
    </rPh>
    <rPh sb="15" eb="17">
      <t>ジュンジ</t>
    </rPh>
    <rPh sb="17" eb="19">
      <t>シュトク</t>
    </rPh>
    <rPh sb="60" eb="62">
      <t>ジゲン</t>
    </rPh>
    <rPh sb="62" eb="63">
      <t>メ</t>
    </rPh>
    <rPh sb="63" eb="66">
      <t>テンボウダイ</t>
    </rPh>
    <rPh sb="71" eb="74">
      <t>テンボウダイ</t>
    </rPh>
    <phoneticPr fontId="2"/>
  </si>
  <si>
    <t xml:space="preserve">  ２次元目展望台(to展望台)の高さを比較し、１次元目展望台の最も高ければ、｢良い展望台｣ としてカウントする</t>
    <rPh sb="3" eb="6">
      <t>ジゲンメ</t>
    </rPh>
    <rPh sb="6" eb="9">
      <t>テンボウダイ</t>
    </rPh>
    <rPh sb="12" eb="15">
      <t>テンボウダイ</t>
    </rPh>
    <rPh sb="17" eb="18">
      <t>タカ</t>
    </rPh>
    <rPh sb="20" eb="22">
      <t>ヒカク</t>
    </rPh>
    <rPh sb="25" eb="27">
      <t>ジゲン</t>
    </rPh>
    <rPh sb="27" eb="28">
      <t>メ</t>
    </rPh>
    <rPh sb="28" eb="31">
      <t>テンボウダイ</t>
    </rPh>
    <rPh sb="32" eb="33">
      <t>モット</t>
    </rPh>
    <rPh sb="34" eb="35">
      <t>タカ</t>
    </rPh>
    <rPh sb="40" eb="41">
      <t>ヨ</t>
    </rPh>
    <rPh sb="42" eb="45">
      <t>テンボウダイ</t>
    </rPh>
    <phoneticPr fontId="2"/>
  </si>
  <si>
    <t>ABC168_C_:(Colon)</t>
    <phoneticPr fontId="2"/>
  </si>
  <si>
    <t>・0:00 からの分針の角度をラジアンで求める  (nMinute / 60.0 ) × 2π</t>
    <rPh sb="9" eb="11">
      <t>フンシン</t>
    </rPh>
    <rPh sb="12" eb="14">
      <t>カクド</t>
    </rPh>
    <rPh sb="20" eb="21">
      <t>モト</t>
    </rPh>
    <phoneticPr fontId="2"/>
  </si>
  <si>
    <t>・0:00 からの時針の角度をラジアンで求める  (nHour + ( nMinute / 60.0 )) / 12.0 × 2π</t>
    <rPh sb="9" eb="11">
      <t>ジシン</t>
    </rPh>
    <rPh sb="12" eb="14">
      <t>カクド</t>
    </rPh>
    <rPh sb="20" eb="21">
      <t>モト</t>
    </rPh>
    <phoneticPr fontId="2"/>
  </si>
  <si>
    <t>・時針と分針の距離は余弦定理を使用して算出する</t>
    <rPh sb="1" eb="3">
      <t>ジシン</t>
    </rPh>
    <rPh sb="4" eb="6">
      <t>フンシン</t>
    </rPh>
    <rPh sb="7" eb="9">
      <t>キョリ</t>
    </rPh>
    <rPh sb="10" eb="12">
      <t>ヨゲン</t>
    </rPh>
    <rPh sb="12" eb="14">
      <t>テイリ</t>
    </rPh>
    <rPh sb="15" eb="17">
      <t>シヨウ</t>
    </rPh>
    <rPh sb="19" eb="21">
      <t>サンシュツ</t>
    </rPh>
    <phoneticPr fontId="2"/>
  </si>
  <si>
    <t>・文字列のアナグラムをカウントするために、入力された文字列を sort する</t>
    <rPh sb="1" eb="4">
      <t>モジレツ</t>
    </rPh>
    <rPh sb="21" eb="23">
      <t>ニュウリョク</t>
    </rPh>
    <rPh sb="26" eb="29">
      <t>モジレツ</t>
    </rPh>
    <phoneticPr fontId="2"/>
  </si>
  <si>
    <t>・sort された文字列をキーに map で同じ文字列の出現回数をカウントする</t>
    <rPh sb="9" eb="11">
      <t>モジ</t>
    </rPh>
    <rPh sb="11" eb="12">
      <t>レツ</t>
    </rPh>
    <rPh sb="22" eb="23">
      <t>オナ</t>
    </rPh>
    <rPh sb="24" eb="27">
      <t>モジレツ</t>
    </rPh>
    <rPh sb="28" eb="30">
      <t>シュツゲン</t>
    </rPh>
    <rPh sb="30" eb="32">
      <t>カイスウ</t>
    </rPh>
    <phoneticPr fontId="2"/>
  </si>
  <si>
    <t xml:space="preserve">  このとき、出現回数初回のときは０かい、２回目のときは１回、・・・、ｎ回目のときは n-1回とカウントする</t>
    <rPh sb="7" eb="9">
      <t>シュツゲン</t>
    </rPh>
    <rPh sb="9" eb="11">
      <t>カイスウ</t>
    </rPh>
    <rPh sb="11" eb="13">
      <t>ショカイ</t>
    </rPh>
    <rPh sb="22" eb="24">
      <t>カイメ</t>
    </rPh>
    <rPh sb="29" eb="30">
      <t>カイ</t>
    </rPh>
    <rPh sb="36" eb="38">
      <t>カイメ</t>
    </rPh>
    <rPh sb="46" eb="47">
      <t>カイ</t>
    </rPh>
    <phoneticPr fontId="2"/>
  </si>
  <si>
    <t xml:space="preserve">  ( cnt++; 後置インクリメント使用 )</t>
    <rPh sb="11" eb="13">
      <t>コウチ</t>
    </rPh>
    <rPh sb="20" eb="22">
      <t>シヨウ</t>
    </rPh>
    <phoneticPr fontId="2"/>
  </si>
  <si>
    <t>・正数N の平方根を超えない正数Rを算出する</t>
    <rPh sb="1" eb="3">
      <t>セイスウ</t>
    </rPh>
    <rPh sb="6" eb="9">
      <t>ヘイホウコン</t>
    </rPh>
    <rPh sb="10" eb="11">
      <t>コ</t>
    </rPh>
    <rPh sb="14" eb="16">
      <t>セイスウ</t>
    </rPh>
    <rPh sb="18" eb="20">
      <t>サンシュツ</t>
    </rPh>
    <phoneticPr fontId="2"/>
  </si>
  <si>
    <t>・乗数として１～R までループし、乗数が正数R に最も近く かつ 正数N を割り切れるもの(被乗数)を算出</t>
    <rPh sb="1" eb="3">
      <t>ジョウスウ</t>
    </rPh>
    <rPh sb="17" eb="19">
      <t>ジョウスウ</t>
    </rPh>
    <rPh sb="20" eb="22">
      <t>セイスウ</t>
    </rPh>
    <rPh sb="25" eb="26">
      <t>モット</t>
    </rPh>
    <rPh sb="27" eb="28">
      <t>チカ</t>
    </rPh>
    <rPh sb="33" eb="35">
      <t>セイスウ</t>
    </rPh>
    <rPh sb="38" eb="39">
      <t>ワ</t>
    </rPh>
    <rPh sb="40" eb="41">
      <t>キ</t>
    </rPh>
    <rPh sb="46" eb="49">
      <t>ヒジョウスウ</t>
    </rPh>
    <rPh sb="51" eb="53">
      <t>サンシュツ</t>
    </rPh>
    <phoneticPr fontId="2"/>
  </si>
  <si>
    <t>・(被乗数ー1)+(乗数ー１) が (１,１) からの移動回数の最小である</t>
    <rPh sb="2" eb="5">
      <t>ヒジョウスウ</t>
    </rPh>
    <rPh sb="10" eb="12">
      <t>ジョウスウ</t>
    </rPh>
    <phoneticPr fontId="2"/>
  </si>
  <si>
    <r>
      <t>・整数１～10</t>
    </r>
    <r>
      <rPr>
        <vertAlign val="superscript"/>
        <sz val="10"/>
        <color theme="1"/>
        <rFont val="Meiryo UI"/>
        <family val="3"/>
        <charset val="128"/>
      </rPr>
      <t>5</t>
    </r>
    <r>
      <rPr>
        <sz val="10"/>
        <color theme="1"/>
        <rFont val="Meiryo UI"/>
        <family val="3"/>
        <charset val="128"/>
      </rPr>
      <t>＋1 までの二分索引で、買うことのできる最大の整数を算出</t>
    </r>
    <rPh sb="1" eb="3">
      <t>セイスウ</t>
    </rPh>
    <rPh sb="14" eb="16">
      <t>ニブン</t>
    </rPh>
    <rPh sb="16" eb="18">
      <t>サクイン</t>
    </rPh>
    <rPh sb="20" eb="21">
      <t>カ</t>
    </rPh>
    <rPh sb="28" eb="30">
      <t>サイダイ</t>
    </rPh>
    <rPh sb="31" eb="33">
      <t>セイスウ</t>
    </rPh>
    <rPh sb="34" eb="36">
      <t>サンシュツ</t>
    </rPh>
    <phoneticPr fontId="2"/>
  </si>
  <si>
    <t xml:space="preserve">  二分索引は nLow に検索範囲内の最小値を設定し、 nHigh に検索範囲外の最小値を設定する</t>
    <rPh sb="2" eb="4">
      <t>ニブン</t>
    </rPh>
    <rPh sb="4" eb="6">
      <t>サクイン</t>
    </rPh>
    <rPh sb="14" eb="16">
      <t>ケンサク</t>
    </rPh>
    <rPh sb="16" eb="19">
      <t>ハンイナイ</t>
    </rPh>
    <rPh sb="20" eb="23">
      <t>サイショウチ</t>
    </rPh>
    <rPh sb="24" eb="26">
      <t>セッテイ</t>
    </rPh>
    <rPh sb="36" eb="38">
      <t>ケンサク</t>
    </rPh>
    <rPh sb="38" eb="40">
      <t>ハンイ</t>
    </rPh>
    <rPh sb="40" eb="41">
      <t>ガイ</t>
    </rPh>
    <rPh sb="42" eb="45">
      <t>サイショウチ</t>
    </rPh>
    <rPh sb="46" eb="48">
      <t>セッテイ</t>
    </rPh>
    <phoneticPr fontId="2"/>
  </si>
  <si>
    <t>・参加人数ＡとBの LCM を算出する</t>
    <rPh sb="1" eb="3">
      <t>サンカ</t>
    </rPh>
    <rPh sb="3" eb="5">
      <t>ニンズウ</t>
    </rPh>
    <rPh sb="15" eb="17">
      <t>サンシュツ</t>
    </rPh>
    <phoneticPr fontId="2"/>
  </si>
  <si>
    <t xml:space="preserve">  LCM(A, B)＝GCD(A, B) * A' * B'  (A'＝A / GCD(A, B), B'＝B / GCD(A, B) )</t>
    <phoneticPr fontId="2"/>
  </si>
  <si>
    <t>・整数N に対して、整数K の mod を算出し、N’ とする。 求める最小値は min(Ｎ’, Ｋ－Ｎ’) となる</t>
    <rPh sb="1" eb="3">
      <t>セイスウ</t>
    </rPh>
    <rPh sb="6" eb="7">
      <t>タイ</t>
    </rPh>
    <rPh sb="10" eb="12">
      <t>セイスウ</t>
    </rPh>
    <rPh sb="21" eb="23">
      <t>サンシュツ</t>
    </rPh>
    <rPh sb="33" eb="34">
      <t>モト</t>
    </rPh>
    <rPh sb="36" eb="39">
      <t>サイショウチ</t>
    </rPh>
    <phoneticPr fontId="2"/>
  </si>
  <si>
    <t>・整数N の積となる２数A, B に対して、F(A, B) (A, B の桁数の大きい方) を最小にするためには</t>
    <rPh sb="1" eb="3">
      <t>セイスウ</t>
    </rPh>
    <rPh sb="6" eb="7">
      <t>セキ</t>
    </rPh>
    <rPh sb="11" eb="12">
      <t>スウ</t>
    </rPh>
    <rPh sb="18" eb="19">
      <t>タイ</t>
    </rPh>
    <rPh sb="37" eb="39">
      <t>ケタスウ</t>
    </rPh>
    <rPh sb="40" eb="41">
      <t>オオ</t>
    </rPh>
    <rPh sb="43" eb="44">
      <t>ホウ</t>
    </rPh>
    <rPh sb="47" eb="49">
      <t>サイショウ</t>
    </rPh>
    <phoneticPr fontId="2"/>
  </si>
  <si>
    <t xml:space="preserve">  2数A, B が整数N の平方根に最も近い数の組を選択すればよい</t>
    <rPh sb="3" eb="4">
      <t>スウ</t>
    </rPh>
    <rPh sb="10" eb="12">
      <t>セイスウ</t>
    </rPh>
    <rPh sb="15" eb="18">
      <t>ヘイホウコン</t>
    </rPh>
    <rPh sb="19" eb="20">
      <t>モット</t>
    </rPh>
    <rPh sb="21" eb="22">
      <t>チカ</t>
    </rPh>
    <rPh sb="23" eb="24">
      <t>スウ</t>
    </rPh>
    <rPh sb="25" eb="26">
      <t>クミ</t>
    </rPh>
    <rPh sb="27" eb="29">
      <t>センタク</t>
    </rPh>
    <phoneticPr fontId="2"/>
  </si>
  <si>
    <t xml:space="preserve">  N の平方根を超えない整数S を算出し、S 以下で N を割り切る数 n を算出する。N / n の桁数が求める値である</t>
    <rPh sb="5" eb="8">
      <t>ヘイホウコン</t>
    </rPh>
    <rPh sb="9" eb="10">
      <t>コ</t>
    </rPh>
    <rPh sb="13" eb="15">
      <t>セイスウ</t>
    </rPh>
    <rPh sb="18" eb="20">
      <t>サンシュツ</t>
    </rPh>
    <rPh sb="24" eb="26">
      <t>イカ</t>
    </rPh>
    <rPh sb="31" eb="32">
      <t>ワ</t>
    </rPh>
    <rPh sb="33" eb="34">
      <t>キ</t>
    </rPh>
    <rPh sb="35" eb="36">
      <t>スウ</t>
    </rPh>
    <rPh sb="40" eb="42">
      <t>サンシュツ</t>
    </rPh>
    <rPh sb="52" eb="54">
      <t>ケタスウ</t>
    </rPh>
    <rPh sb="55" eb="56">
      <t>モト</t>
    </rPh>
    <rPh sb="58" eb="59">
      <t>アタイ</t>
    </rPh>
    <phoneticPr fontId="2"/>
  </si>
  <si>
    <t>・第１ループ：色配列が存在する間、隣接する異なる色をカウントし、添え字を進める</t>
    <rPh sb="1" eb="2">
      <t>ダイ</t>
    </rPh>
    <rPh sb="7" eb="8">
      <t>イロ</t>
    </rPh>
    <rPh sb="8" eb="10">
      <t>ハイレツ</t>
    </rPh>
    <rPh sb="11" eb="13">
      <t>ソンザイ</t>
    </rPh>
    <rPh sb="15" eb="16">
      <t>アイダ</t>
    </rPh>
    <rPh sb="17" eb="19">
      <t>リンセツ</t>
    </rPh>
    <rPh sb="32" eb="33">
      <t>ソ</t>
    </rPh>
    <rPh sb="34" eb="35">
      <t>ジ</t>
    </rPh>
    <rPh sb="36" eb="37">
      <t>スス</t>
    </rPh>
    <phoneticPr fontId="2"/>
  </si>
  <si>
    <t xml:space="preserve">  第２ループ：隣接する色が同じ間、添え字を進める</t>
    <rPh sb="2" eb="3">
      <t>ダイ</t>
    </rPh>
    <rPh sb="14" eb="15">
      <t>オナ</t>
    </rPh>
    <rPh sb="16" eb="17">
      <t>アイダ</t>
    </rPh>
    <rPh sb="18" eb="19">
      <t>ソ</t>
    </rPh>
    <rPh sb="20" eb="21">
      <t>ジ</t>
    </rPh>
    <rPh sb="22" eb="23">
      <t>スス</t>
    </rPh>
    <phoneticPr fontId="2"/>
  </si>
  <si>
    <t>・第１ループ：高さ配列が存在する間、最大の移動回数をカウントし、添え字を進める</t>
    <rPh sb="1" eb="2">
      <t>ダイ</t>
    </rPh>
    <rPh sb="7" eb="8">
      <t>タカ</t>
    </rPh>
    <rPh sb="9" eb="11">
      <t>ハイレツ</t>
    </rPh>
    <rPh sb="12" eb="14">
      <t>ソンザイ</t>
    </rPh>
    <rPh sb="16" eb="17">
      <t>アイダ</t>
    </rPh>
    <rPh sb="18" eb="20">
      <t>サイダイ</t>
    </rPh>
    <rPh sb="21" eb="23">
      <t>イドウ</t>
    </rPh>
    <rPh sb="23" eb="25">
      <t>カイスウ</t>
    </rPh>
    <rPh sb="32" eb="33">
      <t>ソ</t>
    </rPh>
    <rPh sb="34" eb="35">
      <t>ジ</t>
    </rPh>
    <rPh sb="36" eb="37">
      <t>スス</t>
    </rPh>
    <phoneticPr fontId="2"/>
  </si>
  <si>
    <t xml:space="preserve">  第２ループ：高さ[n] ≧ 高さ[n＋1] の間、移動回数をカウントし、添え字を進める</t>
    <rPh sb="2" eb="3">
      <t>ダイ</t>
    </rPh>
    <rPh sb="8" eb="9">
      <t>タカ</t>
    </rPh>
    <rPh sb="16" eb="17">
      <t>タカ</t>
    </rPh>
    <rPh sb="25" eb="26">
      <t>アイダ</t>
    </rPh>
    <rPh sb="27" eb="29">
      <t>イドウ</t>
    </rPh>
    <rPh sb="29" eb="31">
      <t>カイスウ</t>
    </rPh>
    <rPh sb="38" eb="39">
      <t>ソ</t>
    </rPh>
    <rPh sb="40" eb="41">
      <t>ジ</t>
    </rPh>
    <rPh sb="42" eb="43">
      <t>スス</t>
    </rPh>
    <phoneticPr fontId="2"/>
  </si>
  <si>
    <t>・高さ配列を最後まで参照し、高さ[n]&gt;高さ[n+1] の場合、その差分を 踏み台高さに加算し、高さ[n+1] ← 高さ[n] に設定する</t>
    <rPh sb="1" eb="2">
      <t>タカ</t>
    </rPh>
    <rPh sb="3" eb="5">
      <t>ハイレツ</t>
    </rPh>
    <rPh sb="6" eb="8">
      <t>サイゴ</t>
    </rPh>
    <rPh sb="10" eb="12">
      <t>サンショウ</t>
    </rPh>
    <rPh sb="14" eb="15">
      <t>タカ</t>
    </rPh>
    <rPh sb="20" eb="21">
      <t>タカ</t>
    </rPh>
    <rPh sb="29" eb="31">
      <t>バアイ</t>
    </rPh>
    <rPh sb="34" eb="36">
      <t>サブン</t>
    </rPh>
    <rPh sb="38" eb="39">
      <t>フ</t>
    </rPh>
    <rPh sb="40" eb="41">
      <t>ダイ</t>
    </rPh>
    <rPh sb="41" eb="42">
      <t>タカ</t>
    </rPh>
    <rPh sb="44" eb="46">
      <t>カサン</t>
    </rPh>
    <rPh sb="48" eb="49">
      <t>タカ</t>
    </rPh>
    <rPh sb="58" eb="59">
      <t>タカ</t>
    </rPh>
    <rPh sb="65" eb="67">
      <t>セッテイ</t>
    </rPh>
    <phoneticPr fontId="2"/>
  </si>
  <si>
    <t>・座標の絶対値としてあり得る値の最小値を求めることより、座標X は最初から 絶対値 で考えてもよい</t>
    <rPh sb="20" eb="21">
      <t>モト</t>
    </rPh>
    <rPh sb="28" eb="30">
      <t>ザヒョウ</t>
    </rPh>
    <rPh sb="33" eb="35">
      <t>サイショ</t>
    </rPh>
    <rPh sb="38" eb="40">
      <t>ゼッタイ</t>
    </rPh>
    <rPh sb="40" eb="41">
      <t>チ</t>
    </rPh>
    <rPh sb="43" eb="44">
      <t>カンガ</t>
    </rPh>
    <phoneticPr fontId="2"/>
  </si>
  <si>
    <t xml:space="preserve">  座標X を移動D で割った商をQ 余りをR とすると、</t>
    <rPh sb="2" eb="4">
      <t>ザヒョウ</t>
    </rPh>
    <rPh sb="7" eb="9">
      <t>イドウ</t>
    </rPh>
    <rPh sb="12" eb="13">
      <t>ワ</t>
    </rPh>
    <rPh sb="15" eb="16">
      <t>ショウ</t>
    </rPh>
    <rPh sb="19" eb="20">
      <t>アマ</t>
    </rPh>
    <phoneticPr fontId="2"/>
  </si>
  <si>
    <t xml:space="preserve">  Q≧回数K の場合  X－D・K が求める答えであり</t>
    <phoneticPr fontId="2"/>
  </si>
  <si>
    <t xml:space="preserve">  Q&lt;回数K の場合</t>
    <rPh sb="4" eb="6">
      <t>カイスウ</t>
    </rPh>
    <rPh sb="9" eb="11">
      <t>バアイ</t>
    </rPh>
    <phoneticPr fontId="2"/>
  </si>
  <si>
    <t xml:space="preserve">       Q と K の偶奇が一致していれば、R が答えであり、それ以外の場合、ABS(QーK) が答えとなる</t>
    <phoneticPr fontId="2"/>
  </si>
  <si>
    <t>・登校順配列を作成する。登校順番を添え字にして、各要素に出席番号を持たせる</t>
    <rPh sb="1" eb="3">
      <t>トウコウ</t>
    </rPh>
    <rPh sb="3" eb="4">
      <t>ジュン</t>
    </rPh>
    <rPh sb="4" eb="6">
      <t>ハイレツ</t>
    </rPh>
    <rPh sb="7" eb="9">
      <t>サクセイ</t>
    </rPh>
    <rPh sb="17" eb="18">
      <t>ソ</t>
    </rPh>
    <rPh sb="19" eb="20">
      <t>ジ</t>
    </rPh>
    <phoneticPr fontId="2"/>
  </si>
  <si>
    <t>・机Bのブック配列も同様に設定する</t>
    <rPh sb="1" eb="2">
      <t>ツクエ</t>
    </rPh>
    <rPh sb="7" eb="9">
      <t>ハイレツ</t>
    </rPh>
    <rPh sb="10" eb="12">
      <t>ドウヨウ</t>
    </rPh>
    <rPh sb="13" eb="15">
      <t>セッテイ</t>
    </rPh>
    <phoneticPr fontId="2"/>
  </si>
  <si>
    <t xml:space="preserve">  (初めて 机Bのブックを読む時間≦制限時間ー机Aのブックを読む時間 となる 机Bのブック配列の要素を検索する)</t>
    <rPh sb="3" eb="4">
      <t>ハジ</t>
    </rPh>
    <rPh sb="7" eb="8">
      <t>ツクエ</t>
    </rPh>
    <rPh sb="14" eb="15">
      <t>ヨ</t>
    </rPh>
    <rPh sb="16" eb="18">
      <t>ジカン</t>
    </rPh>
    <rPh sb="19" eb="21">
      <t>セイゲン</t>
    </rPh>
    <rPh sb="21" eb="23">
      <t>ジカン</t>
    </rPh>
    <rPh sb="24" eb="25">
      <t>ツクエ</t>
    </rPh>
    <rPh sb="31" eb="32">
      <t>ヨ</t>
    </rPh>
    <rPh sb="33" eb="35">
      <t>ジカン</t>
    </rPh>
    <rPh sb="40" eb="41">
      <t>ツクエ</t>
    </rPh>
    <rPh sb="46" eb="48">
      <t>ハイレツ</t>
    </rPh>
    <rPh sb="49" eb="51">
      <t>ヨウソ</t>
    </rPh>
    <rPh sb="52" eb="54">
      <t>ケンサク</t>
    </rPh>
    <phoneticPr fontId="2"/>
  </si>
  <si>
    <t>・机Ａのブック配列には先頭要素 0冊分のブックを読む時間、2番目要素 1冊分のブックを読む時間、3番目要素 2冊分のブックを</t>
    <rPh sb="1" eb="2">
      <t>ツクエ</t>
    </rPh>
    <rPh sb="7" eb="9">
      <t>ハイレツ</t>
    </rPh>
    <rPh sb="11" eb="13">
      <t>セントウ</t>
    </rPh>
    <rPh sb="13" eb="15">
      <t>ヨウソ</t>
    </rPh>
    <rPh sb="17" eb="18">
      <t>サツ</t>
    </rPh>
    <rPh sb="18" eb="19">
      <t>ブン</t>
    </rPh>
    <rPh sb="24" eb="25">
      <t>ヨ</t>
    </rPh>
    <rPh sb="26" eb="28">
      <t>ジカン</t>
    </rPh>
    <rPh sb="30" eb="32">
      <t>バンメ</t>
    </rPh>
    <rPh sb="32" eb="34">
      <t>ヨウソ</t>
    </rPh>
    <rPh sb="36" eb="37">
      <t>サツ</t>
    </rPh>
    <rPh sb="37" eb="38">
      <t>ブン</t>
    </rPh>
    <rPh sb="43" eb="44">
      <t>ヨ</t>
    </rPh>
    <rPh sb="45" eb="47">
      <t>ジカン</t>
    </rPh>
    <rPh sb="49" eb="51">
      <t>バンメ</t>
    </rPh>
    <rPh sb="51" eb="53">
      <t>ヨウソ</t>
    </rPh>
    <rPh sb="55" eb="56">
      <t>サツ</t>
    </rPh>
    <rPh sb="56" eb="57">
      <t>ブン</t>
    </rPh>
    <phoneticPr fontId="2"/>
  </si>
  <si>
    <t xml:space="preserve">  読む時間、・・・、N+1番目の要素 N冊分のブックを読む時間 を設定する</t>
    <rPh sb="28" eb="29">
      <t>ヨ</t>
    </rPh>
    <rPh sb="30" eb="32">
      <t>ジカン</t>
    </rPh>
    <rPh sb="34" eb="36">
      <t>セッテイ</t>
    </rPh>
    <phoneticPr fontId="2"/>
  </si>
  <si>
    <t>・机Aのブック配列の要素番号＋机Bのブック配列の要素番号が ブックの冊数合計を表し、この max値 を算出する</t>
    <rPh sb="1" eb="2">
      <t>ツクエ</t>
    </rPh>
    <rPh sb="7" eb="9">
      <t>ハイレツ</t>
    </rPh>
    <rPh sb="10" eb="12">
      <t>ヨウソ</t>
    </rPh>
    <rPh sb="12" eb="14">
      <t>バンゴウ</t>
    </rPh>
    <rPh sb="15" eb="16">
      <t>ツクエ</t>
    </rPh>
    <rPh sb="21" eb="23">
      <t>ハイレツ</t>
    </rPh>
    <rPh sb="24" eb="26">
      <t>ヨウソ</t>
    </rPh>
    <rPh sb="26" eb="28">
      <t>バンゴウ</t>
    </rPh>
    <rPh sb="34" eb="36">
      <t>サッスウ</t>
    </rPh>
    <rPh sb="36" eb="38">
      <t>ゴウケイ</t>
    </rPh>
    <rPh sb="39" eb="40">
      <t>アラワ</t>
    </rPh>
    <rPh sb="48" eb="49">
      <t>チ</t>
    </rPh>
    <rPh sb="51" eb="53">
      <t>サンシュツ</t>
    </rPh>
    <phoneticPr fontId="2"/>
  </si>
  <si>
    <t>・机Aのブック配列の次の要素を参照する</t>
    <rPh sb="1" eb="2">
      <t>ツクエ</t>
    </rPh>
    <rPh sb="7" eb="9">
      <t>ハイレツ</t>
    </rPh>
    <rPh sb="10" eb="11">
      <t>ツギ</t>
    </rPh>
    <rPh sb="12" eb="14">
      <t>ヨウソ</t>
    </rPh>
    <rPh sb="15" eb="17">
      <t>サンショウ</t>
    </rPh>
    <phoneticPr fontId="2"/>
  </si>
  <si>
    <t xml:space="preserve">  参照した要素が表す 机Aのブックを読む時間≦制限時間の間、以下の処理を行う</t>
    <rPh sb="2" eb="4">
      <t>サンショウ</t>
    </rPh>
    <rPh sb="6" eb="8">
      <t>ヨウソ</t>
    </rPh>
    <rPh sb="9" eb="10">
      <t>アラワ</t>
    </rPh>
    <rPh sb="12" eb="13">
      <t>ツクエ</t>
    </rPh>
    <rPh sb="19" eb="20">
      <t>ヨ</t>
    </rPh>
    <rPh sb="21" eb="23">
      <t>ジカン</t>
    </rPh>
    <rPh sb="24" eb="26">
      <t>セイゲン</t>
    </rPh>
    <rPh sb="26" eb="28">
      <t>ジカン</t>
    </rPh>
    <rPh sb="29" eb="30">
      <t>アイダ</t>
    </rPh>
    <rPh sb="31" eb="33">
      <t>イカ</t>
    </rPh>
    <rPh sb="34" eb="36">
      <t>ショリ</t>
    </rPh>
    <rPh sb="37" eb="38">
      <t>オコナ</t>
    </rPh>
    <phoneticPr fontId="2"/>
  </si>
  <si>
    <t>・机Bのブック配列を最終配列から 先頭配列まで順に参照し、参照した要素が表す</t>
    <rPh sb="1" eb="2">
      <t>ツクエ</t>
    </rPh>
    <rPh sb="7" eb="9">
      <t>ハイレツ</t>
    </rPh>
    <rPh sb="10" eb="12">
      <t>サイシュウ</t>
    </rPh>
    <rPh sb="12" eb="14">
      <t>ハイレツ</t>
    </rPh>
    <rPh sb="17" eb="19">
      <t>セントウ</t>
    </rPh>
    <rPh sb="19" eb="21">
      <t>ハイレツ</t>
    </rPh>
    <rPh sb="23" eb="24">
      <t>ジュン</t>
    </rPh>
    <rPh sb="25" eb="27">
      <t>サンショウ</t>
    </rPh>
    <rPh sb="29" eb="31">
      <t>サンショウ</t>
    </rPh>
    <rPh sb="33" eb="35">
      <t>ヨウソ</t>
    </rPh>
    <rPh sb="36" eb="37">
      <t>アラワ</t>
    </rPh>
    <phoneticPr fontId="2"/>
  </si>
  <si>
    <t xml:space="preserve">  机Bのブックを読む時間＞制限時間ー机Aのブックを読む時間 の間、参照する要素を前にする</t>
    <rPh sb="34" eb="36">
      <t>サンショウ</t>
    </rPh>
    <rPh sb="38" eb="40">
      <t>ヨウソ</t>
    </rPh>
    <rPh sb="41" eb="42">
      <t>マエ</t>
    </rPh>
    <phoneticPr fontId="2"/>
  </si>
  <si>
    <t>・机Aのブック配列を先頭要素から順に参照する</t>
    <rPh sb="1" eb="2">
      <t>ツクエ</t>
    </rPh>
    <rPh sb="7" eb="9">
      <t>ハイレツ</t>
    </rPh>
    <rPh sb="10" eb="12">
      <t>セントウ</t>
    </rPh>
    <rPh sb="12" eb="14">
      <t>ヨウソ</t>
    </rPh>
    <rPh sb="16" eb="17">
      <t>ジュン</t>
    </rPh>
    <rPh sb="18" eb="20">
      <t>サンショウ</t>
    </rPh>
    <phoneticPr fontId="2"/>
  </si>
  <si>
    <t>・参照要素≦最終要素 かつ</t>
    <phoneticPr fontId="2"/>
  </si>
  <si>
    <t>・map&lt;価格, 個数&gt;で実装可能</t>
    <rPh sb="5" eb="7">
      <t>カカク</t>
    </rPh>
    <rPh sb="9" eb="11">
      <t>コスウ</t>
    </rPh>
    <rPh sb="13" eb="15">
      <t>ジッソウ</t>
    </rPh>
    <rPh sb="15" eb="17">
      <t>カノウ</t>
    </rPh>
    <phoneticPr fontId="2"/>
  </si>
  <si>
    <r>
      <t xml:space="preserve">・map[ 価格[n] ] </t>
    </r>
    <r>
      <rPr>
        <b/>
        <sz val="10"/>
        <color theme="1"/>
        <rFont val="Meiryo UI"/>
        <family val="3"/>
        <charset val="128"/>
      </rPr>
      <t>+=</t>
    </r>
    <r>
      <rPr>
        <sz val="10"/>
        <color theme="1"/>
        <rFont val="Meiryo UI"/>
        <family val="3"/>
        <charset val="128"/>
      </rPr>
      <t xml:space="preserve"> 個数[n]; としてやれば、同一価格（価格[n] ）の場合、個数（個数[n] ） を加算することができる</t>
    </r>
    <rPh sb="6" eb="8">
      <t>カカク</t>
    </rPh>
    <rPh sb="17" eb="19">
      <t>コスウ</t>
    </rPh>
    <rPh sb="31" eb="33">
      <t>ドウイツ</t>
    </rPh>
    <rPh sb="33" eb="35">
      <t>カカク</t>
    </rPh>
    <rPh sb="36" eb="38">
      <t>カカク</t>
    </rPh>
    <rPh sb="44" eb="46">
      <t>バアイ</t>
    </rPh>
    <rPh sb="47" eb="49">
      <t>コスウ</t>
    </rPh>
    <rPh sb="50" eb="52">
      <t>コスウ</t>
    </rPh>
    <rPh sb="59" eb="61">
      <t>カサン</t>
    </rPh>
    <phoneticPr fontId="2"/>
  </si>
  <si>
    <t>・整数列をキーとして map に格納し、出現回数をカウントする</t>
    <rPh sb="1" eb="3">
      <t>セイスウ</t>
    </rPh>
    <rPh sb="3" eb="4">
      <t>レツ</t>
    </rPh>
    <rPh sb="16" eb="18">
      <t>カクノウ</t>
    </rPh>
    <rPh sb="20" eb="22">
      <t>シュツゲン</t>
    </rPh>
    <rPh sb="22" eb="24">
      <t>カイスウ</t>
    </rPh>
    <phoneticPr fontId="2"/>
  </si>
  <si>
    <t xml:space="preserve">  整数X と最も近い整数で map に存在しない整数を探す。整数X より大きい整数、小さい整数 をそれぞれ検索し、整数X に近い方が</t>
    <rPh sb="2" eb="4">
      <t>セイスウ</t>
    </rPh>
    <rPh sb="7" eb="8">
      <t>モット</t>
    </rPh>
    <rPh sb="9" eb="10">
      <t>チカ</t>
    </rPh>
    <rPh sb="11" eb="13">
      <t>セイスウ</t>
    </rPh>
    <rPh sb="20" eb="22">
      <t>ソンザイ</t>
    </rPh>
    <rPh sb="25" eb="27">
      <t>セイスウ</t>
    </rPh>
    <rPh sb="28" eb="29">
      <t>サガ</t>
    </rPh>
    <rPh sb="31" eb="33">
      <t>セイスウ</t>
    </rPh>
    <rPh sb="37" eb="38">
      <t>オオ</t>
    </rPh>
    <rPh sb="40" eb="42">
      <t>セイスウ</t>
    </rPh>
    <rPh sb="43" eb="44">
      <t>チイ</t>
    </rPh>
    <rPh sb="46" eb="48">
      <t>セイスウ</t>
    </rPh>
    <rPh sb="54" eb="56">
      <t>ケンサク</t>
    </rPh>
    <rPh sb="58" eb="60">
      <t>セイスウ</t>
    </rPh>
    <rPh sb="63" eb="64">
      <t>チカ</t>
    </rPh>
    <rPh sb="65" eb="66">
      <t>ホウ</t>
    </rPh>
    <phoneticPr fontId="2"/>
  </si>
  <si>
    <t xml:space="preserve">  求める答えとなる</t>
    <rPh sb="2" eb="3">
      <t>モト</t>
    </rPh>
    <rPh sb="5" eb="6">
      <t>コタ</t>
    </rPh>
    <phoneticPr fontId="2"/>
  </si>
  <si>
    <t>・(左からの)位置と数値の指定について</t>
  </si>
  <si>
    <t>・表示可能なとき、指定されていない桁数について</t>
  </si>
  <si>
    <t xml:space="preserve">  同じ位置に異なる数値が指定された場合   -1 表示</t>
    <phoneticPr fontId="2"/>
  </si>
  <si>
    <t xml:space="preserve">  上記以外は表示可能</t>
    <phoneticPr fontId="2"/>
  </si>
  <si>
    <t xml:space="preserve">    １桁目の場合</t>
    <rPh sb="8" eb="10">
      <t>バアイ</t>
    </rPh>
    <phoneticPr fontId="2"/>
  </si>
  <si>
    <t xml:space="preserve">    １桁目以外のとき ０ を補う</t>
    <phoneticPr fontId="2"/>
  </si>
  <si>
    <t xml:space="preserve">       数値桁数が１桁の場合 ０ を補う</t>
    <rPh sb="21" eb="22">
      <t>オギナ</t>
    </rPh>
    <phoneticPr fontId="2"/>
  </si>
  <si>
    <t xml:space="preserve">       数値桁数が２桁以上のとき １ を補う (０は１桁の整数とし、その他の整数について、先頭に０をつけた表記は認めないため)</t>
    <rPh sb="23" eb="24">
      <t>オギナ</t>
    </rPh>
    <phoneticPr fontId="2"/>
  </si>
  <si>
    <t xml:space="preserve">  １桁目が０ かつ 数値桁数が２桁以上の場合 -1 表示 </t>
    <phoneticPr fontId="2"/>
  </si>
  <si>
    <t xml:space="preserve">      (０は１桁の整数とし、その他の整数について、先頭に０をつけた表記は認めないため)</t>
    <phoneticPr fontId="2"/>
  </si>
  <si>
    <t xml:space="preserve">  double型のＮ個の座標平均に 0.5 を加算し、int型にキャストする</t>
    <rPh sb="8" eb="9">
      <t>ガタ</t>
    </rPh>
    <rPh sb="11" eb="12">
      <t>コ</t>
    </rPh>
    <rPh sb="13" eb="15">
      <t>ザヒョウ</t>
    </rPh>
    <rPh sb="15" eb="17">
      <t>ヘイキン</t>
    </rPh>
    <rPh sb="24" eb="26">
      <t>カサン</t>
    </rPh>
    <rPh sb="31" eb="32">
      <t>ガタ</t>
    </rPh>
    <phoneticPr fontId="2"/>
  </si>
  <si>
    <t>・double型で Ｎ個の座標の平均を求め、int型にキャストすると、正しい整数にならない (１少ない) ことがあるため、</t>
    <rPh sb="7" eb="8">
      <t>ガタ</t>
    </rPh>
    <rPh sb="11" eb="12">
      <t>コ</t>
    </rPh>
    <rPh sb="13" eb="15">
      <t>ザヒョウ</t>
    </rPh>
    <rPh sb="16" eb="18">
      <t>ヘイキン</t>
    </rPh>
    <rPh sb="19" eb="20">
      <t>モト</t>
    </rPh>
    <rPh sb="25" eb="26">
      <t>ガタ</t>
    </rPh>
    <rPh sb="35" eb="36">
      <t>タダ</t>
    </rPh>
    <rPh sb="38" eb="40">
      <t>セイスウ</t>
    </rPh>
    <rPh sb="48" eb="49">
      <t>スク</t>
    </rPh>
    <phoneticPr fontId="2"/>
  </si>
  <si>
    <t>・Ｎ個の座標の平均を求める。そこが最もコストが小さくなる点である</t>
    <rPh sb="2" eb="3">
      <t>コ</t>
    </rPh>
    <rPh sb="4" eb="6">
      <t>ザヒョウ</t>
    </rPh>
    <rPh sb="7" eb="9">
      <t>ヘイキン</t>
    </rPh>
    <rPh sb="10" eb="11">
      <t>モト</t>
    </rPh>
    <rPh sb="17" eb="18">
      <t>モット</t>
    </rPh>
    <rPh sb="23" eb="24">
      <t>チイ</t>
    </rPh>
    <rPh sb="28" eb="29">
      <t>テン</t>
    </rPh>
    <phoneticPr fontId="2"/>
  </si>
  <si>
    <t>・map で文字列をキーにして、その出現回数を取得する</t>
    <rPh sb="6" eb="9">
      <t>モジレツ</t>
    </rPh>
    <rPh sb="18" eb="22">
      <t>シュツゲンカイスウ</t>
    </rPh>
    <rPh sb="23" eb="25">
      <t>シュトク</t>
    </rPh>
    <phoneticPr fontId="2"/>
  </si>
  <si>
    <t>・出現回数の最大値を求め、その最大値を出現回数とする文字列を表示する</t>
    <rPh sb="1" eb="5">
      <t>シュツゲンカイスウ</t>
    </rPh>
    <rPh sb="6" eb="8">
      <t>サイダイ</t>
    </rPh>
    <rPh sb="8" eb="9">
      <t>チ</t>
    </rPh>
    <rPh sb="10" eb="11">
      <t>モト</t>
    </rPh>
    <rPh sb="15" eb="18">
      <t>サイダイチ</t>
    </rPh>
    <rPh sb="19" eb="23">
      <t>シュツゲンカイスウ</t>
    </rPh>
    <rPh sb="26" eb="29">
      <t>モジレツ</t>
    </rPh>
    <rPh sb="30" eb="32">
      <t>ヒョウジ</t>
    </rPh>
    <phoneticPr fontId="2"/>
  </si>
  <si>
    <t>・モンスターのライフポイント配列を大きい順に sort する</t>
    <rPh sb="14" eb="16">
      <t>ハイレツ</t>
    </rPh>
    <rPh sb="17" eb="18">
      <t>オオ</t>
    </rPh>
    <rPh sb="20" eb="21">
      <t>ジュン</t>
    </rPh>
    <phoneticPr fontId="2"/>
  </si>
  <si>
    <t xml:space="preserve">  通常の攻撃でモンスターを倒す</t>
    <rPh sb="2" eb="4">
      <t>ツウジョウ</t>
    </rPh>
    <rPh sb="5" eb="7">
      <t>コウゲキ</t>
    </rPh>
    <rPh sb="14" eb="15">
      <t>タオ</t>
    </rPh>
    <phoneticPr fontId="2"/>
  </si>
  <si>
    <t xml:space="preserve">・ライフポイント配列の配列番号０～ (必殺技回数ー１) までは必殺技でモンスターを倒し、必殺技回数～最終要素番号までは </t>
    <rPh sb="8" eb="10">
      <t>ハイレツ</t>
    </rPh>
    <rPh sb="11" eb="15">
      <t>ハイレツバンゴウ</t>
    </rPh>
    <rPh sb="19" eb="22">
      <t>ヒッサツワザ</t>
    </rPh>
    <rPh sb="22" eb="24">
      <t>カイスウ</t>
    </rPh>
    <rPh sb="31" eb="34">
      <t>ヒッサツワザ</t>
    </rPh>
    <rPh sb="41" eb="42">
      <t>タオ</t>
    </rPh>
    <rPh sb="44" eb="47">
      <t>ヒッサツワザ</t>
    </rPh>
    <rPh sb="47" eb="49">
      <t>カイスウ</t>
    </rPh>
    <rPh sb="50" eb="54">
      <t>サイシュウヨウソ</t>
    </rPh>
    <rPh sb="54" eb="56">
      <t>バンゴウ</t>
    </rPh>
    <phoneticPr fontId="2"/>
  </si>
  <si>
    <t>・通常の攻撃回数をカウントすれば、それが求める答えである</t>
    <rPh sb="1" eb="3">
      <t>ツウジョウ</t>
    </rPh>
    <rPh sb="4" eb="8">
      <t>コウゲキカイスウ</t>
    </rPh>
    <rPh sb="20" eb="21">
      <t>モト</t>
    </rPh>
    <rPh sb="23" eb="24">
      <t>コタ</t>
    </rPh>
    <phoneticPr fontId="2"/>
  </si>
  <si>
    <t>・勇者配列は要素番号０～最終要素番号まで参照し、そのネスト下で</t>
    <rPh sb="1" eb="3">
      <t>ユウシャ</t>
    </rPh>
    <rPh sb="3" eb="5">
      <t>ハイレツ</t>
    </rPh>
    <rPh sb="6" eb="8">
      <t>ヨウソ</t>
    </rPh>
    <rPh sb="8" eb="10">
      <t>バンゴウ</t>
    </rPh>
    <rPh sb="12" eb="14">
      <t>サイシュウ</t>
    </rPh>
    <rPh sb="14" eb="16">
      <t>ヨウソ</t>
    </rPh>
    <rPh sb="16" eb="18">
      <t>バンゴウ</t>
    </rPh>
    <rPh sb="20" eb="22">
      <t>サンショウ</t>
    </rPh>
    <rPh sb="29" eb="30">
      <t>シタ</t>
    </rPh>
    <phoneticPr fontId="2"/>
  </si>
  <si>
    <t xml:space="preserve">  モンスター配列は勇者の要素番号～(勇者の要素番号＋２) まで参照する</t>
    <rPh sb="7" eb="9">
      <t>ハイレツ</t>
    </rPh>
    <rPh sb="10" eb="12">
      <t>ユウシャ</t>
    </rPh>
    <rPh sb="13" eb="17">
      <t>ヨウソバンゴウ</t>
    </rPh>
    <rPh sb="19" eb="21">
      <t>ユウシャ</t>
    </rPh>
    <rPh sb="22" eb="26">
      <t>ヨウソバンゴウ</t>
    </rPh>
    <phoneticPr fontId="2"/>
  </si>
  <si>
    <t>・勇者配列の要素 と モンスター配列の要素 の min を求め、勇者配列の要素 と モンスター配列の要素から min値 を差し引く</t>
    <rPh sb="1" eb="5">
      <t>ユウシャハイレツ</t>
    </rPh>
    <rPh sb="6" eb="8">
      <t>ヨウソ</t>
    </rPh>
    <rPh sb="16" eb="18">
      <t>ハイレツ</t>
    </rPh>
    <rPh sb="19" eb="21">
      <t>ヨウソ</t>
    </rPh>
    <rPh sb="29" eb="30">
      <t>モト</t>
    </rPh>
    <rPh sb="32" eb="34">
      <t>ユウシャ</t>
    </rPh>
    <rPh sb="34" eb="36">
      <t>ハイレツ</t>
    </rPh>
    <rPh sb="37" eb="39">
      <t>ヨウソ</t>
    </rPh>
    <rPh sb="47" eb="49">
      <t>ハイレツ</t>
    </rPh>
    <rPh sb="50" eb="52">
      <t>ヨウソ</t>
    </rPh>
    <rPh sb="58" eb="59">
      <t>チ</t>
    </rPh>
    <rPh sb="61" eb="62">
      <t>サ</t>
    </rPh>
    <rPh sb="63" eb="64">
      <t>ヒ</t>
    </rPh>
    <phoneticPr fontId="2"/>
  </si>
  <si>
    <t>・min値を倒したモンスター数として、加算していけば、それが求める数値となる</t>
    <rPh sb="4" eb="5">
      <t>チ</t>
    </rPh>
    <rPh sb="6" eb="7">
      <t>タオ</t>
    </rPh>
    <rPh sb="14" eb="15">
      <t>スウ</t>
    </rPh>
    <rPh sb="19" eb="21">
      <t>カサン</t>
    </rPh>
    <rPh sb="30" eb="31">
      <t>モト</t>
    </rPh>
    <rPh sb="33" eb="35">
      <t>スウチ</t>
    </rPh>
    <phoneticPr fontId="2"/>
  </si>
  <si>
    <t>・数列を sort して小さい順にならべた ソート済数列を準備する</t>
    <rPh sb="1" eb="3">
      <t>スウレツ</t>
    </rPh>
    <rPh sb="12" eb="13">
      <t>チイ</t>
    </rPh>
    <rPh sb="15" eb="16">
      <t>ジュン</t>
    </rPh>
    <rPh sb="25" eb="26">
      <t>ス</t>
    </rPh>
    <rPh sb="26" eb="28">
      <t>スウレツ</t>
    </rPh>
    <rPh sb="29" eb="31">
      <t>ジュンビ</t>
    </rPh>
    <phoneticPr fontId="2"/>
  </si>
  <si>
    <t xml:space="preserve">  それ以外の場合、ソート済数列の最終要素を出力する</t>
    <rPh sb="4" eb="6">
      <t>イガイ</t>
    </rPh>
    <rPh sb="7" eb="9">
      <t>バアイ</t>
    </rPh>
    <rPh sb="13" eb="14">
      <t>ズ</t>
    </rPh>
    <rPh sb="14" eb="16">
      <t>スウレツ</t>
    </rPh>
    <rPh sb="17" eb="21">
      <t>サイシュウヨウソ</t>
    </rPh>
    <rPh sb="22" eb="24">
      <t>シュツリョク</t>
    </rPh>
    <phoneticPr fontId="2"/>
  </si>
  <si>
    <t xml:space="preserve">  参照した要素がソート済数列の最終要素と等しい場合、ソート済数列の最終要素の一つ前の要素を出力する</t>
    <rPh sb="41" eb="42">
      <t>マエ</t>
    </rPh>
    <rPh sb="43" eb="45">
      <t>ヨウソ</t>
    </rPh>
    <rPh sb="46" eb="48">
      <t>シュツリョク</t>
    </rPh>
    <phoneticPr fontId="2"/>
  </si>
  <si>
    <t>・数列の先頭要素～最終要素を参照し</t>
    <rPh sb="1" eb="3">
      <t>スウレツ</t>
    </rPh>
    <rPh sb="4" eb="6">
      <t>セントウ</t>
    </rPh>
    <rPh sb="6" eb="8">
      <t>ヨウソ</t>
    </rPh>
    <rPh sb="9" eb="13">
      <t>サイシュウヨウソ</t>
    </rPh>
    <rPh sb="14" eb="16">
      <t>サンショウ</t>
    </rPh>
    <phoneticPr fontId="2"/>
  </si>
  <si>
    <t>・Ｌ(from整数)、Ｒ(to整数)について、Ｌ＋2018≦Ｒ の場合、ＬとＲの間には 必ず 2019 で割り切れる数が存在するため</t>
    <rPh sb="7" eb="9">
      <t>セイスウ</t>
    </rPh>
    <rPh sb="15" eb="17">
      <t>セイスウ</t>
    </rPh>
    <rPh sb="33" eb="35">
      <t>バアイ</t>
    </rPh>
    <rPh sb="40" eb="41">
      <t>アイダ</t>
    </rPh>
    <rPh sb="44" eb="45">
      <t>カナラ</t>
    </rPh>
    <rPh sb="53" eb="54">
      <t>ワ</t>
    </rPh>
    <rPh sb="55" eb="56">
      <t>キ</t>
    </rPh>
    <rPh sb="58" eb="59">
      <t>スウ</t>
    </rPh>
    <rPh sb="60" eb="62">
      <t>ソンザイ</t>
    </rPh>
    <phoneticPr fontId="2"/>
  </si>
  <si>
    <t xml:space="preserve">  ０が答えとなる</t>
    <rPh sb="4" eb="5">
      <t>コタ</t>
    </rPh>
    <phoneticPr fontId="2"/>
  </si>
  <si>
    <r>
      <t>・上記以外の場合、ＲーＬ＜2018 であるため、Ｒ・Ｌ%2019 を総当たりで計算しても Ｒ＜Ｌも考慮すると、2018</t>
    </r>
    <r>
      <rPr>
        <vertAlign val="superscript"/>
        <sz val="10"/>
        <color theme="1"/>
        <rFont val="Meiryo UI"/>
        <family val="3"/>
        <charset val="128"/>
      </rPr>
      <t>2</t>
    </r>
    <r>
      <rPr>
        <sz val="10"/>
        <color theme="1"/>
        <rFont val="Meiryo UI"/>
        <family val="3"/>
        <charset val="128"/>
      </rPr>
      <t xml:space="preserve"> /2 </t>
    </r>
    <rPh sb="1" eb="3">
      <t>ジョウキ</t>
    </rPh>
    <rPh sb="3" eb="5">
      <t>イガイ</t>
    </rPh>
    <rPh sb="6" eb="8">
      <t>バアイ</t>
    </rPh>
    <rPh sb="34" eb="36">
      <t>ソウア</t>
    </rPh>
    <rPh sb="39" eb="41">
      <t>ケイサン</t>
    </rPh>
    <rPh sb="49" eb="51">
      <t>コウリョ</t>
    </rPh>
    <phoneticPr fontId="2"/>
  </si>
  <si>
    <t xml:space="preserve">  で求まるため、それを計算して答えとする</t>
    <rPh sb="3" eb="4">
      <t>モト</t>
    </rPh>
    <rPh sb="12" eb="14">
      <t>ケイサン</t>
    </rPh>
    <rPh sb="16" eb="17">
      <t>コタ</t>
    </rPh>
    <phoneticPr fontId="2"/>
  </si>
  <si>
    <t>・問題の難易度配列を sort する</t>
    <rPh sb="1" eb="3">
      <t>モンダイ</t>
    </rPh>
    <rPh sb="4" eb="7">
      <t>ナンイド</t>
    </rPh>
    <rPh sb="7" eb="9">
      <t>ハイレツ</t>
    </rPh>
    <phoneticPr fontId="2"/>
  </si>
  <si>
    <t>・難易度配列の要素数は制約より必ず偶数であるため、要素数 / 2 ＝nx とすると 難易度配列[nx]ー難易度配列[nxー1] が</t>
    <rPh sb="1" eb="4">
      <t>ナンイド</t>
    </rPh>
    <rPh sb="4" eb="6">
      <t>ハイレツ</t>
    </rPh>
    <rPh sb="7" eb="10">
      <t>ヨウソスウ</t>
    </rPh>
    <rPh sb="11" eb="13">
      <t>セイヤク</t>
    </rPh>
    <rPh sb="15" eb="16">
      <t>カナラ</t>
    </rPh>
    <rPh sb="17" eb="19">
      <t>グウスウ</t>
    </rPh>
    <rPh sb="25" eb="28">
      <t>ヨウソスウ</t>
    </rPh>
    <rPh sb="42" eb="45">
      <t>ナンイド</t>
    </rPh>
    <rPh sb="45" eb="47">
      <t>ハイレツ</t>
    </rPh>
    <rPh sb="52" eb="55">
      <t>ナンイド</t>
    </rPh>
    <rPh sb="55" eb="57">
      <t>ハイレツ</t>
    </rPh>
    <phoneticPr fontId="2"/>
  </si>
  <si>
    <t xml:space="preserve"> 求める答えとなる</t>
    <rPh sb="1" eb="2">
      <t>モト</t>
    </rPh>
    <rPh sb="4" eb="5">
      <t>コタ</t>
    </rPh>
    <phoneticPr fontId="2"/>
  </si>
  <si>
    <t>・整数Ｂ以下で 整数Ｃで割り切れる数の個数は B/C 個、整数Ｄで割り切れる数の個数は B/D、</t>
    <rPh sb="1" eb="3">
      <t>セイスウ</t>
    </rPh>
    <rPh sb="4" eb="6">
      <t>イカ</t>
    </rPh>
    <rPh sb="8" eb="10">
      <t>セイスウ</t>
    </rPh>
    <rPh sb="12" eb="13">
      <t>ワ</t>
    </rPh>
    <rPh sb="14" eb="15">
      <t>キ</t>
    </rPh>
    <rPh sb="17" eb="18">
      <t>スウ</t>
    </rPh>
    <rPh sb="19" eb="21">
      <t>コスウ</t>
    </rPh>
    <rPh sb="27" eb="28">
      <t>コ</t>
    </rPh>
    <rPh sb="29" eb="31">
      <t>セイスウ</t>
    </rPh>
    <rPh sb="33" eb="34">
      <t>ワ</t>
    </rPh>
    <rPh sb="35" eb="36">
      <t>キ</t>
    </rPh>
    <rPh sb="38" eb="39">
      <t>スウ</t>
    </rPh>
    <rPh sb="40" eb="42">
      <t>コスウ</t>
    </rPh>
    <phoneticPr fontId="2"/>
  </si>
  <si>
    <t xml:space="preserve">  整数ＣとＤのいずれにも割り切れる数の個数はB/ LCM(C, D)  (LCMは最小公倍数)</t>
    <rPh sb="20" eb="22">
      <t>コスウ</t>
    </rPh>
    <rPh sb="42" eb="47">
      <t>サイショウコウバイスウ</t>
    </rPh>
    <phoneticPr fontId="2"/>
  </si>
  <si>
    <t>・整数Ｂ以下で 整数ＣでもＤでも割り切れない数の個数は B－(B/C＋B/D－LCM(C, D) )</t>
    <rPh sb="1" eb="3">
      <t>セイスウ</t>
    </rPh>
    <rPh sb="4" eb="6">
      <t>イカ</t>
    </rPh>
    <rPh sb="8" eb="10">
      <t>セイスウ</t>
    </rPh>
    <rPh sb="16" eb="17">
      <t>ワ</t>
    </rPh>
    <rPh sb="18" eb="19">
      <t>キ</t>
    </rPh>
    <rPh sb="22" eb="23">
      <t>スウ</t>
    </rPh>
    <rPh sb="24" eb="26">
      <t>コスウ</t>
    </rPh>
    <phoneticPr fontId="2"/>
  </si>
  <si>
    <t>・整数Ａ以上Ｂ以下で 整数ＣでもＤでも割り切れない数は Ｂ以下でＣでもＤでも割り切れない数の個数から</t>
    <rPh sb="1" eb="3">
      <t>セイスウ</t>
    </rPh>
    <rPh sb="4" eb="6">
      <t>イジョウ</t>
    </rPh>
    <rPh sb="7" eb="9">
      <t>イカ</t>
    </rPh>
    <rPh sb="11" eb="13">
      <t>セイスウ</t>
    </rPh>
    <rPh sb="19" eb="20">
      <t>ワ</t>
    </rPh>
    <rPh sb="21" eb="22">
      <t>キ</t>
    </rPh>
    <rPh sb="25" eb="26">
      <t>スウ</t>
    </rPh>
    <rPh sb="29" eb="31">
      <t>イカ</t>
    </rPh>
    <rPh sb="38" eb="39">
      <t>ワ</t>
    </rPh>
    <rPh sb="40" eb="41">
      <t>キ</t>
    </rPh>
    <rPh sb="44" eb="45">
      <t>スウ</t>
    </rPh>
    <rPh sb="46" eb="48">
      <t>コスウ</t>
    </rPh>
    <phoneticPr fontId="2"/>
  </si>
  <si>
    <t xml:space="preserve">  Aー１以下でＣでもＤでも割り切れない数の個数を差し引く</t>
    <rPh sb="5" eb="7">
      <t>イカ</t>
    </rPh>
    <rPh sb="14" eb="15">
      <t>ワ</t>
    </rPh>
    <rPh sb="16" eb="17">
      <t>キ</t>
    </rPh>
    <rPh sb="20" eb="21">
      <t>スウ</t>
    </rPh>
    <rPh sb="22" eb="24">
      <t>コスウ</t>
    </rPh>
    <rPh sb="25" eb="26">
      <t>サ</t>
    </rPh>
    <rPh sb="27" eb="28">
      <t>ヒ</t>
    </rPh>
    <phoneticPr fontId="2"/>
  </si>
  <si>
    <t>・四角形を２分割したときの面積の大きくない方の面積の最大値は 四角形の面積の 1/2 となる</t>
    <rPh sb="1" eb="4">
      <t>シカッケイ</t>
    </rPh>
    <rPh sb="6" eb="8">
      <t>ブンカツ</t>
    </rPh>
    <rPh sb="13" eb="15">
      <t>メンセキ</t>
    </rPh>
    <rPh sb="16" eb="17">
      <t>オオ</t>
    </rPh>
    <rPh sb="21" eb="22">
      <t>ホウ</t>
    </rPh>
    <rPh sb="23" eb="25">
      <t>メンセキ</t>
    </rPh>
    <rPh sb="26" eb="29">
      <t>サイダイチ</t>
    </rPh>
    <rPh sb="31" eb="34">
      <t>シカッケイ</t>
    </rPh>
    <rPh sb="35" eb="37">
      <t>メンセキ</t>
    </rPh>
    <phoneticPr fontId="2"/>
  </si>
  <si>
    <r>
      <t>・その最大値を達成する分割の方法が複数ある場合は 与えられた点</t>
    </r>
    <r>
      <rPr>
        <sz val="12.5"/>
        <color theme="1"/>
        <rFont val="Constantia"/>
        <family val="1"/>
      </rPr>
      <t>(</t>
    </r>
    <r>
      <rPr>
        <sz val="12"/>
        <color theme="1"/>
        <rFont val="BKM-cmmi10"/>
        <family val="2"/>
        <charset val="2"/>
      </rPr>
      <t>x</t>
    </r>
    <r>
      <rPr>
        <sz val="10"/>
        <color theme="1"/>
        <rFont val="Meiryo UI"/>
        <family val="3"/>
        <charset val="128"/>
      </rPr>
      <t xml:space="preserve">, </t>
    </r>
    <r>
      <rPr>
        <sz val="12"/>
        <color theme="1"/>
        <rFont val="BKM-cmmi10"/>
        <family val="2"/>
        <charset val="2"/>
      </rPr>
      <t>y</t>
    </r>
    <r>
      <rPr>
        <sz val="12.5"/>
        <color theme="1"/>
        <rFont val="Constantia"/>
        <family val="1"/>
      </rPr>
      <t>)</t>
    </r>
    <r>
      <rPr>
        <sz val="10"/>
        <color theme="1"/>
        <rFont val="Meiryo UI"/>
        <family val="3"/>
        <charset val="128"/>
      </rPr>
      <t xml:space="preserve"> が四角形の中心である場合に限る</t>
    </r>
    <rPh sb="3" eb="6">
      <t>サイダイチ</t>
    </rPh>
    <rPh sb="7" eb="9">
      <t>タッセイ</t>
    </rPh>
    <rPh sb="11" eb="13">
      <t>ブンカツ</t>
    </rPh>
    <rPh sb="14" eb="16">
      <t>ホウホウ</t>
    </rPh>
    <rPh sb="17" eb="19">
      <t>フクスウ</t>
    </rPh>
    <rPh sb="21" eb="23">
      <t>バアイ</t>
    </rPh>
    <rPh sb="25" eb="26">
      <t>アタ</t>
    </rPh>
    <rPh sb="30" eb="31">
      <t>テン</t>
    </rPh>
    <rPh sb="39" eb="42">
      <t>シカッケイ</t>
    </rPh>
    <rPh sb="43" eb="45">
      <t>チュウシン</t>
    </rPh>
    <rPh sb="48" eb="50">
      <t>バアイ</t>
    </rPh>
    <rPh sb="51" eb="52">
      <t>カギ</t>
    </rPh>
    <phoneticPr fontId="2"/>
  </si>
  <si>
    <t>・階段を１～ｎまで参照し、参照した階段が壊れていなければ、上記の計算を行い、参照した階段への移動方法を確定する</t>
    <rPh sb="1" eb="3">
      <t>カイダン</t>
    </rPh>
    <rPh sb="9" eb="11">
      <t>サンショウ</t>
    </rPh>
    <rPh sb="13" eb="15">
      <t>サンショウ</t>
    </rPh>
    <rPh sb="17" eb="19">
      <t>カイダン</t>
    </rPh>
    <rPh sb="20" eb="21">
      <t>コワ</t>
    </rPh>
    <rPh sb="29" eb="31">
      <t>ジョウキ</t>
    </rPh>
    <rPh sb="32" eb="34">
      <t>ケイサン</t>
    </rPh>
    <rPh sb="35" eb="36">
      <t>オコナ</t>
    </rPh>
    <rPh sb="38" eb="40">
      <t>サンショウ</t>
    </rPh>
    <rPh sb="42" eb="44">
      <t>カイダン</t>
    </rPh>
    <rPh sb="46" eb="48">
      <t>イドウ</t>
    </rPh>
    <rPh sb="48" eb="50">
      <t>ホウホウ</t>
    </rPh>
    <rPh sb="51" eb="53">
      <t>カクテイ</t>
    </rPh>
    <phoneticPr fontId="2"/>
  </si>
  <si>
    <t>・壊れた階段への移動方法は計算しないため０になっており、壊れた階段が２つ連続すれば、それ以降の階段への移動方法は０になる</t>
    <rPh sb="1" eb="2">
      <t>コワ</t>
    </rPh>
    <rPh sb="4" eb="6">
      <t>カイダン</t>
    </rPh>
    <rPh sb="8" eb="12">
      <t>イドウホウホウ</t>
    </rPh>
    <rPh sb="13" eb="15">
      <t>ケイサン</t>
    </rPh>
    <rPh sb="28" eb="29">
      <t>コワ</t>
    </rPh>
    <rPh sb="31" eb="33">
      <t>カイダン</t>
    </rPh>
    <rPh sb="36" eb="38">
      <t>レンゾク</t>
    </rPh>
    <rPh sb="44" eb="46">
      <t>イコウ</t>
    </rPh>
    <rPh sb="47" eb="49">
      <t>カイダン</t>
    </rPh>
    <rPh sb="51" eb="55">
      <t>イドウホウホウ</t>
    </rPh>
    <phoneticPr fontId="2"/>
  </si>
  <si>
    <t>・階段ｎへの移動方法は 階段(n－1)への移動方法 と (nー2)への移動方法の和となる (dpで計算)</t>
    <rPh sb="1" eb="3">
      <t>カイダン</t>
    </rPh>
    <rPh sb="6" eb="8">
      <t>イドウ</t>
    </rPh>
    <rPh sb="8" eb="10">
      <t>ホウホウ</t>
    </rPh>
    <rPh sb="12" eb="14">
      <t>カイダン</t>
    </rPh>
    <rPh sb="21" eb="23">
      <t>イドウ</t>
    </rPh>
    <rPh sb="23" eb="25">
      <t>ホウホウ</t>
    </rPh>
    <rPh sb="35" eb="37">
      <t>イドウ</t>
    </rPh>
    <rPh sb="37" eb="39">
      <t>ホウホウ</t>
    </rPh>
    <rPh sb="40" eb="41">
      <t>ワ</t>
    </rPh>
    <rPh sb="49" eb="51">
      <t>ケイサン</t>
    </rPh>
    <phoneticPr fontId="2"/>
  </si>
  <si>
    <t>・ライトースイッチ２次元配列、結果配列、スイッチOnOff配列 を定義</t>
    <rPh sb="10" eb="14">
      <t>ジゲンハイレツ</t>
    </rPh>
    <rPh sb="15" eb="17">
      <t>ケッカ</t>
    </rPh>
    <rPh sb="17" eb="19">
      <t>ハイレツ</t>
    </rPh>
    <rPh sb="29" eb="31">
      <t>ハイレツ</t>
    </rPh>
    <rPh sb="33" eb="35">
      <t>テイギ</t>
    </rPh>
    <phoneticPr fontId="2"/>
  </si>
  <si>
    <t>・全てのライトが点灯する場合、全点灯スイッチ組合せ回数をインクリメントする</t>
    <rPh sb="1" eb="2">
      <t>スベ</t>
    </rPh>
    <rPh sb="8" eb="10">
      <t>テントウ</t>
    </rPh>
    <rPh sb="12" eb="14">
      <t>バアイ</t>
    </rPh>
    <rPh sb="15" eb="18">
      <t>ゼンテントウ</t>
    </rPh>
    <rPh sb="22" eb="24">
      <t>クミアワ</t>
    </rPh>
    <phoneticPr fontId="2"/>
  </si>
  <si>
    <t>・ゲート配列毎の left IDカード(最小番号IDカード) の最大値 と right IDカード (最大番号IDカード) の最小値を算出</t>
    <rPh sb="4" eb="6">
      <t>ハイレツ</t>
    </rPh>
    <rPh sb="6" eb="7">
      <t>ゴト</t>
    </rPh>
    <rPh sb="20" eb="22">
      <t>サイショウ</t>
    </rPh>
    <rPh sb="22" eb="24">
      <t>バンゴウ</t>
    </rPh>
    <rPh sb="32" eb="35">
      <t>サイダイチ</t>
    </rPh>
    <rPh sb="51" eb="53">
      <t>サイダイ</t>
    </rPh>
    <rPh sb="53" eb="55">
      <t>バンゴウ</t>
    </rPh>
    <rPh sb="63" eb="66">
      <t>サイショウチ</t>
    </rPh>
    <rPh sb="67" eb="69">
      <t>サンシュツ</t>
    </rPh>
    <phoneticPr fontId="2"/>
  </si>
  <si>
    <t>・求める答えは right IDカード最小値ー left IDカード最大値 となる</t>
    <rPh sb="1" eb="2">
      <t>モト</t>
    </rPh>
    <rPh sb="4" eb="5">
      <t>コタ</t>
    </rPh>
    <rPh sb="19" eb="22">
      <t>サイショウチ</t>
    </rPh>
    <rPh sb="34" eb="36">
      <t>サイダイ</t>
    </rPh>
    <rPh sb="36" eb="37">
      <t>チ</t>
    </rPh>
    <phoneticPr fontId="2"/>
  </si>
  <si>
    <t>ABC126_C_Dice_and_Coin_1</t>
    <phoneticPr fontId="2"/>
  </si>
  <si>
    <t xml:space="preserve"> → 要素[0]:勝ち点、要素[1]:(要素[0]＋１) /2、要素[2]:(要素[1]＋１) /2、・・・、要素[n]:１ まで push_back する</t>
    <rPh sb="3" eb="5">
      <t>ヨウソ</t>
    </rPh>
    <rPh sb="9" eb="10">
      <t>カ</t>
    </rPh>
    <rPh sb="11" eb="12">
      <t>テン</t>
    </rPh>
    <rPh sb="13" eb="15">
      <t>ヨウソ</t>
    </rPh>
    <rPh sb="20" eb="22">
      <t>ヨウソ</t>
    </rPh>
    <rPh sb="32" eb="34">
      <t>ヨウソ</t>
    </rPh>
    <rPh sb="39" eb="41">
      <t>ヨウソ</t>
    </rPh>
    <rPh sb="55" eb="57">
      <t>ヨウソ</t>
    </rPh>
    <phoneticPr fontId="2"/>
  </si>
  <si>
    <t>・N≧勝ち点 の場合、(Nー勝ち点＋1 ) / N を勝つ確率に加算する</t>
    <rPh sb="3" eb="4">
      <t>カ</t>
    </rPh>
    <rPh sb="5" eb="6">
      <t>テン</t>
    </rPh>
    <rPh sb="8" eb="10">
      <t>バアイ</t>
    </rPh>
    <rPh sb="14" eb="15">
      <t>カ</t>
    </rPh>
    <rPh sb="16" eb="17">
      <t>テン</t>
    </rPh>
    <rPh sb="27" eb="28">
      <t>カ</t>
    </rPh>
    <rPh sb="29" eb="31">
      <t>カクリツ</t>
    </rPh>
    <rPh sb="32" eb="34">
      <t>カサン</t>
    </rPh>
    <phoneticPr fontId="2"/>
  </si>
  <si>
    <t>・以上で求める勝つ確率が求まる</t>
    <rPh sb="1" eb="3">
      <t>イジョウ</t>
    </rPh>
    <rPh sb="4" eb="5">
      <t>モト</t>
    </rPh>
    <rPh sb="7" eb="8">
      <t>カ</t>
    </rPh>
    <rPh sb="9" eb="11">
      <t>カクリツ</t>
    </rPh>
    <rPh sb="12" eb="13">
      <t>モト</t>
    </rPh>
    <phoneticPr fontId="2"/>
  </si>
  <si>
    <r>
      <t>・ボーダーライン配列に 2</t>
    </r>
    <r>
      <rPr>
        <vertAlign val="superscript"/>
        <sz val="10"/>
        <color theme="1"/>
        <rFont val="Meiryo UI"/>
        <family val="3"/>
        <charset val="128"/>
      </rPr>
      <t>要素番号</t>
    </r>
    <r>
      <rPr>
        <sz val="10"/>
        <color theme="1"/>
        <rFont val="Meiryo UI"/>
        <family val="3"/>
        <charset val="128"/>
      </rPr>
      <t xml:space="preserve"> を乗じて、勝ち点を超えるように設定する</t>
    </r>
    <rPh sb="8" eb="10">
      <t>ハイレツ</t>
    </rPh>
    <rPh sb="13" eb="17">
      <t>ヨウソバンゴウ</t>
    </rPh>
    <rPh sb="19" eb="20">
      <t>ジョウ</t>
    </rPh>
    <rPh sb="23" eb="24">
      <t>カ</t>
    </rPh>
    <rPh sb="25" eb="26">
      <t>テン</t>
    </rPh>
    <rPh sb="27" eb="28">
      <t>コ</t>
    </rPh>
    <rPh sb="33" eb="35">
      <t>セッテイ</t>
    </rPh>
    <phoneticPr fontId="2"/>
  </si>
  <si>
    <t xml:space="preserve">  ・ボーダーライン配列の参照要素 以上 (一つ前要素 または N＋１) より小さい間、計算確率に１/ N を加算する</t>
    <rPh sb="10" eb="12">
      <t>ハイレツ</t>
    </rPh>
    <rPh sb="13" eb="15">
      <t>サンショウ</t>
    </rPh>
    <rPh sb="15" eb="17">
      <t>ヨウソ</t>
    </rPh>
    <rPh sb="18" eb="20">
      <t>イジョウ</t>
    </rPh>
    <rPh sb="22" eb="23">
      <t>ヒト</t>
    </rPh>
    <rPh sb="24" eb="25">
      <t>マエ</t>
    </rPh>
    <rPh sb="25" eb="27">
      <t>ヨウソ</t>
    </rPh>
    <rPh sb="39" eb="40">
      <t>チイ</t>
    </rPh>
    <rPh sb="42" eb="43">
      <t>アイダ</t>
    </rPh>
    <rPh sb="44" eb="46">
      <t>ケイサン</t>
    </rPh>
    <rPh sb="46" eb="48">
      <t>カクリツ</t>
    </rPh>
    <rPh sb="55" eb="57">
      <t>カサン</t>
    </rPh>
    <phoneticPr fontId="2"/>
  </si>
  <si>
    <r>
      <t xml:space="preserve">  ・計算確率に (１/２)</t>
    </r>
    <r>
      <rPr>
        <vertAlign val="superscript"/>
        <sz val="10"/>
        <color theme="1"/>
        <rFont val="Meiryo UI"/>
        <family val="3"/>
        <charset val="128"/>
      </rPr>
      <t>要素番号</t>
    </r>
    <r>
      <rPr>
        <sz val="10"/>
        <color theme="1"/>
        <rFont val="Meiryo UI"/>
        <family val="3"/>
        <charset val="128"/>
      </rPr>
      <t xml:space="preserve"> を乗じて 勝つ確率に加算する</t>
    </r>
    <rPh sb="3" eb="5">
      <t>ケイサン</t>
    </rPh>
    <rPh sb="5" eb="7">
      <t>カクリツ</t>
    </rPh>
    <rPh sb="14" eb="18">
      <t>ヨウソバンゴウ</t>
    </rPh>
    <rPh sb="20" eb="21">
      <t>ジョウ</t>
    </rPh>
    <rPh sb="24" eb="25">
      <t>カツ</t>
    </rPh>
    <rPh sb="26" eb="28">
      <t>カクリツ</t>
    </rPh>
    <rPh sb="29" eb="31">
      <t>カサン</t>
    </rPh>
    <phoneticPr fontId="2"/>
  </si>
  <si>
    <t xml:space="preserve">  ・計算確率に １/ N を設定する</t>
    <rPh sb="3" eb="7">
      <t>ケイサンカクリツ</t>
    </rPh>
    <rPh sb="15" eb="17">
      <t>セッテイ</t>
    </rPh>
    <phoneticPr fontId="2"/>
  </si>
  <si>
    <t>・ボーダーライン配列の参照要素が 最終要素の番号～１まで、以下の処理を行う</t>
    <rPh sb="8" eb="10">
      <t>ハイレツ</t>
    </rPh>
    <rPh sb="11" eb="13">
      <t>サンショウ</t>
    </rPh>
    <rPh sb="13" eb="15">
      <t>ヨウソ</t>
    </rPh>
    <rPh sb="17" eb="21">
      <t>サイシュウヨウソ</t>
    </rPh>
    <rPh sb="22" eb="24">
      <t>バンゴウ</t>
    </rPh>
    <rPh sb="29" eb="31">
      <t>イカ</t>
    </rPh>
    <rPh sb="32" eb="34">
      <t>ショリ</t>
    </rPh>
    <rPh sb="35" eb="36">
      <t>オコナ</t>
    </rPh>
    <phoneticPr fontId="2"/>
  </si>
  <si>
    <t xml:space="preserve">  ・勝つ確率に計算確率を加算する</t>
    <rPh sb="3" eb="4">
      <t>カ</t>
    </rPh>
    <rPh sb="5" eb="7">
      <t>カクリツ</t>
    </rPh>
    <rPh sb="8" eb="10">
      <t>ケイサン</t>
    </rPh>
    <rPh sb="10" eb="12">
      <t>カクリツ</t>
    </rPh>
    <rPh sb="13" eb="15">
      <t>カサン</t>
    </rPh>
    <phoneticPr fontId="2"/>
  </si>
  <si>
    <t>・処理数値が１からＮまで、以下の処理を行う</t>
    <rPh sb="1" eb="3">
      <t>ショリ</t>
    </rPh>
    <rPh sb="3" eb="5">
      <t>スウチ</t>
    </rPh>
    <rPh sb="13" eb="15">
      <t>イカ</t>
    </rPh>
    <rPh sb="16" eb="18">
      <t>ショリ</t>
    </rPh>
    <rPh sb="19" eb="20">
      <t>オコナ</t>
    </rPh>
    <phoneticPr fontId="2"/>
  </si>
  <si>
    <t xml:space="preserve">  ・処理数値＜勝ち点の間、計算確率に １/２ を乗じ、処理数値を２倍する</t>
    <rPh sb="3" eb="5">
      <t>ショリ</t>
    </rPh>
    <rPh sb="5" eb="7">
      <t>スウチ</t>
    </rPh>
    <rPh sb="8" eb="9">
      <t>カ</t>
    </rPh>
    <rPh sb="10" eb="11">
      <t>テン</t>
    </rPh>
    <rPh sb="12" eb="13">
      <t>アイダ</t>
    </rPh>
    <rPh sb="14" eb="18">
      <t>ケイサンカクリツ</t>
    </rPh>
    <rPh sb="25" eb="26">
      <t>ジョウ</t>
    </rPh>
    <rPh sb="28" eb="30">
      <t>ショリ</t>
    </rPh>
    <rPh sb="30" eb="32">
      <t>スウチ</t>
    </rPh>
    <rPh sb="34" eb="35">
      <t>バイ</t>
    </rPh>
    <phoneticPr fontId="2"/>
  </si>
  <si>
    <t>・vector&lt;int&gt; の全要素の GCD を求めるため、vector&lt;int&gt; の全要素を sort し、小さい順に GCD を算出</t>
    <rPh sb="14" eb="17">
      <t>ゼンヨウソ</t>
    </rPh>
    <rPh sb="24" eb="25">
      <t>モト</t>
    </rPh>
    <rPh sb="43" eb="46">
      <t>ゼンヨウソ</t>
    </rPh>
    <phoneticPr fontId="2"/>
  </si>
  <si>
    <t>・作成した数字が 753数であるかの判定は 作成した数値を１桁ずつ取り出し、3, 5, 7 が少なくとも１つずつ含まれているかチェックする</t>
    <rPh sb="1" eb="3">
      <t>サクセイ</t>
    </rPh>
    <rPh sb="5" eb="7">
      <t>スウジ</t>
    </rPh>
    <rPh sb="12" eb="13">
      <t>スウ</t>
    </rPh>
    <rPh sb="18" eb="20">
      <t>ハンテイ</t>
    </rPh>
    <rPh sb="22" eb="24">
      <t>サクセイ</t>
    </rPh>
    <rPh sb="26" eb="28">
      <t>スウチ</t>
    </rPh>
    <rPh sb="30" eb="31">
      <t>ケタ</t>
    </rPh>
    <rPh sb="33" eb="34">
      <t>ト</t>
    </rPh>
    <rPh sb="35" eb="36">
      <t>ダ</t>
    </rPh>
    <rPh sb="47" eb="48">
      <t>スク</t>
    </rPh>
    <rPh sb="56" eb="57">
      <t>フク</t>
    </rPh>
    <phoneticPr fontId="2"/>
  </si>
  <si>
    <t>・3, 5, 7を含む 753数は 再帰関数(今回は dfs 使用)で作成する</t>
    <rPh sb="9" eb="10">
      <t>フク</t>
    </rPh>
    <rPh sb="15" eb="16">
      <t>スウ</t>
    </rPh>
    <rPh sb="18" eb="20">
      <t>サイキ</t>
    </rPh>
    <rPh sb="20" eb="22">
      <t>カンスウ</t>
    </rPh>
    <rPh sb="23" eb="25">
      <t>コンカイ</t>
    </rPh>
    <rPh sb="31" eb="33">
      <t>シヨウ</t>
    </rPh>
    <rPh sb="35" eb="37">
      <t>サクセイ</t>
    </rPh>
    <phoneticPr fontId="2"/>
  </si>
  <si>
    <t>・3, 5, 7を含む 753数の数を 桁DP で算出する</t>
    <rPh sb="9" eb="10">
      <t>フク</t>
    </rPh>
    <rPh sb="15" eb="16">
      <t>スウ</t>
    </rPh>
    <rPh sb="17" eb="18">
      <t>カズ</t>
    </rPh>
    <rPh sb="20" eb="21">
      <t>ケタ</t>
    </rPh>
    <rPh sb="25" eb="27">
      <t>サンシュツ</t>
    </rPh>
    <phoneticPr fontId="2"/>
  </si>
  <si>
    <t>・桁DP の参照ロジック</t>
    <rPh sb="1" eb="2">
      <t>ケタ</t>
    </rPh>
    <rPh sb="6" eb="8">
      <t>サンショウ</t>
    </rPh>
    <phoneticPr fontId="2"/>
  </si>
  <si>
    <t xml:space="preserve">  ①≧② であること</t>
  </si>
  <si>
    <t>・1秒ごとに必ず、動かなければならないため、ポイント間の時間の差①、ポイント間の距離② とすると</t>
    <rPh sb="2" eb="3">
      <t>ビョウ</t>
    </rPh>
    <rPh sb="6" eb="7">
      <t>カナラ</t>
    </rPh>
    <rPh sb="9" eb="10">
      <t>ウゴ</t>
    </rPh>
    <rPh sb="26" eb="27">
      <t>カン</t>
    </rPh>
    <rPh sb="28" eb="30">
      <t>ジカン</t>
    </rPh>
    <rPh sb="31" eb="32">
      <t>サ</t>
    </rPh>
    <rPh sb="38" eb="39">
      <t>カン</t>
    </rPh>
    <rPh sb="40" eb="42">
      <t>キョリ</t>
    </rPh>
    <phoneticPr fontId="2"/>
  </si>
  <si>
    <t xml:space="preserve">  ①と②の偶奇は一致すること が ①と②の存在する必要十分条件となる</t>
    <rPh sb="6" eb="8">
      <t>グウキ</t>
    </rPh>
    <rPh sb="9" eb="11">
      <t>イッチ</t>
    </rPh>
    <rPh sb="22" eb="24">
      <t>ソンザイ</t>
    </rPh>
    <rPh sb="26" eb="28">
      <t>ヒツヨウ</t>
    </rPh>
    <rPh sb="28" eb="30">
      <t>ジュウブン</t>
    </rPh>
    <rPh sb="30" eb="32">
      <t>ジョウケン</t>
    </rPh>
    <phoneticPr fontId="2"/>
  </si>
  <si>
    <t xml:space="preserve">  マスは 2×N あるので、移動方法は N 通りとなる</t>
    <rPh sb="15" eb="17">
      <t>イドウ</t>
    </rPh>
    <rPh sb="17" eb="19">
      <t>ホウホウ</t>
    </rPh>
    <rPh sb="23" eb="24">
      <t>トオ</t>
    </rPh>
    <phoneticPr fontId="2"/>
  </si>
  <si>
    <t>・可能な移動方法を一つずつ移動していき、回収可能なアメの最大値を算出する</t>
    <rPh sb="1" eb="3">
      <t>カノウ</t>
    </rPh>
    <rPh sb="4" eb="6">
      <t>イドウ</t>
    </rPh>
    <rPh sb="6" eb="8">
      <t>ホウホウ</t>
    </rPh>
    <rPh sb="9" eb="10">
      <t>ヒト</t>
    </rPh>
    <rPh sb="13" eb="15">
      <t>イドウ</t>
    </rPh>
    <rPh sb="20" eb="24">
      <t>カイシュウカノウ</t>
    </rPh>
    <rPh sb="28" eb="30">
      <t>サイダイ</t>
    </rPh>
    <rPh sb="30" eb="31">
      <t>チ</t>
    </rPh>
    <rPh sb="32" eb="34">
      <t>サンシュツ</t>
    </rPh>
    <phoneticPr fontId="2"/>
  </si>
  <si>
    <t xml:space="preserve">  高橋君の情報は正しい。そうでないならば、高橋君の情報は正しくないと判断される</t>
    <rPh sb="22" eb="25">
      <t>タカハシクン</t>
    </rPh>
    <rPh sb="26" eb="28">
      <t>ジョウホウ</t>
    </rPh>
    <rPh sb="29" eb="30">
      <t>タダ</t>
    </rPh>
    <rPh sb="35" eb="37">
      <t>ハンダン</t>
    </rPh>
    <phoneticPr fontId="2"/>
  </si>
  <si>
    <r>
      <t xml:space="preserve">・１行目のマス間の差分が、２行目、３行目のマス間の差分と等しいならば、整数 </t>
    </r>
    <r>
      <rPr>
        <sz val="12"/>
        <color theme="1"/>
        <rFont val="BKM-cmmi10"/>
        <family val="2"/>
        <charset val="2"/>
      </rPr>
      <t>b</t>
    </r>
    <r>
      <rPr>
        <vertAlign val="subscript"/>
        <sz val="11.5"/>
        <color theme="1"/>
        <rFont val="HGS明朝B"/>
        <family val="1"/>
        <charset val="128"/>
      </rPr>
      <t>1</t>
    </r>
    <r>
      <rPr>
        <sz val="10"/>
        <color theme="1"/>
        <rFont val="Meiryo UI"/>
        <family val="3"/>
        <charset val="128"/>
      </rPr>
      <t>、</t>
    </r>
    <r>
      <rPr>
        <sz val="12"/>
        <color theme="1"/>
        <rFont val="BKM-cmmi10"/>
        <family val="2"/>
        <charset val="2"/>
      </rPr>
      <t>b</t>
    </r>
    <r>
      <rPr>
        <vertAlign val="subscript"/>
        <sz val="11.5"/>
        <color theme="1"/>
        <rFont val="HGS明朝B"/>
        <family val="1"/>
        <charset val="128"/>
      </rPr>
      <t>2</t>
    </r>
    <r>
      <rPr>
        <sz val="10"/>
        <color theme="1"/>
        <rFont val="Meiryo UI"/>
        <family val="3"/>
        <charset val="128"/>
      </rPr>
      <t>、</t>
    </r>
    <r>
      <rPr>
        <sz val="12"/>
        <color theme="1"/>
        <rFont val="BKM-cmmi10"/>
        <family val="2"/>
        <charset val="2"/>
      </rPr>
      <t>b</t>
    </r>
    <r>
      <rPr>
        <vertAlign val="subscript"/>
        <sz val="11.5"/>
        <color theme="1"/>
        <rFont val="HGS明朝B"/>
        <family val="1"/>
        <charset val="128"/>
      </rPr>
      <t>3</t>
    </r>
    <r>
      <rPr>
        <sz val="10"/>
        <color theme="1"/>
        <rFont val="Meiryo UI"/>
        <family val="3"/>
        <charset val="128"/>
      </rPr>
      <t xml:space="preserve"> が存在することになり</t>
    </r>
    <rPh sb="2" eb="4">
      <t>ギョウメ</t>
    </rPh>
    <rPh sb="7" eb="8">
      <t>カン</t>
    </rPh>
    <rPh sb="9" eb="11">
      <t>サブン</t>
    </rPh>
    <rPh sb="14" eb="16">
      <t>ギョウメ</t>
    </rPh>
    <rPh sb="18" eb="20">
      <t>ギョウメ</t>
    </rPh>
    <rPh sb="23" eb="24">
      <t>カン</t>
    </rPh>
    <rPh sb="25" eb="27">
      <t>サブン</t>
    </rPh>
    <rPh sb="28" eb="29">
      <t>ヒト</t>
    </rPh>
    <rPh sb="35" eb="37">
      <t>セイスウ</t>
    </rPh>
    <rPh sb="48" eb="50">
      <t>ソンザイ</t>
    </rPh>
    <phoneticPr fontId="2"/>
  </si>
  <si>
    <t xml:space="preserve">  for (int nx = 0; nx &lt; sColor.size(); ++nx)</t>
    <phoneticPr fontId="2"/>
  </si>
  <si>
    <t xml:space="preserve">    ++vnColor[ sColor[i] - '0' ];</t>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</si>
  <si>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となる整数の並べ方は 複数組合せにより</t>
    </r>
    <r>
      <rPr>
        <vertAlign val="subscript"/>
        <sz val="10"/>
        <color theme="1"/>
        <rFont val="Meiryo UI"/>
        <family val="3"/>
        <charset val="128"/>
      </rPr>
      <t xml:space="preserve"> n+m-1</t>
    </r>
    <r>
      <rPr>
        <sz val="10"/>
        <color theme="1"/>
        <rFont val="Meiryo UI"/>
        <family val="3"/>
        <charset val="128"/>
      </rPr>
      <t>C</t>
    </r>
    <r>
      <rPr>
        <vertAlign val="subscript"/>
        <sz val="10"/>
        <color theme="1"/>
        <rFont val="Meiryo UI"/>
        <family val="3"/>
        <charset val="128"/>
      </rPr>
      <t>n</t>
    </r>
    <r>
      <rPr>
        <sz val="10"/>
        <color theme="1"/>
        <rFont val="Meiryo UI"/>
        <family val="3"/>
        <charset val="128"/>
      </rPr>
      <t xml:space="preserve"> となる</t>
    </r>
    <rPh sb="21" eb="23">
      <t>セイスウ</t>
    </rPh>
    <rPh sb="24" eb="25">
      <t>ナラ</t>
    </rPh>
    <rPh sb="26" eb="27">
      <t>カタ</t>
    </rPh>
    <rPh sb="29" eb="33">
      <t>フクスウクミアワ</t>
    </rPh>
    <phoneticPr fontId="2"/>
  </si>
  <si>
    <r>
      <t xml:space="preserve">  </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10</t>
    </r>
    <r>
      <rPr>
        <sz val="10"/>
        <color theme="1"/>
        <rFont val="Meiryo UI"/>
        <family val="3"/>
        <charset val="128"/>
      </rPr>
      <t>=</t>
    </r>
    <r>
      <rPr>
        <vertAlign val="subscript"/>
        <sz val="10"/>
        <color theme="1"/>
        <rFont val="Meiryo UI"/>
        <family val="3"/>
        <charset val="128"/>
      </rPr>
      <t>19</t>
    </r>
    <r>
      <rPr>
        <sz val="10"/>
        <color theme="1"/>
        <rFont val="Meiryo UI"/>
        <family val="3"/>
        <charset val="128"/>
      </rPr>
      <t>C</t>
    </r>
    <r>
      <rPr>
        <vertAlign val="subscript"/>
        <sz val="10"/>
        <color theme="1"/>
        <rFont val="Meiryo UI"/>
        <family val="3"/>
        <charset val="128"/>
      </rPr>
      <t>9</t>
    </r>
    <r>
      <rPr>
        <sz val="10"/>
        <color theme="1"/>
        <rFont val="Meiryo UI"/>
        <family val="3"/>
        <charset val="128"/>
      </rPr>
      <t>=92378 なので十分検索可能</t>
    </r>
    <phoneticPr fontId="2"/>
  </si>
  <si>
    <r>
      <t>・1≦A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sz val="10"/>
        <color theme="1"/>
        <rFont val="Meiryo UI"/>
        <family val="3"/>
        <charset val="128"/>
      </rPr>
      <t>≦M となる数列を dfs で１つずつ作成し、その数列のポイントを算出する</t>
    </r>
    <phoneticPr fontId="2"/>
  </si>
  <si>
    <r>
      <t>・被除数となる数列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を考えると {A</t>
    </r>
    <r>
      <rPr>
        <vertAlign val="subscript"/>
        <sz val="10"/>
        <color theme="1"/>
        <rFont val="Meiryo UI"/>
        <family val="3"/>
        <charset val="128"/>
      </rPr>
      <t>n</t>
    </r>
    <r>
      <rPr>
        <sz val="10"/>
        <color theme="1"/>
        <rFont val="Meiryo UI"/>
        <family val="3"/>
        <charset val="128"/>
      </rPr>
      <t xml:space="preserve"> | (n=1～19)} の数列でしか考えられないので、</t>
    </r>
    <rPh sb="22" eb="23">
      <t>カンガ</t>
    </rPh>
    <phoneticPr fontId="2"/>
  </si>
  <si>
    <r>
      <t xml:space="preserve">  漸化式 A</t>
    </r>
    <r>
      <rPr>
        <vertAlign val="subscript"/>
        <sz val="10"/>
        <color theme="1"/>
        <rFont val="Meiryo UI"/>
        <family val="3"/>
        <charset val="128"/>
      </rPr>
      <t>n+1</t>
    </r>
    <r>
      <rPr>
        <sz val="10"/>
        <color theme="1"/>
        <rFont val="Meiryo UI"/>
        <family val="3"/>
        <charset val="128"/>
      </rPr>
      <t>=(7A</t>
    </r>
    <r>
      <rPr>
        <vertAlign val="subscript"/>
        <sz val="10"/>
        <color theme="1"/>
        <rFont val="Meiryo UI"/>
        <family val="3"/>
        <charset val="128"/>
      </rPr>
      <t>n</t>
    </r>
    <r>
      <rPr>
        <sz val="10"/>
        <color theme="1"/>
        <rFont val="Meiryo UI"/>
        <family val="3"/>
        <charset val="128"/>
      </rPr>
      <t>+7) % K で数列 {A</t>
    </r>
    <r>
      <rPr>
        <vertAlign val="subscript"/>
        <sz val="10"/>
        <color theme="1"/>
        <rFont val="Meiryo UI"/>
        <family val="3"/>
        <charset val="128"/>
      </rPr>
      <t>n</t>
    </r>
    <r>
      <rPr>
        <sz val="10"/>
        <color theme="1"/>
        <rFont val="Meiryo UI"/>
        <family val="3"/>
        <charset val="128"/>
      </rPr>
      <t>} を作成し、余りが循環するまで、余り== 0かを判定する</t>
    </r>
    <rPh sb="37" eb="38">
      <t>アマ</t>
    </rPh>
    <rPh sb="40" eb="42">
      <t>ジュンカン</t>
    </rPh>
    <rPh sb="47" eb="48">
      <t>アマ</t>
    </rPh>
    <rPh sb="55" eb="57">
      <t>ハンテイ</t>
    </rPh>
    <phoneticPr fontId="2"/>
  </si>
  <si>
    <t>・3進法をつかって数値をインクリメントしていき、3進法の 0, 1, 2, 3 をそれぞれ 0, 3, 5, 7 に変換して実際の数値 N を算出し</t>
    <rPh sb="2" eb="4">
      <t>シンホウ</t>
    </rPh>
    <rPh sb="9" eb="11">
      <t>スウチ</t>
    </rPh>
    <rPh sb="25" eb="27">
      <t>シンホウ</t>
    </rPh>
    <rPh sb="58" eb="60">
      <t>ヘンカン</t>
    </rPh>
    <rPh sb="62" eb="64">
      <t>ジッサイ</t>
    </rPh>
    <rPh sb="65" eb="67">
      <t>スウチ</t>
    </rPh>
    <rPh sb="71" eb="73">
      <t>サンシュツ</t>
    </rPh>
    <phoneticPr fontId="2"/>
  </si>
  <si>
    <t xml:space="preserve">  N が与えられた上限数以下の範囲で、753数であるかを判定しする</t>
    <rPh sb="5" eb="6">
      <t>アタ</t>
    </rPh>
    <rPh sb="10" eb="12">
      <t>ジョウゲン</t>
    </rPh>
    <rPh sb="12" eb="13">
      <t>スウ</t>
    </rPh>
    <rPh sb="13" eb="15">
      <t>イカ</t>
    </rPh>
    <rPh sb="16" eb="18">
      <t>ハンイ</t>
    </rPh>
    <rPh sb="23" eb="24">
      <t>スウ</t>
    </rPh>
    <rPh sb="29" eb="31">
      <t>ハンテイ</t>
    </rPh>
    <phoneticPr fontId="2"/>
  </si>
  <si>
    <t>・753数であるかの判定は 作成した数値を１桁ずつ取り出し、3, 5, 7 が少なくとも１つずつ含まれているかチェックする</t>
    <rPh sb="4" eb="5">
      <t>スウ</t>
    </rPh>
    <rPh sb="10" eb="12">
      <t>ハンテイ</t>
    </rPh>
    <rPh sb="14" eb="16">
      <t>サクセイ</t>
    </rPh>
    <rPh sb="18" eb="20">
      <t>スウチ</t>
    </rPh>
    <rPh sb="22" eb="23">
      <t>ケタ</t>
    </rPh>
    <rPh sb="25" eb="26">
      <t>ト</t>
    </rPh>
    <rPh sb="27" eb="28">
      <t>ダ</t>
    </rPh>
    <rPh sb="39" eb="40">
      <t>スク</t>
    </rPh>
    <rPh sb="48" eb="49">
      <t>フク</t>
    </rPh>
    <phoneticPr fontId="2"/>
  </si>
  <si>
    <t>・2種類の加算操作は 3整数A, B, C に対して 2 ずつ足され、両操作とも A+B+C の偶奇を変えることはない</t>
    <rPh sb="2" eb="4">
      <t>シュルイ</t>
    </rPh>
    <rPh sb="5" eb="7">
      <t>カサン</t>
    </rPh>
    <rPh sb="7" eb="9">
      <t>ソウサ</t>
    </rPh>
    <rPh sb="12" eb="14">
      <t>セイスウ</t>
    </rPh>
    <rPh sb="23" eb="24">
      <t>タイ</t>
    </rPh>
    <rPh sb="31" eb="32">
      <t>タ</t>
    </rPh>
    <rPh sb="35" eb="36">
      <t>リョウ</t>
    </rPh>
    <rPh sb="36" eb="38">
      <t>ソウサ</t>
    </rPh>
    <rPh sb="48" eb="50">
      <t>グウキ</t>
    </rPh>
    <rPh sb="51" eb="52">
      <t>カ</t>
    </rPh>
    <phoneticPr fontId="2"/>
  </si>
  <si>
    <t>・A, B, C の中で 最大の整数を M とすると、3整数の和 A+B+C の偶奇と 3M または 3(M+1) の偶奇のいずれかが一致し</t>
    <rPh sb="10" eb="11">
      <t>ナカ</t>
    </rPh>
    <rPh sb="13" eb="15">
      <t>サイダイ</t>
    </rPh>
    <rPh sb="16" eb="18">
      <t>セイスウ</t>
    </rPh>
    <rPh sb="28" eb="30">
      <t>セイスウ</t>
    </rPh>
    <rPh sb="31" eb="32">
      <t>ワ</t>
    </rPh>
    <rPh sb="40" eb="42">
      <t>グウキ</t>
    </rPh>
    <rPh sb="59" eb="61">
      <t>グウキ</t>
    </rPh>
    <rPh sb="67" eb="69">
      <t>イッチ</t>
    </rPh>
    <phoneticPr fontId="2"/>
  </si>
  <si>
    <r>
      <t xml:space="preserve">  偶奇が一致した M または M+1 が 2種類の加算操作で 3整数が等しくなることが可能な整数 M</t>
    </r>
    <r>
      <rPr>
        <vertAlign val="subscript"/>
        <sz val="10"/>
        <color theme="1"/>
        <rFont val="Meiryo UI"/>
        <family val="3"/>
        <charset val="128"/>
      </rPr>
      <t>eq</t>
    </r>
    <r>
      <rPr>
        <sz val="10"/>
        <color theme="1"/>
        <rFont val="Meiryo UI"/>
        <family val="3"/>
        <charset val="128"/>
      </rPr>
      <t xml:space="preserve"> となる</t>
    </r>
    <rPh sb="2" eb="4">
      <t>グウキ</t>
    </rPh>
    <rPh sb="5" eb="7">
      <t>イッチ</t>
    </rPh>
    <rPh sb="23" eb="25">
      <t>シュルイ</t>
    </rPh>
    <rPh sb="26" eb="30">
      <t>カサンソウサ</t>
    </rPh>
    <rPh sb="33" eb="35">
      <t>セイスウ</t>
    </rPh>
    <rPh sb="36" eb="37">
      <t>ヒト</t>
    </rPh>
    <rPh sb="44" eb="46">
      <t>カノウ</t>
    </rPh>
    <rPh sb="47" eb="49">
      <t>セイスウ</t>
    </rPh>
    <phoneticPr fontId="2"/>
  </si>
  <si>
    <t>・一回、リーダを決定し、全ての向く方向を変える人数をカウントしたら、次はリーダを変更しても、全ての向く方向を変える人数を</t>
    <phoneticPr fontId="2"/>
  </si>
  <si>
    <t xml:space="preserve">  カウントしなくともよい</t>
    <phoneticPr fontId="2"/>
  </si>
  <si>
    <t>・一番左をリーダとして、全ての向く方向を変える人数をカウントする</t>
    <phoneticPr fontId="2"/>
  </si>
  <si>
    <t xml:space="preserve">  次に左から二番目をリーダとして、参照すべきは、リーダの左の人の向きと、リーダ自身の向き(リーダはどちらを向いていてもよいため)</t>
    <rPh sb="2" eb="3">
      <t>ツギ</t>
    </rPh>
    <rPh sb="4" eb="5">
      <t>ヒダリ</t>
    </rPh>
    <rPh sb="7" eb="8">
      <t>ニ</t>
    </rPh>
    <rPh sb="8" eb="10">
      <t>バンメ</t>
    </rPh>
    <rPh sb="18" eb="20">
      <t>サンショウ</t>
    </rPh>
    <rPh sb="29" eb="30">
      <t>ヒダリ</t>
    </rPh>
    <rPh sb="31" eb="32">
      <t>ヒト</t>
    </rPh>
    <rPh sb="33" eb="34">
      <t>ム</t>
    </rPh>
    <rPh sb="40" eb="42">
      <t>ジシン</t>
    </rPh>
    <rPh sb="43" eb="44">
      <t>ム</t>
    </rPh>
    <rPh sb="54" eb="55">
      <t>ム</t>
    </rPh>
    <phoneticPr fontId="2"/>
  </si>
  <si>
    <r>
      <t>・１回の操作で 2 ずつ足されるので、操作の回数は (3M</t>
    </r>
    <r>
      <rPr>
        <vertAlign val="subscript"/>
        <sz val="10"/>
        <color theme="1"/>
        <rFont val="Meiryo UI"/>
        <family val="3"/>
        <charset val="128"/>
      </rPr>
      <t>eq</t>
    </r>
    <r>
      <rPr>
        <sz val="10"/>
        <color theme="1"/>
        <rFont val="Meiryo UI"/>
        <family val="3"/>
        <charset val="128"/>
      </rPr>
      <t xml:space="preserve"> - (A+B+C)) / 2 となる</t>
    </r>
    <rPh sb="2" eb="3">
      <t>カイ</t>
    </rPh>
    <rPh sb="4" eb="6">
      <t>ソウサ</t>
    </rPh>
    <rPh sb="12" eb="13">
      <t>タ</t>
    </rPh>
    <phoneticPr fontId="2"/>
  </si>
  <si>
    <r>
      <t>・整数列{a</t>
    </r>
    <r>
      <rPr>
        <vertAlign val="subscript"/>
        <sz val="10"/>
        <color theme="1"/>
        <rFont val="Meiryo UI"/>
        <family val="3"/>
        <charset val="128"/>
      </rPr>
      <t>n</t>
    </r>
    <r>
      <rPr>
        <sz val="10"/>
        <color theme="1"/>
        <rFont val="Meiryo UI"/>
        <family val="3"/>
        <charset val="128"/>
      </rPr>
      <t>}の各要素について、a</t>
    </r>
    <r>
      <rPr>
        <vertAlign val="subscript"/>
        <sz val="10"/>
        <color theme="1"/>
        <rFont val="Meiryo UI"/>
        <family val="3"/>
        <charset val="128"/>
      </rPr>
      <t>n</t>
    </r>
    <r>
      <rPr>
        <sz val="10"/>
        <color theme="1"/>
        <rFont val="Meiryo UI"/>
        <family val="3"/>
        <charset val="128"/>
      </rPr>
      <t>ー1、a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t>
    </r>
    <r>
      <rPr>
        <sz val="10"/>
        <color theme="1"/>
        <rFont val="Meiryo UI"/>
        <family val="3"/>
        <charset val="128"/>
      </rPr>
      <t>＋1 を数値キーにして、map で出現回数をカウントする</t>
    </r>
    <rPh sb="1" eb="4">
      <t>セイスウレツ</t>
    </rPh>
    <rPh sb="9" eb="10">
      <t>カク</t>
    </rPh>
    <rPh sb="10" eb="12">
      <t>ヨウソ</t>
    </rPh>
    <rPh sb="31" eb="33">
      <t>スウチ</t>
    </rPh>
    <rPh sb="44" eb="48">
      <t>シュツゲンカイスウ</t>
    </rPh>
    <phoneticPr fontId="2"/>
  </si>
  <si>
    <t xml:space="preserve">  一番出現回数が多い数値キーが求める値である</t>
    <rPh sb="2" eb="8">
      <t>イチバンシュツゲンカイスウ</t>
    </rPh>
    <rPh sb="9" eb="10">
      <t>オオ</t>
    </rPh>
    <rPh sb="11" eb="13">
      <t>スウチ</t>
    </rPh>
    <rPh sb="16" eb="17">
      <t>モト</t>
    </rPh>
    <rPh sb="19" eb="20">
      <t>アタイ</t>
    </rPh>
    <phoneticPr fontId="2"/>
  </si>
  <si>
    <t>ABC073_C_Write and Erase</t>
    <phoneticPr fontId="2"/>
  </si>
  <si>
    <t>・水A、B、砂糖C、D で全探索を行う。while 条件は 材料の合計質量≦ F で行う</t>
    <rPh sb="1" eb="2">
      <t>ミズ</t>
    </rPh>
    <rPh sb="6" eb="8">
      <t>サトウ</t>
    </rPh>
    <rPh sb="13" eb="14">
      <t>ゼン</t>
    </rPh>
    <rPh sb="14" eb="16">
      <t>タンサク</t>
    </rPh>
    <rPh sb="17" eb="18">
      <t>オコナ</t>
    </rPh>
    <rPh sb="26" eb="28">
      <t>ジョウケン</t>
    </rPh>
    <rPh sb="30" eb="32">
      <t>ザイリョウ</t>
    </rPh>
    <rPh sb="33" eb="35">
      <t>ゴウケイ</t>
    </rPh>
    <rPh sb="35" eb="37">
      <t>シツリョウ</t>
    </rPh>
    <rPh sb="42" eb="43">
      <t>オコナ</t>
    </rPh>
    <phoneticPr fontId="2"/>
  </si>
  <si>
    <t xml:space="preserve">  </t>
    <phoneticPr fontId="2"/>
  </si>
  <si>
    <t>・砂糖E から砂糖水の限界濃度を算出し、水、砂糖の合計質量から砂糖水濃度を算出し、それが 限界濃度を超えない範囲で</t>
    <rPh sb="1" eb="3">
      <t>サトウ</t>
    </rPh>
    <rPh sb="7" eb="10">
      <t>サトウスイ</t>
    </rPh>
    <rPh sb="11" eb="13">
      <t>ゲンカイ</t>
    </rPh>
    <rPh sb="13" eb="15">
      <t>ノウド</t>
    </rPh>
    <rPh sb="16" eb="18">
      <t>サンシュツ</t>
    </rPh>
    <rPh sb="20" eb="21">
      <t>ミズ</t>
    </rPh>
    <rPh sb="22" eb="24">
      <t>サトウ</t>
    </rPh>
    <rPh sb="25" eb="27">
      <t>ゴウケイ</t>
    </rPh>
    <rPh sb="27" eb="29">
      <t>シツリョウ</t>
    </rPh>
    <rPh sb="31" eb="34">
      <t>サトウスイ</t>
    </rPh>
    <rPh sb="34" eb="36">
      <t>ノウド</t>
    </rPh>
    <rPh sb="37" eb="39">
      <t>サンシュツ</t>
    </rPh>
    <rPh sb="45" eb="47">
      <t>ゲンカイ</t>
    </rPh>
    <rPh sb="47" eb="49">
      <t>ノウド</t>
    </rPh>
    <rPh sb="50" eb="51">
      <t>コ</t>
    </rPh>
    <rPh sb="54" eb="56">
      <t>ハンイ</t>
    </rPh>
    <phoneticPr fontId="2"/>
  </si>
  <si>
    <t xml:space="preserve">  最大濃度を算出する</t>
    <rPh sb="2" eb="6">
      <t>サイダイノウド</t>
    </rPh>
    <rPh sb="7" eb="9">
      <t>サンシュツ</t>
    </rPh>
    <phoneticPr fontId="2"/>
  </si>
  <si>
    <t>・H行W列の格子マスの中を左上から順番に参照し、マス値に "#" を見つけたとき、上下左右の4方向を検索し、少なくとも1つの方法に</t>
    <rPh sb="6" eb="8">
      <t>コウシ</t>
    </rPh>
    <rPh sb="11" eb="12">
      <t>ナカ</t>
    </rPh>
    <rPh sb="13" eb="15">
      <t>ヒダリウエ</t>
    </rPh>
    <rPh sb="17" eb="19">
      <t>ジュンバン</t>
    </rPh>
    <rPh sb="20" eb="22">
      <t>サンショウ</t>
    </rPh>
    <rPh sb="26" eb="27">
      <t>チ</t>
    </rPh>
    <rPh sb="34" eb="35">
      <t>ミ</t>
    </rPh>
    <rPh sb="41" eb="45">
      <t>ジョウゲサユウ</t>
    </rPh>
    <rPh sb="47" eb="49">
      <t>ホウコウ</t>
    </rPh>
    <rPh sb="50" eb="52">
      <t>ケンサク</t>
    </rPh>
    <rPh sb="54" eb="55">
      <t>スク</t>
    </rPh>
    <rPh sb="62" eb="64">
      <t>ホウホウ</t>
    </rPh>
    <phoneticPr fontId="2"/>
  </si>
  <si>
    <t xml:space="preserve">  "#" を発見できないとき、黒でペイント不可能なため、目標達成不能</t>
    <rPh sb="7" eb="9">
      <t>ハッケン</t>
    </rPh>
    <rPh sb="16" eb="17">
      <t>クロ</t>
    </rPh>
    <rPh sb="22" eb="25">
      <t>フカノウ</t>
    </rPh>
    <rPh sb="29" eb="31">
      <t>モクヒョウ</t>
    </rPh>
    <rPh sb="31" eb="33">
      <t>タッセイ</t>
    </rPh>
    <rPh sb="33" eb="35">
      <t>フノウ</t>
    </rPh>
    <phoneticPr fontId="2"/>
  </si>
  <si>
    <t xml:space="preserve">  "#" を発見したとき、最初のマス値"#" は黒でペイント可能。</t>
    <rPh sb="7" eb="9">
      <t>ハッケン</t>
    </rPh>
    <rPh sb="14" eb="16">
      <t>サイショ</t>
    </rPh>
    <rPh sb="19" eb="20">
      <t>チ</t>
    </rPh>
    <rPh sb="25" eb="26">
      <t>クロ</t>
    </rPh>
    <rPh sb="31" eb="33">
      <t>カノウ</t>
    </rPh>
    <phoneticPr fontId="2"/>
  </si>
  <si>
    <t>・上下左右の4方向を検索する際、H行W列の格子マス範囲内か否かの判定が必須</t>
    <rPh sb="1" eb="5">
      <t>ジョウゲサユウ</t>
    </rPh>
    <rPh sb="7" eb="9">
      <t>ホウコウ</t>
    </rPh>
    <rPh sb="10" eb="12">
      <t>ケンサク</t>
    </rPh>
    <rPh sb="14" eb="15">
      <t>サイ</t>
    </rPh>
    <rPh sb="17" eb="18">
      <t>ギョウ</t>
    </rPh>
    <rPh sb="19" eb="20">
      <t>レツ</t>
    </rPh>
    <rPh sb="21" eb="23">
      <t>コウシ</t>
    </rPh>
    <rPh sb="25" eb="28">
      <t>ハンイナイ</t>
    </rPh>
    <rPh sb="29" eb="30">
      <t>イナ</t>
    </rPh>
    <rPh sb="32" eb="34">
      <t>ハンテイ</t>
    </rPh>
    <rPh sb="35" eb="37">
      <t>ヒッス</t>
    </rPh>
    <phoneticPr fontId="2"/>
  </si>
  <si>
    <t>・左右から数字列のGCDを保有する２つの vector を準備</t>
    <rPh sb="1" eb="3">
      <t>サユウ</t>
    </rPh>
    <rPh sb="5" eb="7">
      <t>スウジ</t>
    </rPh>
    <rPh sb="7" eb="8">
      <t>レツ</t>
    </rPh>
    <rPh sb="13" eb="15">
      <t>ホユウ</t>
    </rPh>
    <rPh sb="29" eb="31">
      <t>ジュンビ</t>
    </rPh>
    <phoneticPr fontId="2"/>
  </si>
  <si>
    <t>・ボール i に書かれている整数Ai 毎の出現回数を知るため、vector に Ai をキーにして、出現回数をカウントする</t>
    <rPh sb="8" eb="9">
      <t>カ</t>
    </rPh>
    <rPh sb="14" eb="16">
      <t>セイスウ</t>
    </rPh>
    <rPh sb="19" eb="20">
      <t>ゴト</t>
    </rPh>
    <rPh sb="21" eb="25">
      <t>シュツゲンカイスウ</t>
    </rPh>
    <rPh sb="26" eb="27">
      <t>シ</t>
    </rPh>
    <rPh sb="50" eb="54">
      <t>シュツゲンカイスウ</t>
    </rPh>
    <phoneticPr fontId="2"/>
  </si>
  <si>
    <t>・vector を出現回数の小さい順にソートし、vectorの要素を 0～ size()ーK までの出現回数の合計が求める答えとなる</t>
    <rPh sb="9" eb="13">
      <t>シュツゲンカイスウ</t>
    </rPh>
    <rPh sb="14" eb="15">
      <t>チイ</t>
    </rPh>
    <rPh sb="17" eb="18">
      <t>ジュン</t>
    </rPh>
    <rPh sb="31" eb="33">
      <t>ヨウソ</t>
    </rPh>
    <rPh sb="50" eb="54">
      <t>シュツゲンカイスウ</t>
    </rPh>
    <rPh sb="55" eb="57">
      <t>ゴウケイ</t>
    </rPh>
    <rPh sb="58" eb="59">
      <t>モト</t>
    </rPh>
    <rPh sb="61" eb="62">
      <t>コタ</t>
    </rPh>
    <phoneticPr fontId="2"/>
  </si>
  <si>
    <t>・joisinoお姉ちゃんが言った数字そキーにして、map で出現回数をカウントする</t>
    <rPh sb="9" eb="10">
      <t>ネエ</t>
    </rPh>
    <rPh sb="14" eb="15">
      <t>イ</t>
    </rPh>
    <rPh sb="17" eb="19">
      <t>スウジ</t>
    </rPh>
    <rPh sb="31" eb="35">
      <t>シュツゲンカイスウ</t>
    </rPh>
    <phoneticPr fontId="2"/>
  </si>
  <si>
    <t xml:space="preserve">  出現回数が奇数の数字の個数が求める値である</t>
    <rPh sb="2" eb="6">
      <t>シュツゲンカイスウ</t>
    </rPh>
    <rPh sb="7" eb="9">
      <t>キスウ</t>
    </rPh>
    <rPh sb="10" eb="12">
      <t>スウジ</t>
    </rPh>
    <rPh sb="13" eb="15">
      <t>コスウ</t>
    </rPh>
    <rPh sb="16" eb="17">
      <t>モト</t>
    </rPh>
    <rPh sb="19" eb="20">
      <t>アタイ</t>
    </rPh>
    <phoneticPr fontId="2"/>
  </si>
  <si>
    <t>・偶数番目と奇数番目どちらを正にするかで 2 通り考え、小さい方を答える</t>
    <rPh sb="1" eb="3">
      <t>グウスウ</t>
    </rPh>
    <rPh sb="3" eb="5">
      <t>バンメ</t>
    </rPh>
    <rPh sb="6" eb="8">
      <t>キスウ</t>
    </rPh>
    <rPh sb="8" eb="10">
      <t>バンメ</t>
    </rPh>
    <rPh sb="14" eb="15">
      <t>マサ</t>
    </rPh>
    <rPh sb="23" eb="24">
      <t>トオ</t>
    </rPh>
    <rPh sb="25" eb="26">
      <t>カンガ</t>
    </rPh>
    <rPh sb="28" eb="29">
      <t>チイ</t>
    </rPh>
    <rPh sb="31" eb="32">
      <t>ホウ</t>
    </rPh>
    <rPh sb="33" eb="34">
      <t>コタ</t>
    </rPh>
    <phoneticPr fontId="2"/>
  </si>
  <si>
    <t>・要素番号の小さい順に数を確定させていく</t>
    <rPh sb="1" eb="3">
      <t>ヨウソ</t>
    </rPh>
    <phoneticPr fontId="2"/>
  </si>
  <si>
    <t>・ i 桁目までの和の符号が欲しい符号と同じ場合、i 番目の数を変更する必要はない</t>
    <phoneticPr fontId="2"/>
  </si>
  <si>
    <t xml:space="preserve">  i 桁目までの和の符号が欲しい符号と同じ場合、i 番目の数を変更する必要はない。</t>
    <phoneticPr fontId="2"/>
  </si>
  <si>
    <t xml:space="preserve">・すでに i 番目までの和の符号が合致しているのに i 番目の数を変更して最適解が得られるなら、i 番目の数に対する変更を </t>
    <phoneticPr fontId="2"/>
  </si>
  <si>
    <t xml:space="preserve">  i+1 番目の数に持ってくることで同じ最適解が得られるからである</t>
    <phoneticPr fontId="2"/>
  </si>
  <si>
    <t>ABC179_C_A×B+C</t>
    <phoneticPr fontId="2"/>
  </si>
  <si>
    <t>・C を確定後、A, B を確定させる方法だと、1.5sec かかる</t>
    <rPh sb="4" eb="6">
      <t>カクテイ</t>
    </rPh>
    <rPh sb="6" eb="7">
      <t>ゴ</t>
    </rPh>
    <rPh sb="14" eb="16">
      <t>カクテイ</t>
    </rPh>
    <rPh sb="19" eb="21">
      <t>ホウホウ</t>
    </rPh>
    <phoneticPr fontId="2"/>
  </si>
  <si>
    <t xml:space="preserve">  N／A が割り切れなければ、[N／A] 個 A×B＋C を満たす B が存在する</t>
    <rPh sb="7" eb="8">
      <t>ワ</t>
    </rPh>
    <rPh sb="9" eb="10">
      <t>キ</t>
    </rPh>
    <rPh sb="22" eb="23">
      <t>コ</t>
    </rPh>
    <rPh sb="31" eb="32">
      <t>ミ</t>
    </rPh>
    <rPh sb="38" eb="40">
      <t>ソンザイ</t>
    </rPh>
    <phoneticPr fontId="2"/>
  </si>
  <si>
    <t>・A を確定後、B を確定させる方法が一番速い</t>
    <rPh sb="4" eb="7">
      <t>カクテイゴ</t>
    </rPh>
    <rPh sb="11" eb="13">
      <t>カクテイ</t>
    </rPh>
    <rPh sb="16" eb="18">
      <t>ホウホウ</t>
    </rPh>
    <rPh sb="19" eb="21">
      <t>イチバン</t>
    </rPh>
    <rPh sb="21" eb="22">
      <t>ハヤ</t>
    </rPh>
    <phoneticPr fontId="2"/>
  </si>
  <si>
    <t xml:space="preserve">  A は 1～Nー1 まで動き、B は N／A が割り切れれば、[Nー1／A] 個、A×B＋C を満たす B が存在し</t>
    <rPh sb="14" eb="15">
      <t>ウゴ</t>
    </rPh>
    <rPh sb="26" eb="27">
      <t>ワ</t>
    </rPh>
    <rPh sb="28" eb="29">
      <t>キ</t>
    </rPh>
    <rPh sb="41" eb="42">
      <t>コ</t>
    </rPh>
    <rPh sb="50" eb="51">
      <t>ミ</t>
    </rPh>
    <rPh sb="57" eb="59">
      <t>ソンザイ</t>
    </rPh>
    <phoneticPr fontId="2"/>
  </si>
  <si>
    <t>・A は 1～Nー1 まで動き、B は [Nー1／A ] 個 A×B＋C を満たす B が存在する</t>
    <rPh sb="13" eb="14">
      <t>ウゴ</t>
    </rPh>
    <rPh sb="29" eb="30">
      <t>コ</t>
    </rPh>
    <rPh sb="38" eb="39">
      <t>ミ</t>
    </rPh>
    <rPh sb="45" eb="47">
      <t>ソンザイ</t>
    </rPh>
    <phoneticPr fontId="2"/>
  </si>
  <si>
    <t xml:space="preserve">  A、B、C は正整数より、A×B＋C=N より、A×B=NーC≦Nー1  よって A×B≦Nー1 を満たせばよい</t>
    <rPh sb="52" eb="53">
      <t>ミ</t>
    </rPh>
    <phoneticPr fontId="2"/>
  </si>
  <si>
    <t>●B について、 N／A が割り切れるか否かを判定する必要なし</t>
    <rPh sb="14" eb="15">
      <t>ワ</t>
    </rPh>
    <rPh sb="16" eb="17">
      <t>キ</t>
    </rPh>
    <rPh sb="20" eb="21">
      <t>イナ</t>
    </rPh>
    <rPh sb="23" eb="25">
      <t>ハンテイ</t>
    </rPh>
    <rPh sb="27" eb="29">
      <t>ヒツヨウ</t>
    </rPh>
    <phoneticPr fontId="2"/>
  </si>
  <si>
    <t xml:space="preserve">・整数N の sqrt を算出し、1～sqrt(N) までの数値nxで、整数N を割り切れる場合、2数 nx と N／nx を vector に </t>
    <rPh sb="1" eb="3">
      <t>セイスウ</t>
    </rPh>
    <rPh sb="13" eb="15">
      <t>サンシュツ</t>
    </rPh>
    <rPh sb="30" eb="32">
      <t>スウチ</t>
    </rPh>
    <rPh sb="36" eb="38">
      <t>セイスウ</t>
    </rPh>
    <rPh sb="41" eb="42">
      <t>ワ</t>
    </rPh>
    <rPh sb="43" eb="44">
      <t>キ</t>
    </rPh>
    <rPh sb="46" eb="48">
      <t>バアイ</t>
    </rPh>
    <rPh sb="50" eb="51">
      <t>スウ</t>
    </rPh>
    <phoneticPr fontId="2"/>
  </si>
  <si>
    <t xml:space="preserve">  push_back する</t>
    <phoneticPr fontId="2"/>
  </si>
  <si>
    <t>・上記において、N==nx * nx の場合、nx のみ vector に push_back する</t>
    <rPh sb="1" eb="3">
      <t>ジョウキ</t>
    </rPh>
    <rPh sb="20" eb="22">
      <t>バアイ</t>
    </rPh>
    <phoneticPr fontId="2"/>
  </si>
  <si>
    <t>・vector を昇順に sort して出力する</t>
    <rPh sb="9" eb="11">
      <t>ショウジュン</t>
    </rPh>
    <rPh sb="20" eb="22">
      <t>シュツリョク</t>
    </rPh>
    <phoneticPr fontId="2"/>
  </si>
  <si>
    <t>ABC180_C_Cream_puff</t>
    <phoneticPr fontId="2"/>
  </si>
  <si>
    <t>ABC181_C_Collinearity</t>
    <phoneticPr fontId="2"/>
  </si>
  <si>
    <t xml:space="preserve">  x軸が等しい場合、傾きを DBL_MAX に設定</t>
    <rPh sb="3" eb="4">
      <t>ジク</t>
    </rPh>
    <rPh sb="5" eb="6">
      <t>ヒト</t>
    </rPh>
    <rPh sb="8" eb="10">
      <t>バアイ</t>
    </rPh>
    <rPh sb="11" eb="12">
      <t>カタム</t>
    </rPh>
    <rPh sb="24" eb="26">
      <t>セッテイ</t>
    </rPh>
    <phoneticPr fontId="2"/>
  </si>
  <si>
    <t>・3点を選択する 3重ループの中で、要素番号が同一になることを避けて、3点を通る 2直線の傾きを算出する</t>
    <rPh sb="2" eb="3">
      <t>テン</t>
    </rPh>
    <rPh sb="4" eb="6">
      <t>センタク</t>
    </rPh>
    <rPh sb="10" eb="11">
      <t>ジュウ</t>
    </rPh>
    <rPh sb="15" eb="16">
      <t>ナカ</t>
    </rPh>
    <rPh sb="18" eb="22">
      <t>ヨウソバンゴウ</t>
    </rPh>
    <rPh sb="23" eb="25">
      <t>ドウイツ</t>
    </rPh>
    <rPh sb="31" eb="32">
      <t>サ</t>
    </rPh>
    <rPh sb="36" eb="37">
      <t>テン</t>
    </rPh>
    <rPh sb="38" eb="39">
      <t>トオ</t>
    </rPh>
    <rPh sb="42" eb="44">
      <t>チョクセン</t>
    </rPh>
    <rPh sb="45" eb="46">
      <t>カタム</t>
    </rPh>
    <rPh sb="48" eb="50">
      <t>サンシュツ</t>
    </rPh>
    <phoneticPr fontId="2"/>
  </si>
  <si>
    <t>・2直線の傾きが等しいものがある場合 "Yes"、全て等しくない場合 "No" を出力</t>
    <rPh sb="2" eb="4">
      <t>チョクセン</t>
    </rPh>
    <rPh sb="5" eb="6">
      <t>カタム</t>
    </rPh>
    <rPh sb="8" eb="9">
      <t>ヒト</t>
    </rPh>
    <rPh sb="16" eb="18">
      <t>バアイ</t>
    </rPh>
    <rPh sb="25" eb="26">
      <t>スベ</t>
    </rPh>
    <rPh sb="27" eb="28">
      <t>ヒト</t>
    </rPh>
    <rPh sb="32" eb="34">
      <t>バアイ</t>
    </rPh>
    <rPh sb="41" eb="43">
      <t>シュツリョク</t>
    </rPh>
    <phoneticPr fontId="2"/>
  </si>
  <si>
    <t>・3点を選択する 3重ループの中で、初めから 3点が相異なるように要素番号を設定する</t>
    <rPh sb="2" eb="3">
      <t>テン</t>
    </rPh>
    <rPh sb="4" eb="6">
      <t>センタク</t>
    </rPh>
    <rPh sb="10" eb="11">
      <t>ジュウ</t>
    </rPh>
    <rPh sb="15" eb="16">
      <t>ナカ</t>
    </rPh>
    <rPh sb="18" eb="19">
      <t>ハジ</t>
    </rPh>
    <rPh sb="24" eb="25">
      <t>テン</t>
    </rPh>
    <rPh sb="26" eb="28">
      <t>アイコト</t>
    </rPh>
    <rPh sb="33" eb="37">
      <t>ヨウソバンゴウ</t>
    </rPh>
    <rPh sb="38" eb="40">
      <t>セッテイ</t>
    </rPh>
    <phoneticPr fontId="2"/>
  </si>
  <si>
    <t xml:space="preserve">  1点目 for (int ni = cnrvoCoord.size() - 1; ni &gt;= 0; --ni)</t>
    <rPh sb="3" eb="4">
      <t>テン</t>
    </rPh>
    <rPh sb="4" eb="5">
      <t>メ</t>
    </rPh>
    <phoneticPr fontId="2"/>
  </si>
  <si>
    <t xml:space="preserve">  2点目   for (int nj = ni - 1; nj &gt;= 0; --nj)</t>
    <rPh sb="3" eb="4">
      <t>テン</t>
    </rPh>
    <rPh sb="4" eb="5">
      <t>メ</t>
    </rPh>
    <phoneticPr fontId="2"/>
  </si>
  <si>
    <t xml:space="preserve">  3点目     for (int nk = nj - 1; nk &gt;= 0; --nk)</t>
    <rPh sb="3" eb="4">
      <t>テン</t>
    </rPh>
    <rPh sb="4" eb="5">
      <t>メ</t>
    </rPh>
    <phoneticPr fontId="2"/>
  </si>
  <si>
    <t xml:space="preserve">  1点目 for (int ni = 0; ni &lt; cnrvoCoord.size(); ++ni)</t>
    <rPh sb="3" eb="4">
      <t>テン</t>
    </rPh>
    <rPh sb="4" eb="5">
      <t>メ</t>
    </rPh>
    <phoneticPr fontId="2"/>
  </si>
  <si>
    <t xml:space="preserve">  2点目   for (int nj = ni + 1; nj &lt; cnrvoCoord.size(); ++nj)</t>
    <rPh sb="3" eb="4">
      <t>テン</t>
    </rPh>
    <rPh sb="4" eb="5">
      <t>メ</t>
    </rPh>
    <phoneticPr fontId="2"/>
  </si>
  <si>
    <t xml:space="preserve">  3点目     for (int nk = nj + 1; nk &lt; cnrvoCoord.size(); ++nk)</t>
    <rPh sb="3" eb="4">
      <t>テン</t>
    </rPh>
    <rPh sb="4" eb="5">
      <t>メ</t>
    </rPh>
    <phoneticPr fontId="2"/>
  </si>
  <si>
    <t xml:space="preserve"> or</t>
    <phoneticPr fontId="2"/>
  </si>
  <si>
    <t>当問題はこちらで回答</t>
    <rPh sb="0" eb="3">
      <t>トウモンダイ</t>
    </rPh>
    <rPh sb="8" eb="10">
      <t>カイトウ</t>
    </rPh>
    <phoneticPr fontId="2"/>
  </si>
  <si>
    <t>ABC182_C_To3</t>
    <phoneticPr fontId="2"/>
  </si>
  <si>
    <t>ABC183_C_Travel</t>
    <phoneticPr fontId="2"/>
  </si>
  <si>
    <t>上記1.～4. 以外の場合、移動ステップ＝３となる</t>
    <rPh sb="0" eb="2">
      <t>ジョウキ</t>
    </rPh>
    <rPh sb="8" eb="10">
      <t>イガイ</t>
    </rPh>
    <rPh sb="11" eb="13">
      <t>バアイ</t>
    </rPh>
    <rPh sb="14" eb="16">
      <t>イドウ</t>
    </rPh>
    <phoneticPr fontId="2"/>
  </si>
  <si>
    <t>・２次元vector に都市間のコストを格納する</t>
    <rPh sb="2" eb="4">
      <t>ジゲン</t>
    </rPh>
    <rPh sb="12" eb="15">
      <t>トシカン</t>
    </rPh>
    <rPh sb="20" eb="22">
      <t>カクノウ</t>
    </rPh>
    <phoneticPr fontId="2"/>
  </si>
  <si>
    <t>・２次元vector の１次元目で、都市vector に 都市の要素番号(0 indexed) を出力し、最後に再度、要素番号０を出力する</t>
    <rPh sb="2" eb="4">
      <t>ジゲン</t>
    </rPh>
    <rPh sb="13" eb="15">
      <t>ジゲン</t>
    </rPh>
    <rPh sb="15" eb="16">
      <t>メ</t>
    </rPh>
    <rPh sb="29" eb="31">
      <t>トシ</t>
    </rPh>
    <rPh sb="32" eb="36">
      <t>ヨウソバンゴウ</t>
    </rPh>
    <rPh sb="49" eb="51">
      <t>シュツリョク</t>
    </rPh>
    <rPh sb="53" eb="55">
      <t>サイゴ</t>
    </rPh>
    <rPh sb="56" eb="58">
      <t>サイド</t>
    </rPh>
    <rPh sb="59" eb="63">
      <t>ヨウソバンゴウ</t>
    </rPh>
    <rPh sb="65" eb="67">
      <t>シュツリョク</t>
    </rPh>
    <phoneticPr fontId="2"/>
  </si>
  <si>
    <t xml:space="preserve">  (都市１からスタートし、都市１に戻ってくるため)</t>
    <rPh sb="3" eb="5">
      <t>トシ</t>
    </rPh>
    <rPh sb="14" eb="16">
      <t>トシ</t>
    </rPh>
    <rPh sb="18" eb="19">
      <t>モド</t>
    </rPh>
    <phoneticPr fontId="2"/>
  </si>
  <si>
    <t>・順列を next_permutation で生成し、都市vector 要素の２番目から(最終ー１)番目までを並び替え、</t>
    <rPh sb="1" eb="3">
      <t>ジュンレツ</t>
    </rPh>
    <rPh sb="23" eb="25">
      <t>セイセイ</t>
    </rPh>
    <rPh sb="27" eb="29">
      <t>トシ</t>
    </rPh>
    <rPh sb="36" eb="38">
      <t>ヨウソ</t>
    </rPh>
    <rPh sb="40" eb="42">
      <t>バンメ</t>
    </rPh>
    <rPh sb="45" eb="47">
      <t>サイシュウ</t>
    </rPh>
    <rPh sb="50" eb="52">
      <t>バンメ</t>
    </rPh>
    <rPh sb="55" eb="56">
      <t>ナラ</t>
    </rPh>
    <rPh sb="57" eb="58">
      <t>カ</t>
    </rPh>
    <phoneticPr fontId="2"/>
  </si>
  <si>
    <t xml:space="preserve">  都市間コストがＫとなるものをカウントする</t>
    <rPh sb="2" eb="5">
      <t>トシカン</t>
    </rPh>
    <phoneticPr fontId="2"/>
  </si>
  <si>
    <t>・桁数値選択・排除配列の bit全探索を行う。選択(bit1)となった桁の数値のみを足し上げ、それが３で割り切れるか判定し</t>
    <rPh sb="1" eb="4">
      <t>ケタスウチ</t>
    </rPh>
    <rPh sb="4" eb="6">
      <t>センタク</t>
    </rPh>
    <rPh sb="7" eb="9">
      <t>ハイジョ</t>
    </rPh>
    <rPh sb="9" eb="11">
      <t>ハイレツ</t>
    </rPh>
    <rPh sb="16" eb="19">
      <t>ゼンタンサク</t>
    </rPh>
    <rPh sb="20" eb="21">
      <t>オコナ</t>
    </rPh>
    <rPh sb="23" eb="25">
      <t>センタク</t>
    </rPh>
    <rPh sb="35" eb="36">
      <t>ケタ</t>
    </rPh>
    <rPh sb="37" eb="39">
      <t>スウチ</t>
    </rPh>
    <rPh sb="42" eb="43">
      <t>タ</t>
    </rPh>
    <rPh sb="44" eb="45">
      <t>ア</t>
    </rPh>
    <rPh sb="52" eb="53">
      <t>ワ</t>
    </rPh>
    <rPh sb="54" eb="55">
      <t>キ</t>
    </rPh>
    <rPh sb="58" eb="60">
      <t>ハンテイ</t>
    </rPh>
    <phoneticPr fontId="2"/>
  </si>
  <si>
    <t xml:space="preserve">  排除桁数が最も小さいものを求める</t>
    <rPh sb="2" eb="4">
      <t>ハイジョ</t>
    </rPh>
    <rPh sb="4" eb="5">
      <t>ケタ</t>
    </rPh>
    <rPh sb="5" eb="6">
      <t>スウ</t>
    </rPh>
    <rPh sb="7" eb="8">
      <t>モット</t>
    </rPh>
    <rPh sb="9" eb="10">
      <t>チイ</t>
    </rPh>
    <rPh sb="15" eb="16">
      <t>モト</t>
    </rPh>
    <phoneticPr fontId="2"/>
  </si>
  <si>
    <t>・スイッチOnOff配列の bit全探索を行う。対象(bit1)となったスイッチOnOff配列の要素を スイッチon にして、</t>
    <rPh sb="10" eb="12">
      <t>ハイレツ</t>
    </rPh>
    <rPh sb="17" eb="20">
      <t>ゼンタンサク</t>
    </rPh>
    <rPh sb="21" eb="22">
      <t>オコナ</t>
    </rPh>
    <rPh sb="24" eb="26">
      <t>タイショウ</t>
    </rPh>
    <rPh sb="45" eb="47">
      <t>ハイレツ</t>
    </rPh>
    <rPh sb="48" eb="50">
      <t>ヨウソ</t>
    </rPh>
    <phoneticPr fontId="2"/>
  </si>
  <si>
    <t xml:space="preserve">  ライトースイッチ２次元配列の各ライト毎に、繋がっているスイッチが on になっている状態と 結果配列と比較して、</t>
    <rPh sb="16" eb="17">
      <t>カク</t>
    </rPh>
    <rPh sb="20" eb="21">
      <t>ゴト</t>
    </rPh>
    <rPh sb="23" eb="24">
      <t>ツナ</t>
    </rPh>
    <rPh sb="44" eb="46">
      <t>ジョウタイ</t>
    </rPh>
    <rPh sb="48" eb="52">
      <t>ケッカハイレツ</t>
    </rPh>
    <rPh sb="53" eb="55">
      <t>ヒカク</t>
    </rPh>
    <phoneticPr fontId="2"/>
  </si>
  <si>
    <t xml:space="preserve">  ライトが点灯するか否かを判定する</t>
    <phoneticPr fontId="2"/>
  </si>
  <si>
    <t>・4つの数値を格納する 数値配列、３つの演算子を格納する演算子配列を定義</t>
    <rPh sb="4" eb="6">
      <t>スウチ</t>
    </rPh>
    <rPh sb="7" eb="9">
      <t>カクノウ</t>
    </rPh>
    <rPh sb="12" eb="14">
      <t>スウチ</t>
    </rPh>
    <rPh sb="14" eb="16">
      <t>ハイレツ</t>
    </rPh>
    <rPh sb="20" eb="23">
      <t>エンザンシ</t>
    </rPh>
    <rPh sb="24" eb="26">
      <t>カクノウ</t>
    </rPh>
    <rPh sb="28" eb="31">
      <t>エンザンシ</t>
    </rPh>
    <rPh sb="31" eb="33">
      <t>ハイレツ</t>
    </rPh>
    <rPh sb="34" eb="36">
      <t>テイギ</t>
    </rPh>
    <phoneticPr fontId="2"/>
  </si>
  <si>
    <t>・演算子配列の bit全探索を行う。対象(bit1)となった演算子配列の要素に＋、それ以外は ー を設定し、</t>
    <rPh sb="1" eb="4">
      <t>エンザンシ</t>
    </rPh>
    <rPh sb="4" eb="6">
      <t>ハイレツ</t>
    </rPh>
    <rPh sb="11" eb="12">
      <t>ゼン</t>
    </rPh>
    <rPh sb="12" eb="14">
      <t>タンサク</t>
    </rPh>
    <rPh sb="15" eb="16">
      <t>オコナ</t>
    </rPh>
    <rPh sb="18" eb="20">
      <t>タイショウ</t>
    </rPh>
    <rPh sb="30" eb="33">
      <t>エンザンシ</t>
    </rPh>
    <rPh sb="33" eb="35">
      <t>ハイレツ</t>
    </rPh>
    <rPh sb="36" eb="38">
      <t>ヨウソ</t>
    </rPh>
    <rPh sb="50" eb="52">
      <t>セッテイ</t>
    </rPh>
    <phoneticPr fontId="2"/>
  </si>
  <si>
    <t xml:space="preserve">  計算結果が 7 となる組合せを検索する</t>
    <phoneticPr fontId="2"/>
  </si>
  <si>
    <t>・書籍価格配列、書籍ーアルゴリズム理解度２次元配列、アルゴリズム理解度合計配列 を定義</t>
    <rPh sb="1" eb="3">
      <t>ショセキ</t>
    </rPh>
    <rPh sb="3" eb="5">
      <t>カカク</t>
    </rPh>
    <rPh sb="5" eb="7">
      <t>ハイレツ</t>
    </rPh>
    <rPh sb="8" eb="10">
      <t>ショセキ</t>
    </rPh>
    <rPh sb="17" eb="20">
      <t>リカイド</t>
    </rPh>
    <rPh sb="21" eb="23">
      <t>ジゲン</t>
    </rPh>
    <rPh sb="23" eb="25">
      <t>ハイレツ</t>
    </rPh>
    <rPh sb="32" eb="35">
      <t>リカイド</t>
    </rPh>
    <rPh sb="35" eb="37">
      <t>ゴウケイ</t>
    </rPh>
    <rPh sb="37" eb="39">
      <t>ハイレツ</t>
    </rPh>
    <rPh sb="41" eb="43">
      <t>テイギ</t>
    </rPh>
    <phoneticPr fontId="2"/>
  </si>
  <si>
    <t xml:space="preserve">  書籍ーアルゴリズム理解度２次元配列のアルゴリズム理解度を アルゴリズム理解度合計配列に集計する</t>
    <rPh sb="37" eb="40">
      <t>リカイド</t>
    </rPh>
    <rPh sb="40" eb="42">
      <t>ゴウケイ</t>
    </rPh>
    <rPh sb="42" eb="44">
      <t>ハイレツ</t>
    </rPh>
    <rPh sb="45" eb="47">
      <t>シュウケイ</t>
    </rPh>
    <phoneticPr fontId="2"/>
  </si>
  <si>
    <t xml:space="preserve">  最小値を求める</t>
    <phoneticPr fontId="2"/>
  </si>
  <si>
    <t>・書籍価格配列の bit全探索を行う。対象(bit1)となった書籍価格配列の要素番号と等しい書籍について</t>
    <rPh sb="1" eb="3">
      <t>ショセキ</t>
    </rPh>
    <rPh sb="3" eb="5">
      <t>カカク</t>
    </rPh>
    <rPh sb="5" eb="7">
      <t>ハイレツ</t>
    </rPh>
    <rPh sb="12" eb="13">
      <t>ゼン</t>
    </rPh>
    <rPh sb="13" eb="15">
      <t>タンサク</t>
    </rPh>
    <rPh sb="16" eb="17">
      <t>オコナ</t>
    </rPh>
    <rPh sb="19" eb="21">
      <t>タイショウ</t>
    </rPh>
    <rPh sb="31" eb="33">
      <t>ショセキ</t>
    </rPh>
    <rPh sb="33" eb="35">
      <t>カカク</t>
    </rPh>
    <rPh sb="35" eb="37">
      <t>ハイレツ</t>
    </rPh>
    <rPh sb="38" eb="40">
      <t>ヨウソ</t>
    </rPh>
    <rPh sb="40" eb="42">
      <t>バンゴウ</t>
    </rPh>
    <rPh sb="43" eb="44">
      <t>ヒト</t>
    </rPh>
    <rPh sb="46" eb="48">
      <t>ショセキ</t>
    </rPh>
    <phoneticPr fontId="2"/>
  </si>
  <si>
    <t>・アルゴリズム理解度合計配列の先頭要素～最終要素まで、すべて 目標理解度を達成した場合の書籍価格の合計の</t>
    <rPh sb="7" eb="10">
      <t>リカイド</t>
    </rPh>
    <rPh sb="10" eb="12">
      <t>ゴウケイ</t>
    </rPh>
    <rPh sb="12" eb="14">
      <t>ハイレツ</t>
    </rPh>
    <rPh sb="15" eb="17">
      <t>セントウ</t>
    </rPh>
    <rPh sb="17" eb="19">
      <t>ヨウソ</t>
    </rPh>
    <rPh sb="20" eb="22">
      <t>サイシュウ</t>
    </rPh>
    <rPh sb="22" eb="24">
      <t>ヨウソ</t>
    </rPh>
    <rPh sb="31" eb="33">
      <t>モクヒョウ</t>
    </rPh>
    <rPh sb="33" eb="36">
      <t>リカイド</t>
    </rPh>
    <rPh sb="37" eb="39">
      <t>タッセイ</t>
    </rPh>
    <rPh sb="41" eb="43">
      <t>バアイ</t>
    </rPh>
    <rPh sb="44" eb="46">
      <t>ショセキ</t>
    </rPh>
    <rPh sb="46" eb="48">
      <t>カカク</t>
    </rPh>
    <rPh sb="49" eb="51">
      <t>ゴウケイ</t>
    </rPh>
    <phoneticPr fontId="2"/>
  </si>
  <si>
    <t>・各桁数値の選択・排除を表した 桁数値選択・排除配列 (bit1:選択、bit0:排除) を定義</t>
    <rPh sb="1" eb="5">
      <t>カクケタスウチ</t>
    </rPh>
    <rPh sb="6" eb="8">
      <t>センタク</t>
    </rPh>
    <rPh sb="9" eb="11">
      <t>ハイジョ</t>
    </rPh>
    <rPh sb="12" eb="13">
      <t>アラワ</t>
    </rPh>
    <rPh sb="16" eb="17">
      <t>ケタ</t>
    </rPh>
    <rPh sb="17" eb="19">
      <t>スウチ</t>
    </rPh>
    <rPh sb="19" eb="21">
      <t>センタク</t>
    </rPh>
    <rPh sb="22" eb="24">
      <t>ハイジョ</t>
    </rPh>
    <rPh sb="24" eb="26">
      <t>ハイレツ</t>
    </rPh>
    <rPh sb="46" eb="48">
      <t>テイギ</t>
    </rPh>
    <phoneticPr fontId="2"/>
  </si>
  <si>
    <t>・証言者ー証言内容２次元配列、人属性配列 (bit1:正直者、bit0:不正直者) を定義</t>
    <rPh sb="1" eb="4">
      <t>ショウゲンシャ</t>
    </rPh>
    <rPh sb="5" eb="7">
      <t>ショウゲン</t>
    </rPh>
    <rPh sb="7" eb="9">
      <t>ナイヨウ</t>
    </rPh>
    <rPh sb="10" eb="12">
      <t>ジゲン</t>
    </rPh>
    <rPh sb="12" eb="14">
      <t>ハイレツ</t>
    </rPh>
    <rPh sb="15" eb="16">
      <t>ヒト</t>
    </rPh>
    <rPh sb="16" eb="18">
      <t>ゾクセイ</t>
    </rPh>
    <rPh sb="18" eb="20">
      <t>ハイレツ</t>
    </rPh>
    <rPh sb="27" eb="30">
      <t>ショウジキシャ</t>
    </rPh>
    <rPh sb="36" eb="39">
      <t>フショウジキ</t>
    </rPh>
    <rPh sb="39" eb="40">
      <t>モノ</t>
    </rPh>
    <rPh sb="43" eb="45">
      <t>テイギ</t>
    </rPh>
    <phoneticPr fontId="2"/>
  </si>
  <si>
    <t>・人属性配列の bit全探索を行う。正直者(bit1)と不正直者(bit0) という人属性を仮に確定して</t>
    <rPh sb="1" eb="4">
      <t>ヒトゾクセイ</t>
    </rPh>
    <rPh sb="4" eb="6">
      <t>ハイレツ</t>
    </rPh>
    <rPh sb="11" eb="14">
      <t>ゼンタンサク</t>
    </rPh>
    <rPh sb="15" eb="16">
      <t>オコナ</t>
    </rPh>
    <rPh sb="18" eb="21">
      <t>ショウジキモノ</t>
    </rPh>
    <rPh sb="28" eb="31">
      <t>フショウジキ</t>
    </rPh>
    <rPh sb="31" eb="32">
      <t>モノ</t>
    </rPh>
    <rPh sb="42" eb="43">
      <t>ヒト</t>
    </rPh>
    <rPh sb="43" eb="45">
      <t>ゾクセイ</t>
    </rPh>
    <rPh sb="46" eb="47">
      <t>カリ</t>
    </rPh>
    <rPh sb="48" eb="50">
      <t>カクテイ</t>
    </rPh>
    <phoneticPr fontId="2"/>
  </si>
  <si>
    <t>・最も ｢正直者｣ が多くなる場合を回答する</t>
    <rPh sb="1" eb="2">
      <t>モット</t>
    </rPh>
    <rPh sb="5" eb="8">
      <t>ショウジキシャ</t>
    </rPh>
    <rPh sb="11" eb="12">
      <t>オオ</t>
    </rPh>
    <rPh sb="15" eb="17">
      <t>バアイ</t>
    </rPh>
    <rPh sb="18" eb="20">
      <t>カイトウ</t>
    </rPh>
    <phoneticPr fontId="2"/>
  </si>
  <si>
    <t xml:space="preserve">  証言者ー証言内容２次元配列の各証言者に対して、証言内容が 仮に確定した人属性にすべて一致するかを判定する</t>
    <rPh sb="2" eb="4">
      <t>ショウゲン</t>
    </rPh>
    <rPh sb="4" eb="5">
      <t>シャ</t>
    </rPh>
    <rPh sb="6" eb="10">
      <t>ショウゲンナイヨウ</t>
    </rPh>
    <rPh sb="11" eb="15">
      <t>ジゲンハイレツ</t>
    </rPh>
    <rPh sb="16" eb="17">
      <t>カク</t>
    </rPh>
    <rPh sb="17" eb="20">
      <t>ショウゲンシャ</t>
    </rPh>
    <rPh sb="21" eb="22">
      <t>タイ</t>
    </rPh>
    <rPh sb="25" eb="29">
      <t>ショウゲンナイヨウ</t>
    </rPh>
    <rPh sb="31" eb="32">
      <t>カリ</t>
    </rPh>
    <rPh sb="33" eb="35">
      <t>カクテイ</t>
    </rPh>
    <rPh sb="37" eb="38">
      <t>ヒト</t>
    </rPh>
    <rPh sb="38" eb="40">
      <t>ゾクセイ</t>
    </rPh>
    <rPh sb="44" eb="46">
      <t>イッチ</t>
    </rPh>
    <rPh sb="50" eb="52">
      <t>ハンテイ</t>
    </rPh>
    <phoneticPr fontId="2"/>
  </si>
  <si>
    <t>・各証言者の発言内容が 仮確定した人属性に すべて一致する場合 ｢正直者｣ としてカウントし、そうでなければ カウントしない</t>
    <rPh sb="1" eb="2">
      <t>カク</t>
    </rPh>
    <rPh sb="2" eb="5">
      <t>ショウゲンシャ</t>
    </rPh>
    <rPh sb="6" eb="10">
      <t>ハツゲンナイヨウ</t>
    </rPh>
    <rPh sb="12" eb="15">
      <t>カリカクテイ</t>
    </rPh>
    <rPh sb="17" eb="20">
      <t>ヒトゾクセイ</t>
    </rPh>
    <rPh sb="25" eb="27">
      <t>イッチ</t>
    </rPh>
    <rPh sb="29" eb="31">
      <t>バアイ</t>
    </rPh>
    <rPh sb="33" eb="36">
      <t>ショウジキシャ</t>
    </rPh>
    <phoneticPr fontId="2"/>
  </si>
  <si>
    <t>・グリッド２次元配列(stringを格納するvector１次元配列)を定義</t>
    <rPh sb="6" eb="8">
      <t>ジゲン</t>
    </rPh>
    <rPh sb="8" eb="10">
      <t>ハイレツ</t>
    </rPh>
    <rPh sb="18" eb="20">
      <t>カクノウ</t>
    </rPh>
    <rPh sb="29" eb="31">
      <t>ジゲン</t>
    </rPh>
    <rPh sb="31" eb="33">
      <t>ハイレツ</t>
    </rPh>
    <rPh sb="35" eb="37">
      <t>テイギ</t>
    </rPh>
    <phoneticPr fontId="2"/>
  </si>
  <si>
    <t>・グリッド２次元配列において、縦(行)、横(列) bit全探索を行う。対象(bit1)となった行、列はスキップし</t>
    <rPh sb="6" eb="8">
      <t>ジゲン</t>
    </rPh>
    <rPh sb="8" eb="10">
      <t>ハイレツ</t>
    </rPh>
    <rPh sb="28" eb="31">
      <t>ゼンタンサク</t>
    </rPh>
    <rPh sb="32" eb="33">
      <t>オコナ</t>
    </rPh>
    <rPh sb="35" eb="37">
      <t>タイショウ</t>
    </rPh>
    <rPh sb="47" eb="48">
      <t>ギョウ</t>
    </rPh>
    <rPh sb="49" eb="50">
      <t>レツ</t>
    </rPh>
    <phoneticPr fontId="2"/>
  </si>
  <si>
    <t xml:space="preserve">  非対象(bit0)となった行、列の黒マス(#記号)をカウントする</t>
    <rPh sb="2" eb="5">
      <t>ヒタイショウ</t>
    </rPh>
    <rPh sb="15" eb="16">
      <t>ギョウ</t>
    </rPh>
    <rPh sb="17" eb="18">
      <t>レツ</t>
    </rPh>
    <rPh sb="19" eb="20">
      <t>クロ</t>
    </rPh>
    <rPh sb="24" eb="26">
      <t>キゴウ</t>
    </rPh>
    <phoneticPr fontId="2"/>
  </si>
  <si>
    <t>・黒マスのカウントが K個となる行、列の組合せを求める</t>
    <rPh sb="1" eb="2">
      <t>クロ</t>
    </rPh>
    <rPh sb="12" eb="13">
      <t>コ</t>
    </rPh>
    <rPh sb="16" eb="17">
      <t>ギョウ</t>
    </rPh>
    <rPh sb="18" eb="19">
      <t>レツ</t>
    </rPh>
    <rPh sb="20" eb="22">
      <t>クミアワ</t>
    </rPh>
    <rPh sb="24" eb="25">
      <t>モト</t>
    </rPh>
    <phoneticPr fontId="2"/>
  </si>
  <si>
    <t>スキップした</t>
  </si>
  <si>
    <t xml:space="preserve">  for (int nx = 0; nx &lt; cnrvnNum.size() - 1; ++nx)</t>
    <phoneticPr fontId="2"/>
  </si>
  <si>
    <t xml:space="preserve">    nCumlSum -= cnrvnNum[nx];</t>
    <phoneticPr fontId="2"/>
  </si>
  <si>
    <t>llong nCumlSum = 0;</t>
    <phoneticPr fontId="2"/>
  </si>
  <si>
    <t>for (int i = 0; i &lt; cnrvnNum.size() - 1; ++i)</t>
    <phoneticPr fontId="2"/>
  </si>
  <si>
    <t xml:space="preserve">   nCumlSum -= cnrvnNum[i];</t>
    <phoneticPr fontId="2"/>
  </si>
  <si>
    <t xml:space="preserve">   nSumOfMultpl += cnrvnNum[i] * nCumlSumMod;  ・・・③</t>
    <phoneticPr fontId="2"/>
  </si>
  <si>
    <t xml:space="preserve">   nSumOfMultpl %= cnnMod;</t>
    <phoneticPr fontId="2"/>
  </si>
  <si>
    <t>}</t>
    <phoneticPr fontId="2"/>
  </si>
  <si>
    <t xml:space="preserve">   nSumOfMultpl += cnrvnNum[i] * ( nCumlSum % cnnMod );  ･･･③</t>
    <phoneticPr fontId="2"/>
  </si>
  <si>
    <t>llong nSumOfMultpl = 0;</t>
    <phoneticPr fontId="2"/>
  </si>
  <si>
    <r>
      <t xml:space="preserve">   </t>
    </r>
    <r>
      <rPr>
        <b/>
        <sz val="9"/>
        <color rgb="FFFF0000"/>
        <rFont val="Meiryo UI"/>
        <family val="3"/>
        <charset val="128"/>
      </rPr>
      <t>int</t>
    </r>
    <r>
      <rPr>
        <sz val="9"/>
        <color theme="1"/>
        <rFont val="Meiryo UI"/>
        <family val="3"/>
        <charset val="128"/>
      </rPr>
      <t xml:space="preserve"> nCumlSumMod = </t>
    </r>
    <r>
      <rPr>
        <sz val="9"/>
        <color rgb="FF0000FF"/>
        <rFont val="Meiryo UI"/>
        <family val="3"/>
        <charset val="128"/>
      </rPr>
      <t>nCumlSum % cnnMod</t>
    </r>
    <r>
      <rPr>
        <sz val="9"/>
        <color theme="1"/>
        <rFont val="Meiryo UI"/>
        <family val="3"/>
        <charset val="128"/>
      </rPr>
      <t>;          ・・・②</t>
    </r>
    <phoneticPr fontId="2"/>
  </si>
  <si>
    <t>・・・</t>
    <phoneticPr fontId="2"/>
  </si>
  <si>
    <r>
      <t>・N個の整数の和 S (A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 xml:space="preserve">N </t>
    </r>
    <r>
      <rPr>
        <sz val="10"/>
        <color theme="1"/>
        <rFont val="Meiryo UI"/>
        <family val="3"/>
        <charset val="128"/>
      </rPr>
      <t>までの和) を求めておく</t>
    </r>
    <rPh sb="2" eb="3">
      <t>コ</t>
    </rPh>
    <rPh sb="4" eb="6">
      <t>セイスウ</t>
    </rPh>
    <rPh sb="7" eb="8">
      <t>ワ</t>
    </rPh>
    <rPh sb="21" eb="22">
      <t>ワ</t>
    </rPh>
    <rPh sb="25" eb="26">
      <t>モト</t>
    </rPh>
    <phoneticPr fontId="2"/>
  </si>
  <si>
    <r>
      <t>・A</t>
    </r>
    <r>
      <rPr>
        <vertAlign val="subscript"/>
        <sz val="9"/>
        <color theme="1"/>
        <rFont val="Meiryo UI"/>
        <family val="3"/>
        <charset val="128"/>
      </rPr>
      <t>2</t>
    </r>
    <r>
      <rPr>
        <sz val="9"/>
        <color theme="1"/>
        <rFont val="Meiryo UI"/>
        <family val="3"/>
        <charset val="128"/>
      </rPr>
      <t>と他の整数(A</t>
    </r>
    <r>
      <rPr>
        <vertAlign val="subscript"/>
        <sz val="9"/>
        <color theme="1"/>
        <rFont val="Meiryo UI"/>
        <family val="3"/>
        <charset val="128"/>
      </rPr>
      <t>3</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2</t>
    </r>
    <r>
      <rPr>
        <sz val="9"/>
        <color theme="1"/>
        <rFont val="Meiryo UI"/>
        <family val="3"/>
        <charset val="128"/>
      </rPr>
      <t>, A</t>
    </r>
    <r>
      <rPr>
        <vertAlign val="subscript"/>
        <sz val="9"/>
        <color theme="1"/>
        <rFont val="Meiryo UI"/>
        <family val="3"/>
        <charset val="128"/>
      </rPr>
      <t>2</t>
    </r>
    <r>
      <rPr>
        <sz val="9"/>
        <color theme="1"/>
        <rFont val="Meiryo UI"/>
        <family val="3"/>
        <charset val="128"/>
      </rPr>
      <t>× (S - A</t>
    </r>
    <r>
      <rPr>
        <vertAlign val="subscript"/>
        <sz val="9"/>
        <color theme="1"/>
        <rFont val="Meiryo UI"/>
        <family val="3"/>
        <charset val="128"/>
      </rPr>
      <t>2</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</si>
  <si>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1</t>
    </r>
    <r>
      <rPr>
        <sz val="9"/>
        <color theme="1"/>
        <rFont val="Meiryo UI"/>
        <family val="3"/>
        <charset val="128"/>
      </rPr>
      <t>と他の整数(A</t>
    </r>
    <r>
      <rPr>
        <vertAlign val="subscript"/>
        <sz val="9"/>
        <color theme="1"/>
        <rFont val="Meiryo UI"/>
        <family val="3"/>
        <charset val="128"/>
      </rPr>
      <t>2</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1</t>
    </r>
    <r>
      <rPr>
        <sz val="9"/>
        <color theme="1"/>
        <rFont val="Meiryo UI"/>
        <family val="3"/>
        <charset val="128"/>
      </rPr>
      <t>, A</t>
    </r>
    <r>
      <rPr>
        <vertAlign val="subscript"/>
        <sz val="9"/>
        <color theme="1"/>
        <rFont val="Meiryo UI"/>
        <family val="3"/>
        <charset val="128"/>
      </rPr>
      <t>1</t>
    </r>
    <r>
      <rPr>
        <sz val="9"/>
        <color theme="1"/>
        <rFont val="Meiryo UI"/>
        <family val="3"/>
        <charset val="128"/>
      </rPr>
      <t>× (S - A</t>
    </r>
    <r>
      <rPr>
        <vertAlign val="subscript"/>
        <sz val="9"/>
        <color theme="1"/>
        <rFont val="Meiryo UI"/>
        <family val="3"/>
        <charset val="128"/>
      </rPr>
      <t>1</t>
    </r>
    <r>
      <rPr>
        <sz val="9"/>
        <color theme="1"/>
        <rFont val="Meiryo UI"/>
        <family val="3"/>
        <charset val="128"/>
      </rPr>
      <t>)</t>
    </r>
    <rPh sb="4" eb="5">
      <t>タ</t>
    </rPh>
    <rPh sb="6" eb="8">
      <t>セイスウ</t>
    </rPh>
    <rPh sb="18" eb="19">
      <t>セキ</t>
    </rPh>
    <rPh sb="20" eb="21">
      <t>ワ</t>
    </rPh>
    <phoneticPr fontId="2"/>
  </si>
  <si>
    <r>
      <t>・A</t>
    </r>
    <r>
      <rPr>
        <vertAlign val="subscript"/>
        <sz val="9"/>
        <color theme="1"/>
        <rFont val="Meiryo UI"/>
        <family val="3"/>
        <charset val="128"/>
      </rPr>
      <t>k</t>
    </r>
    <r>
      <rPr>
        <sz val="9"/>
        <color theme="1"/>
        <rFont val="Meiryo UI"/>
        <family val="3"/>
        <charset val="128"/>
      </rPr>
      <t>と他の整数(A</t>
    </r>
    <r>
      <rPr>
        <vertAlign val="subscript"/>
        <sz val="9"/>
        <color theme="1"/>
        <rFont val="Meiryo UI"/>
        <family val="3"/>
        <charset val="128"/>
      </rPr>
      <t>k</t>
    </r>
    <r>
      <rPr>
        <sz val="9"/>
        <color theme="1"/>
        <rFont val="Meiryo UI"/>
        <family val="3"/>
        <charset val="128"/>
      </rPr>
      <t>～A</t>
    </r>
    <r>
      <rPr>
        <vertAlign val="subscript"/>
        <sz val="9"/>
        <color theme="1"/>
        <rFont val="Meiryo UI"/>
        <family val="3"/>
        <charset val="128"/>
      </rPr>
      <t>N</t>
    </r>
    <r>
      <rPr>
        <sz val="9"/>
        <color theme="1"/>
        <rFont val="Meiryo UI"/>
        <family val="3"/>
        <charset val="128"/>
      </rPr>
      <t>) との積の和は S ← S - A</t>
    </r>
    <r>
      <rPr>
        <vertAlign val="subscript"/>
        <sz val="9"/>
        <color theme="1"/>
        <rFont val="Meiryo UI"/>
        <family val="3"/>
        <charset val="128"/>
      </rPr>
      <t>k</t>
    </r>
    <r>
      <rPr>
        <sz val="9"/>
        <color theme="1"/>
        <rFont val="Meiryo UI"/>
        <family val="3"/>
        <charset val="128"/>
      </rPr>
      <t>, A</t>
    </r>
    <r>
      <rPr>
        <vertAlign val="subscript"/>
        <sz val="9"/>
        <color theme="1"/>
        <rFont val="Meiryo UI"/>
        <family val="3"/>
        <charset val="128"/>
      </rPr>
      <t>k</t>
    </r>
    <r>
      <rPr>
        <sz val="9"/>
        <color theme="1"/>
        <rFont val="Meiryo UI"/>
        <family val="3"/>
        <charset val="128"/>
      </rPr>
      <t>× (S - A</t>
    </r>
    <r>
      <rPr>
        <vertAlign val="subscript"/>
        <sz val="9"/>
        <color theme="1"/>
        <rFont val="Meiryo UI"/>
        <family val="3"/>
        <charset val="128"/>
      </rPr>
      <t>k</t>
    </r>
    <r>
      <rPr>
        <sz val="9"/>
        <color theme="1"/>
        <rFont val="Meiryo UI"/>
        <family val="3"/>
        <charset val="128"/>
      </rPr>
      <t>)</t>
    </r>
    <rPh sb="4" eb="5">
      <t>タ</t>
    </rPh>
    <rPh sb="6" eb="8">
      <t>セイスウ</t>
    </rPh>
    <rPh sb="18" eb="19">
      <t>セキ</t>
    </rPh>
    <rPh sb="20" eb="21">
      <t>ワ</t>
    </rPh>
    <phoneticPr fontId="2"/>
  </si>
  <si>
    <t>この積の和が求める答えとなる</t>
    <rPh sb="2" eb="3">
      <t>セキ</t>
    </rPh>
    <rPh sb="4" eb="5">
      <t>ワ</t>
    </rPh>
    <rPh sb="6" eb="7">
      <t>モト</t>
    </rPh>
    <rPh sb="9" eb="10">
      <t>コタ</t>
    </rPh>
    <phoneticPr fontId="2"/>
  </si>
  <si>
    <r>
      <t>・中心座標 (C</t>
    </r>
    <r>
      <rPr>
        <vertAlign val="subscript"/>
        <sz val="10"/>
        <color theme="1"/>
        <rFont val="Meiryo UI"/>
        <family val="3"/>
        <charset val="128"/>
      </rPr>
      <t>X</t>
    </r>
    <r>
      <rPr>
        <sz val="10"/>
        <color theme="1"/>
        <rFont val="Meiryo UI"/>
        <family val="3"/>
        <charset val="128"/>
      </rPr>
      <t>, C</t>
    </r>
    <r>
      <rPr>
        <vertAlign val="subscript"/>
        <sz val="10"/>
        <color theme="1"/>
        <rFont val="Meiryo UI"/>
        <family val="3"/>
        <charset val="128"/>
      </rPr>
      <t>Y</t>
    </r>
    <r>
      <rPr>
        <sz val="10"/>
        <color theme="1"/>
        <rFont val="Meiryo UI"/>
        <family val="3"/>
        <charset val="128"/>
      </rPr>
      <t>) と 高さ H、周辺座標 (X, Y)  と 高さ h の間には h=max(H−|X−C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が成り立つ</t>
    </r>
    <rPh sb="24" eb="26">
      <t>ザヒョウ</t>
    </rPh>
    <rPh sb="43" eb="44">
      <t>アイダ</t>
    </rPh>
    <rPh sb="73" eb="74">
      <t>ナ</t>
    </rPh>
    <rPh sb="75" eb="76">
      <t>タ</t>
    </rPh>
    <phoneticPr fontId="2"/>
  </si>
  <si>
    <r>
      <t>・h＞0 のとき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より  H＝h＋|X−C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50" eb="51">
      <t>ナ</t>
    </rPh>
    <rPh sb="52" eb="53">
      <t>タ</t>
    </rPh>
    <phoneticPr fontId="2"/>
  </si>
  <si>
    <r>
      <t>・h＝0 のとき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|≦0  より  H≦|X−C</t>
    </r>
    <r>
      <rPr>
        <vertAlign val="subscript"/>
        <sz val="10"/>
        <color theme="1"/>
        <rFont val="Meiryo UI"/>
        <family val="3"/>
        <charset val="128"/>
      </rPr>
      <t>X</t>
    </r>
    <r>
      <rPr>
        <sz val="10"/>
        <color theme="1"/>
        <rFont val="Meiryo UI"/>
        <family val="3"/>
        <charset val="128"/>
      </rPr>
      <t>|−|Y−C</t>
    </r>
    <r>
      <rPr>
        <vertAlign val="subscript"/>
        <sz val="10"/>
        <color theme="1"/>
        <rFont val="Meiryo UI"/>
        <family val="3"/>
        <charset val="128"/>
      </rPr>
      <t>Y</t>
    </r>
    <r>
      <rPr>
        <sz val="10"/>
        <color theme="1"/>
        <rFont val="Meiryo UI"/>
        <family val="3"/>
        <charset val="128"/>
      </rPr>
      <t>| が成り立つ</t>
    </r>
    <rPh sb="49" eb="50">
      <t>ナ</t>
    </rPh>
    <rPh sb="51" eb="52">
      <t>タ</t>
    </rPh>
    <phoneticPr fontId="2"/>
  </si>
  <si>
    <t>・上記の関係を基に、中心座標、中心の高さを算出する</t>
    <rPh sb="1" eb="3">
      <t>ジョウキ</t>
    </rPh>
    <rPh sb="4" eb="6">
      <t>カンケイ</t>
    </rPh>
    <rPh sb="7" eb="8">
      <t>モト</t>
    </rPh>
    <rPh sb="10" eb="12">
      <t>チュウシン</t>
    </rPh>
    <rPh sb="12" eb="14">
      <t>ザヒョウ</t>
    </rPh>
    <rPh sb="15" eb="17">
      <t>チュウシン</t>
    </rPh>
    <rPh sb="18" eb="19">
      <t>タカ</t>
    </rPh>
    <rPh sb="21" eb="23">
      <t>サンシュツ</t>
    </rPh>
    <phoneticPr fontId="2"/>
  </si>
  <si>
    <t>ABC185_C_Duodecim Ferra</t>
    <phoneticPr fontId="2"/>
  </si>
  <si>
    <t>ABC186_C_Unlucky7</t>
    <phoneticPr fontId="2"/>
  </si>
  <si>
    <t>ABC187_C_1-SAT</t>
  </si>
  <si>
    <t>ABC188_C_Tournament</t>
  </si>
  <si>
    <t>ABC189_C_MandarinOrange</t>
  </si>
  <si>
    <t>ABC190_C_Bowls_and_Dishes</t>
    <phoneticPr fontId="2"/>
  </si>
  <si>
    <t>ABC191_C_DigitalGraffiti</t>
  </si>
  <si>
    <t>・多角形の頂点の数え方がわからなかった</t>
    <rPh sb="1" eb="4">
      <t>タカッケイ</t>
    </rPh>
    <rPh sb="5" eb="7">
      <t>チョウテン</t>
    </rPh>
    <rPh sb="8" eb="9">
      <t>カゾ</t>
    </rPh>
    <rPh sb="10" eb="11">
      <t>カタ</t>
    </rPh>
    <phoneticPr fontId="2"/>
  </si>
  <si>
    <t>ABC192_C_KaprekarNumber</t>
    <phoneticPr fontId="2"/>
  </si>
  <si>
    <t>ABC193_C_Unexpressed</t>
  </si>
  <si>
    <t>ABC194_C_SquaredError</t>
    <phoneticPr fontId="2"/>
  </si>
  <si>
    <t>ABC195_C_Comma</t>
    <phoneticPr fontId="2"/>
  </si>
  <si>
    <t>ABC197_C_ORXOR</t>
    <phoneticPr fontId="2"/>
  </si>
  <si>
    <t>・最も小さい bitXOR演算数値を算出する</t>
    <rPh sb="1" eb="2">
      <t>モット</t>
    </rPh>
    <rPh sb="3" eb="4">
      <t>チイ</t>
    </rPh>
    <rPh sb="13" eb="15">
      <t>エンザン</t>
    </rPh>
    <rPh sb="15" eb="17">
      <t>スウチ</t>
    </rPh>
    <rPh sb="18" eb="20">
      <t>サンシュツ</t>
    </rPh>
    <phoneticPr fontId="2"/>
  </si>
  <si>
    <t>ABC198_C_CompassWalking</t>
  </si>
  <si>
    <t>ABC199_C_IPFL</t>
  </si>
  <si>
    <t>ABC200_C_Ringo'sFavoriteNumbers2</t>
  </si>
  <si>
    <t>ABC103_C_ModuloSummation</t>
  </si>
  <si>
    <t>ABC102_C_LinearApproximation</t>
  </si>
  <si>
    <t>ABC104_C_AllGreen</t>
  </si>
  <si>
    <t>解答</t>
    <rPh sb="0" eb="2">
      <t>カイトウ</t>
    </rPh>
    <phoneticPr fontId="2"/>
  </si>
  <si>
    <t>・文字列の先頭要素(添え字 0) まで来たら、終了する</t>
    <rPh sb="1" eb="4">
      <t>モジレツ</t>
    </rPh>
    <rPh sb="5" eb="7">
      <t>セントウ</t>
    </rPh>
    <rPh sb="7" eb="9">
      <t>ヨウソ</t>
    </rPh>
    <rPh sb="10" eb="11">
      <t>ソ</t>
    </rPh>
    <rPh sb="12" eb="13">
      <t>ジ</t>
    </rPh>
    <rPh sb="19" eb="20">
      <t>キ</t>
    </rPh>
    <rPh sb="23" eb="25">
      <t>シュウリョウ</t>
    </rPh>
    <phoneticPr fontId="2"/>
  </si>
  <si>
    <t xml:space="preserve">  ４つの単語を検索後、文字列の先頭要素を指す添え字を更新しているので、添え字 0 まで来たら、文字列は 全て４単語の</t>
    <rPh sb="5" eb="7">
      <t>タンゴ</t>
    </rPh>
    <rPh sb="8" eb="10">
      <t>ケンサク</t>
    </rPh>
    <rPh sb="10" eb="11">
      <t>ゴ</t>
    </rPh>
    <rPh sb="12" eb="15">
      <t>モジレツ</t>
    </rPh>
    <rPh sb="16" eb="18">
      <t>セントウ</t>
    </rPh>
    <rPh sb="18" eb="20">
      <t>ヨウソ</t>
    </rPh>
    <rPh sb="21" eb="22">
      <t>サ</t>
    </rPh>
    <rPh sb="23" eb="24">
      <t>ソ</t>
    </rPh>
    <rPh sb="25" eb="26">
      <t>ジ</t>
    </rPh>
    <rPh sb="27" eb="29">
      <t>コウシン</t>
    </rPh>
    <rPh sb="36" eb="37">
      <t>ソ</t>
    </rPh>
    <rPh sb="38" eb="39">
      <t>ジ</t>
    </rPh>
    <rPh sb="44" eb="45">
      <t>キ</t>
    </rPh>
    <rPh sb="48" eb="51">
      <t>モジレツ</t>
    </rPh>
    <rPh sb="53" eb="54">
      <t>スベ</t>
    </rPh>
    <rPh sb="56" eb="58">
      <t>タンゴ</t>
    </rPh>
    <phoneticPr fontId="2"/>
  </si>
  <si>
    <t xml:space="preserve">  組合せで構成されている</t>
    <rPh sb="6" eb="8">
      <t>コウセイ</t>
    </rPh>
    <phoneticPr fontId="2"/>
  </si>
  <si>
    <t>反復
回数</t>
    <rPh sb="0" eb="2">
      <t>ハンプク</t>
    </rPh>
    <rPh sb="3" eb="5">
      <t>カイスウ</t>
    </rPh>
    <phoneticPr fontId="2"/>
  </si>
  <si>
    <t>・１回目 長さＮの数列を 長さＫの区間で覆う。２回目から１要素分は重複させなければならないため</t>
    <rPh sb="2" eb="4">
      <t>カイメ</t>
    </rPh>
    <rPh sb="5" eb="6">
      <t>ナガ</t>
    </rPh>
    <rPh sb="9" eb="11">
      <t>スウレツ</t>
    </rPh>
    <rPh sb="13" eb="14">
      <t>ナガ</t>
    </rPh>
    <rPh sb="17" eb="19">
      <t>クカン</t>
    </rPh>
    <rPh sb="20" eb="21">
      <t>オオ</t>
    </rPh>
    <rPh sb="24" eb="26">
      <t>カイメ</t>
    </rPh>
    <rPh sb="29" eb="31">
      <t>ヨウソ</t>
    </rPh>
    <rPh sb="31" eb="32">
      <t>ブン</t>
    </rPh>
    <rPh sb="33" eb="35">
      <t>チョウフク</t>
    </rPh>
    <phoneticPr fontId="2"/>
  </si>
  <si>
    <t>・あとは 切り上げの手法を使用する</t>
    <rPh sb="5" eb="6">
      <t>キ</t>
    </rPh>
    <rPh sb="7" eb="8">
      <t>ア</t>
    </rPh>
    <rPh sb="10" eb="12">
      <t>シュホウ</t>
    </rPh>
    <rPh sb="13" eb="15">
      <t>シヨウ</t>
    </rPh>
    <phoneticPr fontId="2"/>
  </si>
  <si>
    <t xml:space="preserve"> 長さ (Ｎ-Ｋ) の数列を 長さ Ｋ-１の区間で覆うとき、その個数はいくつになるか(切り上げ) ということ</t>
    <rPh sb="1" eb="2">
      <t>ナガ</t>
    </rPh>
    <rPh sb="11" eb="13">
      <t>スウレツ</t>
    </rPh>
    <rPh sb="15" eb="16">
      <t>ナガ</t>
    </rPh>
    <rPh sb="22" eb="24">
      <t>クカン</t>
    </rPh>
    <rPh sb="25" eb="26">
      <t>オオ</t>
    </rPh>
    <rPh sb="32" eb="34">
      <t>コスウ</t>
    </rPh>
    <rPh sb="43" eb="44">
      <t>キ</t>
    </rPh>
    <rPh sb="45" eb="46">
      <t>ア</t>
    </rPh>
    <phoneticPr fontId="2"/>
  </si>
  <si>
    <r>
      <t>・当初、配列を３倍していく中で、ａ</t>
    </r>
    <r>
      <rPr>
        <vertAlign val="subscript"/>
        <sz val="10"/>
        <color theme="1"/>
        <rFont val="Meiryo UI"/>
        <family val="3"/>
        <charset val="128"/>
      </rPr>
      <t>i</t>
    </r>
    <r>
      <rPr>
        <sz val="10"/>
        <color theme="1"/>
        <rFont val="Meiryo UI"/>
        <family val="3"/>
        <charset val="128"/>
      </rPr>
      <t xml:space="preserve"> の制約である １≦ａ</t>
    </r>
    <r>
      <rPr>
        <vertAlign val="subscript"/>
        <sz val="10"/>
        <color theme="1"/>
        <rFont val="Meiryo UI"/>
        <family val="3"/>
        <charset val="128"/>
      </rPr>
      <t>i</t>
    </r>
    <r>
      <rPr>
        <sz val="10"/>
        <color theme="1"/>
        <rFont val="Meiryo UI"/>
        <family val="3"/>
        <charset val="128"/>
      </rPr>
      <t>≦ 1,000,000,000の 範囲外になったら３倍操作は無効と考えてしまい</t>
    </r>
    <rPh sb="1" eb="3">
      <t>トウショ</t>
    </rPh>
    <rPh sb="4" eb="6">
      <t>ハイレツ</t>
    </rPh>
    <rPh sb="8" eb="9">
      <t>バイ</t>
    </rPh>
    <rPh sb="13" eb="14">
      <t>ナカ</t>
    </rPh>
    <rPh sb="20" eb="22">
      <t>セイヤク</t>
    </rPh>
    <rPh sb="47" eb="49">
      <t>ハンイ</t>
    </rPh>
    <rPh sb="49" eb="50">
      <t>ガイ</t>
    </rPh>
    <rPh sb="56" eb="57">
      <t>バイ</t>
    </rPh>
    <rPh sb="57" eb="59">
      <t>ソウサ</t>
    </rPh>
    <rPh sb="60" eb="62">
      <t>ムコウ</t>
    </rPh>
    <rPh sb="63" eb="64">
      <t>カンガ</t>
    </rPh>
    <phoneticPr fontId="2"/>
  </si>
  <si>
    <t xml:space="preserve">  解けないと思い、解法を確認したら、上記の制約はないことが分かった</t>
    <rPh sb="2" eb="3">
      <t>ト</t>
    </rPh>
    <rPh sb="7" eb="8">
      <t>オモ</t>
    </rPh>
    <rPh sb="10" eb="12">
      <t>カイホウ</t>
    </rPh>
    <rPh sb="13" eb="15">
      <t>カクニン</t>
    </rPh>
    <rPh sb="19" eb="21">
      <t>ジョウキ</t>
    </rPh>
    <rPh sb="22" eb="24">
      <t>セイヤク</t>
    </rPh>
    <rPh sb="30" eb="31">
      <t>ワ</t>
    </rPh>
    <phoneticPr fontId="2"/>
  </si>
  <si>
    <t>・配列の全ての要素について、１つずつ 素因数２がいくつ含まれるかを算出し、その合計が答えである</t>
    <rPh sb="1" eb="3">
      <t>ハイレツ</t>
    </rPh>
    <rPh sb="4" eb="5">
      <t>スベ</t>
    </rPh>
    <rPh sb="7" eb="9">
      <t>ヨウソ</t>
    </rPh>
    <rPh sb="19" eb="22">
      <t>ソインスウ</t>
    </rPh>
    <rPh sb="27" eb="28">
      <t>フク</t>
    </rPh>
    <rPh sb="33" eb="35">
      <t>サンシュツ</t>
    </rPh>
    <rPh sb="39" eb="41">
      <t>ゴウケイ</t>
    </rPh>
    <rPh sb="42" eb="43">
      <t>コタ</t>
    </rPh>
    <phoneticPr fontId="2"/>
  </si>
  <si>
    <t>ABC099_C_trange Bank</t>
    <phoneticPr fontId="2"/>
  </si>
  <si>
    <t>ABC101_C_Minimization</t>
    <phoneticPr fontId="2"/>
  </si>
  <si>
    <t>ABC100_C_*3_or_/2</t>
    <phoneticPr fontId="2"/>
  </si>
  <si>
    <t>・配列の全ての要素を 200で割った余りを、別の配列に格納する</t>
    <rPh sb="1" eb="3">
      <t>ハイレツ</t>
    </rPh>
    <rPh sb="4" eb="5">
      <t>スベ</t>
    </rPh>
    <rPh sb="7" eb="9">
      <t>ヨウソ</t>
    </rPh>
    <rPh sb="15" eb="16">
      <t>ワ</t>
    </rPh>
    <rPh sb="18" eb="19">
      <t>アマ</t>
    </rPh>
    <rPh sb="22" eb="23">
      <t>ベツ</t>
    </rPh>
    <rPh sb="24" eb="26">
      <t>ハイレツ</t>
    </rPh>
    <rPh sb="27" eb="29">
      <t>カクノウ</t>
    </rPh>
    <phoneticPr fontId="2"/>
  </si>
  <si>
    <t>・200で割った余りの配列の要素数＞1 のとき(・・・①)、その要素から２つとる組合せを算出する ・・・②</t>
    <rPh sb="14" eb="16">
      <t>ヨウソ</t>
    </rPh>
    <rPh sb="16" eb="17">
      <t>スウ</t>
    </rPh>
    <rPh sb="32" eb="34">
      <t>ヨウソ</t>
    </rPh>
    <rPh sb="40" eb="42">
      <t>クミアワ</t>
    </rPh>
    <rPh sb="44" eb="46">
      <t>サンシュツ</t>
    </rPh>
    <phoneticPr fontId="2"/>
  </si>
  <si>
    <t>cells(m, n).Font.Color = cells(m, n).Interior.Color</t>
    <phoneticPr fontId="2"/>
  </si>
  <si>
    <t>Findメソッドは セル結合の左上の行番号、列番号を取得する</t>
    <rPh sb="12" eb="14">
      <t>ケツゴウ</t>
    </rPh>
    <rPh sb="15" eb="16">
      <t>ヒダリ</t>
    </rPh>
    <rPh sb="16" eb="17">
      <t>ウエ</t>
    </rPh>
    <rPh sb="18" eb="21">
      <t>ギョウバンゴウ</t>
    </rPh>
    <rPh sb="22" eb="25">
      <t>レツバンゴウ</t>
    </rPh>
    <rPh sb="26" eb="28">
      <t>シュトク</t>
    </rPh>
    <phoneticPr fontId="2"/>
  </si>
  <si>
    <t>・</t>
    <phoneticPr fontId="2"/>
  </si>
  <si>
    <t>競プロ典型90問</t>
  </si>
  <si>
    <t>競プロ典型90問</t>
    <phoneticPr fontId="2"/>
  </si>
  <si>
    <t>ー</t>
  </si>
  <si>
    <t>ー</t>
    <phoneticPr fontId="2"/>
  </si>
  <si>
    <t>001 - Yokan Party（★4）</t>
    <phoneticPr fontId="2"/>
  </si>
  <si>
    <t>初回</t>
    <rPh sb="0" eb="2">
      <t>ショカイ</t>
    </rPh>
    <phoneticPr fontId="2"/>
  </si>
  <si>
    <t>２回目以降</t>
    <rPh sb="1" eb="3">
      <t>カイメ</t>
    </rPh>
    <rPh sb="3" eb="5">
      <t>イコウ</t>
    </rPh>
    <phoneticPr fontId="2"/>
  </si>
  <si>
    <t xml:space="preserve"> </t>
    <phoneticPr fontId="2"/>
  </si>
  <si>
    <t>２分探索行い、ターゲット長さ で羊羹がカットできるかを調べる</t>
    <rPh sb="1" eb="2">
      <t>ブン</t>
    </rPh>
    <rPh sb="2" eb="4">
      <t>タンサク</t>
    </rPh>
    <rPh sb="4" eb="5">
      <t>オコナ</t>
    </rPh>
    <rPh sb="12" eb="13">
      <t>ナガ</t>
    </rPh>
    <rPh sb="16" eb="18">
      <t>ヨウカン</t>
    </rPh>
    <rPh sb="27" eb="28">
      <t>シラ</t>
    </rPh>
    <phoneticPr fontId="2"/>
  </si>
  <si>
    <t>最初、２分探索で行うことが分からなかった。解答を参照</t>
    <rPh sb="0" eb="2">
      <t>サイショ</t>
    </rPh>
    <rPh sb="4" eb="5">
      <t>ブン</t>
    </rPh>
    <rPh sb="5" eb="7">
      <t>タンサク</t>
    </rPh>
    <rPh sb="8" eb="9">
      <t>オコナ</t>
    </rPh>
    <rPh sb="13" eb="14">
      <t>ワ</t>
    </rPh>
    <rPh sb="21" eb="23">
      <t>カイトウ</t>
    </rPh>
    <rPh sb="24" eb="26">
      <t>サンショウ</t>
    </rPh>
    <phoneticPr fontId="2"/>
  </si>
  <si>
    <t>羊羹をカットしたとき、前半部分の長さがターゲット長さ以上であるかと同時に、後半部分の長さもターゲット長さ以上であるかを</t>
    <rPh sb="0" eb="2">
      <t>ヨウカン</t>
    </rPh>
    <rPh sb="11" eb="13">
      <t>ゼンハン</t>
    </rPh>
    <rPh sb="13" eb="15">
      <t>ブブン</t>
    </rPh>
    <rPh sb="16" eb="17">
      <t>ナガ</t>
    </rPh>
    <rPh sb="24" eb="25">
      <t>ナガ</t>
    </rPh>
    <rPh sb="26" eb="28">
      <t>イジョウ</t>
    </rPh>
    <rPh sb="33" eb="35">
      <t>ドウジ</t>
    </rPh>
    <rPh sb="37" eb="39">
      <t>コウハン</t>
    </rPh>
    <rPh sb="39" eb="41">
      <t>ブブン</t>
    </rPh>
    <rPh sb="42" eb="43">
      <t>ナガ</t>
    </rPh>
    <rPh sb="50" eb="51">
      <t>ナガ</t>
    </rPh>
    <rPh sb="52" eb="54">
      <t>イジョウ</t>
    </rPh>
    <phoneticPr fontId="2"/>
  </si>
  <si>
    <t>判定しなければならない</t>
    <rPh sb="0" eb="2">
      <t>ハンテイ</t>
    </rPh>
    <phoneticPr fontId="2"/>
  </si>
  <si>
    <t>後半部分の長さがターゲット長さ以上かを判定しなかった</t>
    <rPh sb="0" eb="2">
      <t>コウハン</t>
    </rPh>
    <rPh sb="2" eb="4">
      <t>ブブン</t>
    </rPh>
    <rPh sb="5" eb="6">
      <t>ナガ</t>
    </rPh>
    <rPh sb="13" eb="14">
      <t>ナガ</t>
    </rPh>
    <rPh sb="15" eb="17">
      <t>イジョウ</t>
    </rPh>
    <rPh sb="19" eb="21">
      <t>ハンテイ</t>
    </rPh>
    <phoneticPr fontId="2"/>
  </si>
  <si>
    <t>002 - Encyclopedia of Parentheses（★3）</t>
    <phoneticPr fontId="2"/>
  </si>
  <si>
    <t>003 - Longest Circular Road（★4）</t>
    <phoneticPr fontId="2"/>
  </si>
  <si>
    <t>bit全探索で、bit0 を "("、bit1 を ")" として、１つの bit列の検証中では bit0出現回数≧bit1出現回数 であること</t>
    <rPh sb="3" eb="4">
      <t>ゼン</t>
    </rPh>
    <rPh sb="4" eb="6">
      <t>タンサク</t>
    </rPh>
    <rPh sb="41" eb="42">
      <t>レツ</t>
    </rPh>
    <rPh sb="43" eb="45">
      <t>ケンショウ</t>
    </rPh>
    <rPh sb="45" eb="46">
      <t>ナカ</t>
    </rPh>
    <phoneticPr fontId="2"/>
  </si>
  <si>
    <t>検証終了後では bit0出現回数＝bit1出現回数 であること。左記を満たしていれば、ペアのカッコが出力される</t>
    <rPh sb="0" eb="2">
      <t>ケンショウ</t>
    </rPh>
    <rPh sb="2" eb="4">
      <t>シュウリョウ</t>
    </rPh>
    <rPh sb="4" eb="5">
      <t>ゴ</t>
    </rPh>
    <rPh sb="32" eb="34">
      <t>サキ</t>
    </rPh>
    <phoneticPr fontId="2"/>
  </si>
  <si>
    <t>DFS を２回実施する</t>
    <rPh sb="6" eb="7">
      <t>カイ</t>
    </rPh>
    <rPh sb="7" eb="9">
      <t>ジッシ</t>
    </rPh>
    <phoneticPr fontId="2"/>
  </si>
  <si>
    <t>求める答えは ①＋1 となる</t>
    <rPh sb="0" eb="1">
      <t>モト</t>
    </rPh>
    <rPh sb="3" eb="4">
      <t>コタ</t>
    </rPh>
    <phoneticPr fontId="2"/>
  </si>
  <si>
    <t>２回目の DFS は 上記で取得した Node を Start とし、最大距離・・・① を取得する</t>
    <rPh sb="1" eb="3">
      <t>カイメ</t>
    </rPh>
    <rPh sb="11" eb="13">
      <t>ジョウキ</t>
    </rPh>
    <rPh sb="14" eb="16">
      <t>シュトク</t>
    </rPh>
    <rPh sb="35" eb="37">
      <t>サイダイ</t>
    </rPh>
    <rPh sb="37" eb="39">
      <t>キョリ</t>
    </rPh>
    <rPh sb="45" eb="47">
      <t>シュトク</t>
    </rPh>
    <phoneticPr fontId="2"/>
  </si>
  <si>
    <t>１回目の DSF は Node 0 を Start とし、距離が最大の Node を取得する</t>
    <rPh sb="1" eb="3">
      <t>カイメ</t>
    </rPh>
    <rPh sb="29" eb="31">
      <t>キョリ</t>
    </rPh>
    <rPh sb="32" eb="34">
      <t>サイダイ</t>
    </rPh>
    <rPh sb="42" eb="44">
      <t>シュトク</t>
    </rPh>
    <phoneticPr fontId="2"/>
  </si>
  <si>
    <t>ある Node を Start として、任意の Node は一意の行き方しか存在しない</t>
    <rPh sb="20" eb="22">
      <t>ニンイ</t>
    </rPh>
    <rPh sb="30" eb="32">
      <t>イチイ</t>
    </rPh>
    <rPh sb="33" eb="34">
      <t>イ</t>
    </rPh>
    <rPh sb="35" eb="36">
      <t>カタ</t>
    </rPh>
    <rPh sb="38" eb="40">
      <t>ソンザイ</t>
    </rPh>
    <phoneticPr fontId="2"/>
  </si>
  <si>
    <t>また、ソース上、Node A → Node B の定義と、その逆の Node B → Node A の定義がされているので</t>
    <rPh sb="6" eb="7">
      <t>ジョウ</t>
    </rPh>
    <rPh sb="25" eb="27">
      <t>テイギ</t>
    </rPh>
    <rPh sb="31" eb="32">
      <t>ギャク</t>
    </rPh>
    <rPh sb="51" eb="53">
      <t>テイギ</t>
    </rPh>
    <phoneticPr fontId="2"/>
  </si>
  <si>
    <t>DFS において、距離が確定した Node は、異なる距離で上書きしてはならない</t>
    <rPh sb="9" eb="11">
      <t>キョリ</t>
    </rPh>
    <rPh sb="12" eb="14">
      <t>カクテイ</t>
    </rPh>
    <rPh sb="24" eb="25">
      <t>コト</t>
    </rPh>
    <rPh sb="27" eb="29">
      <t>キョリ</t>
    </rPh>
    <rPh sb="30" eb="32">
      <t>ウワガ</t>
    </rPh>
    <phoneticPr fontId="2"/>
  </si>
  <si>
    <t>(∵)</t>
    <phoneticPr fontId="2"/>
  </si>
  <si>
    <t>Node A → Node B により、Node B の距離が Node A の距離＋１で確定したのち、Node B → Node A により</t>
    <rPh sb="28" eb="30">
      <t>キョリ</t>
    </rPh>
    <rPh sb="40" eb="42">
      <t>キョリ</t>
    </rPh>
    <rPh sb="45" eb="47">
      <t>カクテイ</t>
    </rPh>
    <phoneticPr fontId="2"/>
  </si>
  <si>
    <t>再度、Node A の距離を変更してしまうため</t>
    <rPh sb="0" eb="2">
      <t>サイド</t>
    </rPh>
    <rPh sb="11" eb="13">
      <t>キョリ</t>
    </rPh>
    <rPh sb="14" eb="16">
      <t>ヘンコウ</t>
    </rPh>
    <phoneticPr fontId="2"/>
  </si>
  <si>
    <t>004 - Cross Sum（★2）</t>
    <phoneticPr fontId="2"/>
  </si>
  <si>
    <t>桁dp、ダブリング(倍化) 処理</t>
    <rPh sb="0" eb="1">
      <t>ケタ</t>
    </rPh>
    <rPh sb="10" eb="12">
      <t>バイカ</t>
    </rPh>
    <rPh sb="14" eb="16">
      <t>ショリ</t>
    </rPh>
    <phoneticPr fontId="2"/>
  </si>
  <si>
    <t>桁dp 用の dp を dp[i][r]（i : 与えられた K 種類の数字のみを用いた i 桁の整数、r : Bで割った余り）を考え</t>
    <rPh sb="0" eb="1">
      <t>ケタ</t>
    </rPh>
    <rPh sb="4" eb="5">
      <t>ヨウ</t>
    </rPh>
    <rPh sb="25" eb="26">
      <t>アタ</t>
    </rPh>
    <rPh sb="61" eb="62">
      <t>アマ</t>
    </rPh>
    <rPh sb="65" eb="66">
      <t>カンガ</t>
    </rPh>
    <phoneticPr fontId="2"/>
  </si>
  <si>
    <r>
      <t>ダブリング用の dpDbl を dpDbl[i][r]（i : 2</t>
    </r>
    <r>
      <rPr>
        <b/>
        <vertAlign val="superscript"/>
        <sz val="10"/>
        <color theme="1"/>
        <rFont val="Meiryo UI"/>
        <family val="3"/>
        <charset val="128"/>
      </rPr>
      <t>i</t>
    </r>
    <r>
      <rPr>
        <sz val="10"/>
        <color theme="1"/>
        <rFont val="Meiryo UI"/>
        <family val="3"/>
        <charset val="128"/>
      </rPr>
      <t xml:space="preserve"> 桁を表す整数、r : 上記と同様）と定義する</t>
    </r>
    <rPh sb="5" eb="6">
      <t>ヨウ</t>
    </rPh>
    <rPh sb="35" eb="36">
      <t>ケタ</t>
    </rPh>
    <rPh sb="37" eb="38">
      <t>アラワ</t>
    </rPh>
    <rPh sb="39" eb="41">
      <t>セイスウ</t>
    </rPh>
    <rPh sb="46" eb="48">
      <t>ジョウキ</t>
    </rPh>
    <rPh sb="49" eb="51">
      <t>ドウヨウ</t>
    </rPh>
    <rPh sb="53" eb="55">
      <t>テイギ</t>
    </rPh>
    <phoneticPr fontId="2"/>
  </si>
  <si>
    <t>よって、dp[1] は dpDbl[0] に相当する</t>
    <rPh sb="22" eb="24">
      <t>ソウトウ</t>
    </rPh>
    <phoneticPr fontId="2"/>
  </si>
  <si>
    <t>…</t>
    <phoneticPr fontId="2"/>
  </si>
  <si>
    <t xml:space="preserve">dpDbl[0] </t>
    <phoneticPr fontId="2"/>
  </si>
  <si>
    <t xml:space="preserve">dpDbl[1] </t>
    <phoneticPr fontId="2"/>
  </si>
  <si>
    <t>dpDbl[2]</t>
    <phoneticPr fontId="2"/>
  </si>
  <si>
    <r>
      <t>2</t>
    </r>
    <r>
      <rPr>
        <vertAlign val="superscript"/>
        <sz val="10"/>
        <color theme="1"/>
        <rFont val="Meiryo UI"/>
        <family val="3"/>
        <charset val="128"/>
      </rPr>
      <t>0</t>
    </r>
    <r>
      <rPr>
        <sz val="10"/>
        <color theme="1"/>
        <rFont val="Meiryo UI"/>
        <family val="3"/>
        <charset val="128"/>
      </rPr>
      <t xml:space="preserve"> 桁</t>
    </r>
    <phoneticPr fontId="2"/>
  </si>
  <si>
    <t>1桁</t>
  </si>
  <si>
    <r>
      <t>2</t>
    </r>
    <r>
      <rPr>
        <vertAlign val="superscript"/>
        <sz val="10"/>
        <color theme="1"/>
        <rFont val="Meiryo UI"/>
        <family val="3"/>
        <charset val="128"/>
      </rPr>
      <t>1</t>
    </r>
    <r>
      <rPr>
        <sz val="10"/>
        <color theme="1"/>
        <rFont val="Meiryo UI"/>
        <family val="3"/>
        <charset val="128"/>
      </rPr>
      <t xml:space="preserve"> 桁</t>
    </r>
    <phoneticPr fontId="2"/>
  </si>
  <si>
    <t>2桁</t>
  </si>
  <si>
    <r>
      <t>2</t>
    </r>
    <r>
      <rPr>
        <vertAlign val="superscript"/>
        <sz val="10"/>
        <color theme="1"/>
        <rFont val="Meiryo UI"/>
        <family val="3"/>
        <charset val="128"/>
      </rPr>
      <t>2</t>
    </r>
    <r>
      <rPr>
        <sz val="10"/>
        <color theme="1"/>
        <rFont val="Meiryo UI"/>
        <family val="3"/>
        <charset val="128"/>
      </rPr>
      <t xml:space="preserve"> 桁</t>
    </r>
    <phoneticPr fontId="2"/>
  </si>
  <si>
    <t>4桁</t>
  </si>
  <si>
    <t>dpDbl[n]</t>
    <phoneticPr fontId="2"/>
  </si>
  <si>
    <r>
      <t>2</t>
    </r>
    <r>
      <rPr>
        <vertAlign val="superscript"/>
        <sz val="10"/>
        <color theme="1"/>
        <rFont val="Meiryo UI"/>
        <family val="3"/>
        <charset val="128"/>
      </rPr>
      <t>n</t>
    </r>
    <r>
      <rPr>
        <sz val="10"/>
        <color theme="1"/>
        <rFont val="Meiryo UI"/>
        <family val="3"/>
        <charset val="128"/>
      </rPr>
      <t xml:space="preserve"> 桁</t>
    </r>
    <phoneticPr fontId="2"/>
  </si>
  <si>
    <t>ten[0]</t>
    <phoneticPr fontId="2"/>
  </si>
  <si>
    <t>ten[1]</t>
    <phoneticPr fontId="2"/>
  </si>
  <si>
    <t>ten[2]</t>
    <phoneticPr fontId="2"/>
  </si>
  <si>
    <t>ten[n]</t>
    <phoneticPr fontId="2"/>
  </si>
  <si>
    <r>
      <t>10</t>
    </r>
    <r>
      <rPr>
        <vertAlign val="superscript"/>
        <sz val="10"/>
        <color theme="1"/>
        <rFont val="Meiryo UI"/>
        <family val="3"/>
        <charset val="128"/>
      </rPr>
      <t>2^n</t>
    </r>
    <r>
      <rPr>
        <sz val="10"/>
        <color theme="1"/>
        <rFont val="Meiryo UI"/>
        <family val="3"/>
        <charset val="128"/>
      </rPr>
      <t xml:space="preserve"> の余り</t>
    </r>
    <phoneticPr fontId="2"/>
  </si>
  <si>
    <r>
      <t>10</t>
    </r>
    <r>
      <rPr>
        <vertAlign val="superscript"/>
        <sz val="10"/>
        <color theme="1"/>
        <rFont val="Meiryo UI"/>
        <family val="3"/>
        <charset val="128"/>
      </rPr>
      <t>2^0</t>
    </r>
    <r>
      <rPr>
        <sz val="10"/>
        <color theme="1"/>
        <rFont val="Meiryo UI"/>
        <family val="3"/>
        <charset val="128"/>
      </rPr>
      <t>＝10</t>
    </r>
    <r>
      <rPr>
        <vertAlign val="superscript"/>
        <sz val="10"/>
        <color theme="1"/>
        <rFont val="Meiryo UI"/>
        <family val="3"/>
        <charset val="128"/>
      </rPr>
      <t>1</t>
    </r>
    <r>
      <rPr>
        <sz val="10"/>
        <color theme="1"/>
        <rFont val="Meiryo UI"/>
        <family val="3"/>
        <charset val="128"/>
      </rPr>
      <t xml:space="preserve"> の余り</t>
    </r>
    <phoneticPr fontId="2"/>
  </si>
  <si>
    <r>
      <t>10</t>
    </r>
    <r>
      <rPr>
        <vertAlign val="superscript"/>
        <sz val="10"/>
        <color theme="1"/>
        <rFont val="Meiryo UI"/>
        <family val="3"/>
        <charset val="128"/>
      </rPr>
      <t>2^1</t>
    </r>
    <r>
      <rPr>
        <sz val="10"/>
        <color theme="1"/>
        <rFont val="Meiryo UI"/>
        <family val="3"/>
        <charset val="128"/>
      </rPr>
      <t>=10</t>
    </r>
    <r>
      <rPr>
        <vertAlign val="superscript"/>
        <sz val="10"/>
        <color theme="1"/>
        <rFont val="Meiryo UI"/>
        <family val="3"/>
        <charset val="128"/>
      </rPr>
      <t>2</t>
    </r>
    <r>
      <rPr>
        <sz val="10"/>
        <color theme="1"/>
        <rFont val="Meiryo UI"/>
        <family val="3"/>
        <charset val="128"/>
      </rPr>
      <t xml:space="preserve"> の余り</t>
    </r>
    <phoneticPr fontId="2"/>
  </si>
  <si>
    <r>
      <t>10</t>
    </r>
    <r>
      <rPr>
        <vertAlign val="superscript"/>
        <sz val="10"/>
        <color theme="1"/>
        <rFont val="Meiryo UI"/>
        <family val="3"/>
        <charset val="128"/>
      </rPr>
      <t>2^2</t>
    </r>
    <r>
      <rPr>
        <sz val="10"/>
        <color theme="1"/>
        <rFont val="Meiryo UI"/>
        <family val="3"/>
        <charset val="128"/>
      </rPr>
      <t>＝10</t>
    </r>
    <r>
      <rPr>
        <vertAlign val="superscript"/>
        <sz val="10"/>
        <color theme="1"/>
        <rFont val="Meiryo UI"/>
        <family val="3"/>
        <charset val="128"/>
      </rPr>
      <t>4</t>
    </r>
    <r>
      <rPr>
        <sz val="10"/>
        <color theme="1"/>
        <rFont val="Meiryo UI"/>
        <family val="3"/>
        <charset val="128"/>
      </rPr>
      <t xml:space="preserve"> の余り</t>
    </r>
    <phoneticPr fontId="2"/>
  </si>
  <si>
    <t>ダブリング処理で dpDbl[0]、dpDbl[0]、ten[0] で dpDbl[1] を設定できる</t>
    <rPh sb="5" eb="7">
      <t>ショリ</t>
    </rPh>
    <rPh sb="46" eb="48">
      <t>セッテイ</t>
    </rPh>
    <phoneticPr fontId="2"/>
  </si>
  <si>
    <t xml:space="preserve">                    dpDbl[1]、dpDbl[1]、ten[1] で dpDbl[2] を設定できる</t>
    <rPh sb="57" eb="59">
      <t>セッテイ</t>
    </rPh>
    <phoneticPr fontId="2"/>
  </si>
  <si>
    <t xml:space="preserve">                    dpDbl[2]、dpDbl[2]、ten[2] で dpDbl[3] を設定できる</t>
    <rPh sb="57" eb="59">
      <t>セッテイ</t>
    </rPh>
    <phoneticPr fontId="2"/>
  </si>
  <si>
    <t>dpDbl[3]</t>
    <phoneticPr fontId="2"/>
  </si>
  <si>
    <r>
      <t>2</t>
    </r>
    <r>
      <rPr>
        <vertAlign val="superscript"/>
        <sz val="10"/>
        <color theme="1"/>
        <rFont val="Meiryo UI"/>
        <family val="3"/>
        <charset val="128"/>
      </rPr>
      <t>3</t>
    </r>
    <r>
      <rPr>
        <sz val="10"/>
        <color theme="1"/>
        <rFont val="Meiryo UI"/>
        <family val="3"/>
        <charset val="128"/>
      </rPr>
      <t xml:space="preserve"> 桁</t>
    </r>
    <phoneticPr fontId="2"/>
  </si>
  <si>
    <t>8桁</t>
    <phoneticPr fontId="2"/>
  </si>
  <si>
    <t>ten[3]</t>
    <phoneticPr fontId="2"/>
  </si>
  <si>
    <r>
      <t>10</t>
    </r>
    <r>
      <rPr>
        <vertAlign val="superscript"/>
        <sz val="10"/>
        <color theme="1"/>
        <rFont val="Meiryo UI"/>
        <family val="3"/>
        <charset val="128"/>
      </rPr>
      <t>2^3</t>
    </r>
    <r>
      <rPr>
        <sz val="10"/>
        <color theme="1"/>
        <rFont val="Meiryo UI"/>
        <family val="3"/>
        <charset val="128"/>
      </rPr>
      <t>＝10</t>
    </r>
    <r>
      <rPr>
        <vertAlign val="superscript"/>
        <sz val="10"/>
        <color theme="1"/>
        <rFont val="Meiryo UI"/>
        <family val="3"/>
        <charset val="128"/>
      </rPr>
      <t>8</t>
    </r>
    <r>
      <rPr>
        <sz val="10"/>
        <color theme="1"/>
        <rFont val="Meiryo UI"/>
        <family val="3"/>
        <charset val="128"/>
      </rPr>
      <t xml:space="preserve"> の余り</t>
    </r>
    <phoneticPr fontId="2"/>
  </si>
  <si>
    <t xml:space="preserve">                    dpDbl[n-1]、dpDbl[n-1]、ten[n-1] で dpDbl[n] を設定できる</t>
    <rPh sb="63" eb="65">
      <t>セッテイ</t>
    </rPh>
    <phoneticPr fontId="2"/>
  </si>
  <si>
    <t>(lnk)</t>
  </si>
  <si>
    <t>競プロ典型 90 問 005 - Restricted Digits（★7）</t>
  </si>
  <si>
    <t>ダブリングした結果を元に、N を２のべき乗であらわしたとき、bit1 が立つすべての位の dpDbl 同士をダブリングして</t>
    <rPh sb="7" eb="9">
      <t>ケッカ</t>
    </rPh>
    <rPh sb="10" eb="11">
      <t>モト</t>
    </rPh>
    <rPh sb="20" eb="21">
      <t>ジョウ</t>
    </rPh>
    <rPh sb="36" eb="37">
      <t>タ</t>
    </rPh>
    <rPh sb="42" eb="43">
      <t>クライ</t>
    </rPh>
    <rPh sb="51" eb="53">
      <t>ドウシ</t>
    </rPh>
    <phoneticPr fontId="2"/>
  </si>
  <si>
    <t>N桁の数字の中で、Bで割って 余り０の個数を求める</t>
    <rPh sb="1" eb="2">
      <t>ケタ</t>
    </rPh>
    <rPh sb="3" eb="5">
      <t>スウジ</t>
    </rPh>
    <rPh sb="6" eb="7">
      <t>ナカ</t>
    </rPh>
    <rPh sb="11" eb="12">
      <t>ワ</t>
    </rPh>
    <rPh sb="15" eb="16">
      <t>アマ</t>
    </rPh>
    <rPh sb="19" eb="21">
      <t>コスウ</t>
    </rPh>
    <rPh sb="22" eb="23">
      <t>モト</t>
    </rPh>
    <phoneticPr fontId="2"/>
  </si>
  <si>
    <t>ロジックの ｢ダブリングした結果をもとに答えを求める｣ において、vRes[0] = 1; として</t>
    <phoneticPr fontId="2"/>
  </si>
  <si>
    <t>vRes = calcDoubling( vRes, vvdpDbl[each], vTen[each] ); を実施すると、vvdpDbl[each] の内容が そのまま</t>
    <rPh sb="57" eb="59">
      <t>ジッシ</t>
    </rPh>
    <rPh sb="78" eb="80">
      <t>ナイヨウ</t>
    </rPh>
    <phoneticPr fontId="2"/>
  </si>
  <si>
    <t>vRes に返るように calcDoubling で計算されている</t>
    <rPh sb="6" eb="7">
      <t>カエ</t>
    </rPh>
    <rPh sb="26" eb="28">
      <t>ケイサン</t>
    </rPh>
    <phoneticPr fontId="2"/>
  </si>
  <si>
    <t>・文字の交換、および文字列の交換は swap 命令で行う</t>
    <rPh sb="1" eb="3">
      <t>モジ</t>
    </rPh>
    <rPh sb="4" eb="6">
      <t>コウカン</t>
    </rPh>
    <rPh sb="10" eb="13">
      <t>モジレツ</t>
    </rPh>
    <rPh sb="14" eb="16">
      <t>コウカン</t>
    </rPh>
    <rPh sb="23" eb="25">
      <t>メイレイ</t>
    </rPh>
    <rPh sb="26" eb="27">
      <t>オコナ</t>
    </rPh>
    <phoneticPr fontId="2"/>
  </si>
  <si>
    <t>・次に、１歩の距離×① と ゴールまでの距離が等しくなかったら、ゴールに到達するのに、さらに１歩分必要であるため</t>
    <rPh sb="1" eb="2">
      <t>ツギ</t>
    </rPh>
    <rPh sb="5" eb="6">
      <t>ホ</t>
    </rPh>
    <rPh sb="7" eb="9">
      <t>キョリ</t>
    </rPh>
    <rPh sb="20" eb="22">
      <t>キョリ</t>
    </rPh>
    <rPh sb="23" eb="24">
      <t>ヒト</t>
    </rPh>
    <rPh sb="36" eb="38">
      <t>トウタツ</t>
    </rPh>
    <rPh sb="47" eb="48">
      <t>ホ</t>
    </rPh>
    <rPh sb="48" eb="49">
      <t>ブン</t>
    </rPh>
    <rPh sb="49" eb="51">
      <t>ヒツヨウ</t>
    </rPh>
    <phoneticPr fontId="2"/>
  </si>
  <si>
    <t xml:space="preserve">  ①をインクリメントする</t>
    <phoneticPr fontId="2"/>
  </si>
  <si>
    <t>・原点からゴールまでの距離を１歩分の距離で割って、いくつ (…①) あるか確定する</t>
    <rPh sb="1" eb="3">
      <t>ゲンテン</t>
    </rPh>
    <rPh sb="11" eb="13">
      <t>キョリ</t>
    </rPh>
    <rPh sb="15" eb="16">
      <t>ホ</t>
    </rPh>
    <rPh sb="16" eb="17">
      <t>ブン</t>
    </rPh>
    <rPh sb="18" eb="20">
      <t>キョリ</t>
    </rPh>
    <rPh sb="21" eb="22">
      <t>ワ</t>
    </rPh>
    <rPh sb="37" eb="39">
      <t>カクテイ</t>
    </rPh>
    <phoneticPr fontId="2"/>
  </si>
  <si>
    <t xml:space="preserve">  このとき ①の最小は１とする ( (∵) ゴールの座標 (X, Y)≠(0, 0) より、①が０では無いため )</t>
    <rPh sb="52" eb="53">
      <t>ナ</t>
    </rPh>
    <phoneticPr fontId="2"/>
  </si>
  <si>
    <t>・区切りを入れる Ｎ-1 の配列を定義 (数列の長さが N のため、その間の 区切り を入れる配列は N-1 となる)</t>
    <rPh sb="1" eb="3">
      <t>クギ</t>
    </rPh>
    <rPh sb="5" eb="6">
      <t>イ</t>
    </rPh>
    <rPh sb="14" eb="16">
      <t>ハイレツ</t>
    </rPh>
    <rPh sb="17" eb="19">
      <t>テイギ</t>
    </rPh>
    <rPh sb="21" eb="23">
      <t>スウレツ</t>
    </rPh>
    <rPh sb="24" eb="25">
      <t>ナガ</t>
    </rPh>
    <rPh sb="36" eb="37">
      <t>アイダ</t>
    </rPh>
    <rPh sb="39" eb="41">
      <t>クギ</t>
    </rPh>
    <rPh sb="44" eb="45">
      <t>イ</t>
    </rPh>
    <rPh sb="47" eb="49">
      <t>ハイレツ</t>
    </rPh>
    <phoneticPr fontId="2"/>
  </si>
  <si>
    <t>・区切り配列の bit全探索を行う。区切りなしの要素間で bitOR をとり、１つの値 (要素間OR値) を算出する</t>
    <rPh sb="1" eb="3">
      <t>クギ</t>
    </rPh>
    <rPh sb="4" eb="6">
      <t>ハイレツ</t>
    </rPh>
    <rPh sb="11" eb="12">
      <t>ゼン</t>
    </rPh>
    <rPh sb="12" eb="14">
      <t>タンサク</t>
    </rPh>
    <rPh sb="15" eb="16">
      <t>オコナ</t>
    </rPh>
    <rPh sb="18" eb="20">
      <t>クギ</t>
    </rPh>
    <rPh sb="24" eb="26">
      <t>ヨウソ</t>
    </rPh>
    <rPh sb="26" eb="27">
      <t>カン</t>
    </rPh>
    <rPh sb="42" eb="43">
      <t>アタイ</t>
    </rPh>
    <rPh sb="45" eb="47">
      <t>ヨウソ</t>
    </rPh>
    <rPh sb="47" eb="48">
      <t>カン</t>
    </rPh>
    <rPh sb="50" eb="51">
      <t>チ</t>
    </rPh>
    <rPh sb="54" eb="56">
      <t>サンシュツ</t>
    </rPh>
    <phoneticPr fontId="2"/>
  </si>
  <si>
    <t xml:space="preserve">  区切りありがある箇所で両隣りの 要素間OR値 で bitXOR をとり、全体で１つの値を算出する</t>
    <rPh sb="13" eb="14">
      <t>リョウ</t>
    </rPh>
    <rPh sb="14" eb="15">
      <t>ドナ</t>
    </rPh>
    <rPh sb="18" eb="20">
      <t>ヨウソ</t>
    </rPh>
    <rPh sb="20" eb="21">
      <t>カン</t>
    </rPh>
    <rPh sb="23" eb="24">
      <t>チ</t>
    </rPh>
    <rPh sb="38" eb="40">
      <t>ゼンタイ</t>
    </rPh>
    <rPh sb="44" eb="45">
      <t>アタイ</t>
    </rPh>
    <rPh sb="46" eb="48">
      <t>サンシュツ</t>
    </rPh>
    <phoneticPr fontId="2"/>
  </si>
  <si>
    <t>・数列区切り先頭index配列 を定義 (サイズ＝数列サイズ＋１)(最終要素には数列サイズを設定)</t>
    <rPh sb="1" eb="3">
      <t>スウレツ</t>
    </rPh>
    <rPh sb="3" eb="5">
      <t>クギ</t>
    </rPh>
    <rPh sb="6" eb="8">
      <t>セントウ</t>
    </rPh>
    <rPh sb="13" eb="15">
      <t>ハイレツ</t>
    </rPh>
    <rPh sb="17" eb="19">
      <t>テイギ</t>
    </rPh>
    <rPh sb="25" eb="27">
      <t>スウレツ</t>
    </rPh>
    <rPh sb="34" eb="36">
      <t>サイシュウ</t>
    </rPh>
    <rPh sb="36" eb="38">
      <t>ヨウソ</t>
    </rPh>
    <rPh sb="40" eb="42">
      <t>スウレツ</t>
    </rPh>
    <rPh sb="46" eb="48">
      <t>セッテイ</t>
    </rPh>
    <phoneticPr fontId="2"/>
  </si>
  <si>
    <t>・各要素間OR値 で bitXOR をとり、全体で１つの値を算出する</t>
    <rPh sb="1" eb="2">
      <t>カク</t>
    </rPh>
    <rPh sb="2" eb="4">
      <t>ヨウソ</t>
    </rPh>
    <rPh sb="4" eb="5">
      <t>カン</t>
    </rPh>
    <rPh sb="7" eb="8">
      <t>チ</t>
    </rPh>
    <rPh sb="22" eb="24">
      <t>ゼンタイ</t>
    </rPh>
    <rPh sb="28" eb="29">
      <t>アタイ</t>
    </rPh>
    <rPh sb="30" eb="32">
      <t>サンシュツ</t>
    </rPh>
    <phoneticPr fontId="2"/>
  </si>
  <si>
    <t>●自分は別解で Depth First Searchで解いた (ABC197_C_ORXOR_1.cpp)</t>
    <rPh sb="1" eb="3">
      <t>ジブン</t>
    </rPh>
    <rPh sb="4" eb="6">
      <t>ベッカイ</t>
    </rPh>
    <rPh sb="27" eb="28">
      <t>ト</t>
    </rPh>
    <phoneticPr fontId="2"/>
  </si>
  <si>
    <t>・数列区切り先頭index配列の各要素が示す 先頭index から 次要素の先頭index より小さい間を bitOR し、要素間OR値を算出する</t>
    <rPh sb="1" eb="3">
      <t>スウレツ</t>
    </rPh>
    <rPh sb="3" eb="5">
      <t>クギ</t>
    </rPh>
    <rPh sb="6" eb="8">
      <t>セントウ</t>
    </rPh>
    <rPh sb="13" eb="15">
      <t>ハイレツ</t>
    </rPh>
    <rPh sb="16" eb="17">
      <t>カク</t>
    </rPh>
    <rPh sb="17" eb="19">
      <t>ヨウソ</t>
    </rPh>
    <rPh sb="20" eb="21">
      <t>シメ</t>
    </rPh>
    <rPh sb="23" eb="25">
      <t>セントウ</t>
    </rPh>
    <rPh sb="34" eb="35">
      <t>ジ</t>
    </rPh>
    <rPh sb="35" eb="37">
      <t>ヨウソ</t>
    </rPh>
    <rPh sb="38" eb="40">
      <t>セントウ</t>
    </rPh>
    <rPh sb="48" eb="49">
      <t>チイ</t>
    </rPh>
    <rPh sb="51" eb="52">
      <t>アイダ</t>
    </rPh>
    <rPh sb="62" eb="64">
      <t>ヨウソ</t>
    </rPh>
    <rPh sb="64" eb="65">
      <t>カン</t>
    </rPh>
    <rPh sb="67" eb="68">
      <t>チ</t>
    </rPh>
    <rPh sb="69" eb="71">
      <t>サンシュツ</t>
    </rPh>
    <phoneticPr fontId="2"/>
  </si>
  <si>
    <r>
      <t xml:space="preserve">   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2</t>
    </r>
    <r>
      <rPr>
        <sz val="10"/>
        <color theme="1"/>
        <rFont val="Meiryo UI"/>
        <family val="3"/>
        <charset val="128"/>
      </rPr>
      <t>)×a</t>
    </r>
    <r>
      <rPr>
        <vertAlign val="subscript"/>
        <sz val="10"/>
        <color theme="1"/>
        <rFont val="Meiryo UI"/>
        <family val="3"/>
        <charset val="128"/>
      </rPr>
      <t>1</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3</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2</t>
    </r>
    <r>
      <rPr>
        <sz val="10"/>
        <color theme="1"/>
        <rFont val="Meiryo UI"/>
        <family val="3"/>
        <charset val="128"/>
      </rPr>
      <t>、・・・、ー(a</t>
    </r>
    <r>
      <rPr>
        <vertAlign val="subscript"/>
        <sz val="10"/>
        <color theme="1"/>
        <rFont val="Meiryo UI"/>
        <family val="3"/>
        <charset val="128"/>
      </rPr>
      <t>N</t>
    </r>
    <r>
      <rPr>
        <sz val="10"/>
        <color theme="1"/>
        <rFont val="Meiryo UI"/>
        <family val="3"/>
        <charset val="128"/>
      </rPr>
      <t>+a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k-1</t>
    </r>
    <r>
      <rPr>
        <sz val="10"/>
        <color theme="1"/>
        <rFont val="Meiryo UI"/>
        <family val="3"/>
        <charset val="128"/>
      </rPr>
      <t>+・・・+a</t>
    </r>
    <r>
      <rPr>
        <vertAlign val="subscript"/>
        <sz val="10"/>
        <color theme="1"/>
        <rFont val="Meiryo UI"/>
        <family val="3"/>
        <charset val="128"/>
      </rPr>
      <t>1</t>
    </r>
    <r>
      <rPr>
        <sz val="10"/>
        <color theme="1"/>
        <rFont val="Meiryo UI"/>
        <family val="3"/>
        <charset val="128"/>
      </rPr>
      <t>)×a</t>
    </r>
    <r>
      <rPr>
        <vertAlign val="subscript"/>
        <sz val="10"/>
        <color theme="1"/>
        <rFont val="Meiryo UI"/>
        <family val="3"/>
        <charset val="128"/>
      </rPr>
      <t>k</t>
    </r>
    <r>
      <rPr>
        <sz val="10"/>
        <color theme="1"/>
        <rFont val="Meiryo UI"/>
        <family val="3"/>
        <charset val="128"/>
      </rPr>
      <t>、・・・</t>
    </r>
    <phoneticPr fontId="2"/>
  </si>
  <si>
    <r>
      <t xml:space="preserve">   ー(a</t>
    </r>
    <r>
      <rPr>
        <vertAlign val="subscript"/>
        <sz val="10"/>
        <color theme="1"/>
        <rFont val="Meiryo UI"/>
        <family val="3"/>
        <charset val="128"/>
      </rPr>
      <t>N-1</t>
    </r>
    <r>
      <rPr>
        <sz val="10"/>
        <color theme="1"/>
        <rFont val="Meiryo UI"/>
        <family val="3"/>
        <charset val="128"/>
      </rPr>
      <t>+a</t>
    </r>
    <r>
      <rPr>
        <vertAlign val="subscript"/>
        <sz val="10"/>
        <color theme="1"/>
        <rFont val="Meiryo UI"/>
        <family val="3"/>
        <charset val="128"/>
      </rPr>
      <t>N-2</t>
    </r>
    <r>
      <rPr>
        <sz val="10"/>
        <color theme="1"/>
        <rFont val="Meiryo UI"/>
        <family val="3"/>
        <charset val="128"/>
      </rPr>
      <t>+・・・+a1)×a</t>
    </r>
    <r>
      <rPr>
        <vertAlign val="subscript"/>
        <sz val="10"/>
        <color theme="1"/>
        <rFont val="Meiryo UI"/>
        <family val="3"/>
        <charset val="128"/>
      </rPr>
      <t>N</t>
    </r>
    <r>
      <rPr>
        <sz val="10"/>
        <color theme="1"/>
        <rFont val="Meiryo UI"/>
        <family val="3"/>
        <charset val="128"/>
      </rPr>
      <t xml:space="preserve"> となるので ー(全項の和ー自項)×自項 を全ての項分計算する</t>
    </r>
    <rPh sb="34" eb="36">
      <t>ゼンコウ</t>
    </rPh>
    <rPh sb="37" eb="38">
      <t>ワ</t>
    </rPh>
    <rPh sb="39" eb="40">
      <t>ジ</t>
    </rPh>
    <rPh sb="40" eb="41">
      <t>コウ</t>
    </rPh>
    <rPh sb="43" eb="44">
      <t>ジ</t>
    </rPh>
    <rPh sb="44" eb="45">
      <t>コウ</t>
    </rPh>
    <rPh sb="47" eb="48">
      <t>スベ</t>
    </rPh>
    <rPh sb="50" eb="51">
      <t>コウ</t>
    </rPh>
    <rPh sb="51" eb="52">
      <t>ブン</t>
    </rPh>
    <rPh sb="52" eb="54">
      <t>ケイサン</t>
    </rPh>
    <phoneticPr fontId="2"/>
  </si>
  <si>
    <t>ABC059_C_Sequence</t>
    <phoneticPr fontId="2"/>
  </si>
  <si>
    <t xml:space="preserve"> (ちなみに ① とき、要素数＝０、要素数＝１ のときを計算しても ② は０になる</t>
    <rPh sb="12" eb="14">
      <t>ヨウソ</t>
    </rPh>
    <rPh sb="14" eb="15">
      <t>スウ</t>
    </rPh>
    <rPh sb="18" eb="20">
      <t>ヨウソ</t>
    </rPh>
    <rPh sb="20" eb="21">
      <t>スウ</t>
    </rPh>
    <rPh sb="28" eb="30">
      <t>ケイサン</t>
    </rPh>
    <phoneticPr fontId="2"/>
  </si>
  <si>
    <t>・全ての ① における ② の和が求める答えである</t>
    <rPh sb="1" eb="2">
      <t>スベ</t>
    </rPh>
    <rPh sb="15" eb="16">
      <t>ワ</t>
    </rPh>
    <rPh sb="17" eb="18">
      <t>モト</t>
    </rPh>
    <rPh sb="20" eb="21">
      <t>コタ</t>
    </rPh>
    <phoneticPr fontId="2"/>
  </si>
  <si>
    <t>{}_nC_2=\frac{1}{\ 2\ }n(n-1)=\sum_{k=1}^{n-1}k=1+2+\cdots+(n-1)</t>
    <phoneticPr fontId="2"/>
  </si>
  <si>
    <t>の計算をしなくとも、</t>
    <rPh sb="1" eb="3">
      <t>ケイサン</t>
    </rPh>
    <phoneticPr fontId="2"/>
  </si>
  <si>
    <t>の値は１～(n-1) の和を求めればよい</t>
    <rPh sb="1" eb="2">
      <t>アタイ</t>
    </rPh>
    <rPh sb="12" eb="13">
      <t>ワ</t>
    </rPh>
    <rPh sb="14" eb="15">
      <t>モト</t>
    </rPh>
    <phoneticPr fontId="2"/>
  </si>
  <si>
    <t>{}_nC_2</t>
    <phoneticPr fontId="2"/>
  </si>
  <si>
    <t xml:space="preserve">  文字列交換のときは ２要素の前後を交換し、文字交換のときは それぞれの位置 (pos) から 文字列の要素 (0 or 1) とインデックスを</t>
    <rPh sb="2" eb="5">
      <t>モジレツ</t>
    </rPh>
    <rPh sb="5" eb="7">
      <t>コウカン</t>
    </rPh>
    <rPh sb="13" eb="15">
      <t>ヨウソ</t>
    </rPh>
    <rPh sb="16" eb="18">
      <t>ゼンゴ</t>
    </rPh>
    <rPh sb="19" eb="21">
      <t>コウカン</t>
    </rPh>
    <rPh sb="23" eb="25">
      <t>モジ</t>
    </rPh>
    <rPh sb="25" eb="27">
      <t>コウカン</t>
    </rPh>
    <phoneticPr fontId="2"/>
  </si>
  <si>
    <t xml:space="preserve">  算出し、文字交換を行う</t>
    <rPh sb="6" eb="8">
      <t>モジ</t>
    </rPh>
    <rPh sb="8" eb="10">
      <t>コウカン</t>
    </rPh>
    <rPh sb="11" eb="12">
      <t>オコナ</t>
    </rPh>
    <phoneticPr fontId="2"/>
  </si>
  <si>
    <t>・与えられた文字列を文字列交換に備えて、２要素に格納し、</t>
    <rPh sb="1" eb="2">
      <t>アタ</t>
    </rPh>
    <rPh sb="6" eb="8">
      <t>モジ</t>
    </rPh>
    <rPh sb="8" eb="9">
      <t>レツ</t>
    </rPh>
    <rPh sb="10" eb="13">
      <t>モジレツ</t>
    </rPh>
    <rPh sb="13" eb="15">
      <t>コウカン</t>
    </rPh>
    <rPh sb="16" eb="17">
      <t>ソナ</t>
    </rPh>
    <rPh sb="21" eb="23">
      <t>ヨウソ</t>
    </rPh>
    <rPh sb="24" eb="26">
      <t>カクノウ</t>
    </rPh>
    <phoneticPr fontId="2"/>
  </si>
  <si>
    <t>・数値を文字列と考えて、to_string 関数や stoll 関数 を使用するよりも、数値の桁数を算出して計算するほうが、実行速度が速い</t>
    <rPh sb="1" eb="3">
      <t>スウチ</t>
    </rPh>
    <rPh sb="4" eb="7">
      <t>モジレツ</t>
    </rPh>
    <rPh sb="8" eb="9">
      <t>カンガ</t>
    </rPh>
    <rPh sb="22" eb="24">
      <t>カンスウ</t>
    </rPh>
    <rPh sb="32" eb="34">
      <t>カンスウ</t>
    </rPh>
    <rPh sb="36" eb="38">
      <t>シヨウ</t>
    </rPh>
    <rPh sb="44" eb="46">
      <t>スウチ</t>
    </rPh>
    <rPh sb="47" eb="49">
      <t>ケタスウ</t>
    </rPh>
    <rPh sb="50" eb="52">
      <t>サンシュツ</t>
    </rPh>
    <rPh sb="54" eb="56">
      <t>ケイサン</t>
    </rPh>
    <rPh sb="62" eb="64">
      <t>ジッコウ</t>
    </rPh>
    <rPh sb="64" eb="66">
      <t>ソクド</t>
    </rPh>
    <rPh sb="67" eb="68">
      <t>ハヤ</t>
    </rPh>
    <phoneticPr fontId="2"/>
  </si>
  <si>
    <r>
      <t>・与えられた整数 N、1以上の数値 n として、n の桁を ⅾ(n) とすると、n×10</t>
    </r>
    <r>
      <rPr>
        <vertAlign val="superscript"/>
        <sz val="10"/>
        <color theme="1"/>
        <rFont val="Meiryo UI"/>
        <family val="3"/>
        <charset val="128"/>
      </rPr>
      <t>d(n)</t>
    </r>
    <r>
      <rPr>
        <sz val="10"/>
        <color theme="1"/>
        <rFont val="Meiryo UI"/>
        <family val="3"/>
        <charset val="128"/>
      </rPr>
      <t>＋n ≦ N となる数値 n の個数が求める答えとなる</t>
    </r>
    <rPh sb="1" eb="2">
      <t>アタ</t>
    </rPh>
    <rPh sb="6" eb="8">
      <t>セイスウ</t>
    </rPh>
    <rPh sb="12" eb="14">
      <t>イジョウ</t>
    </rPh>
    <rPh sb="15" eb="17">
      <t>スウチ</t>
    </rPh>
    <rPh sb="27" eb="28">
      <t>ケタ</t>
    </rPh>
    <rPh sb="58" eb="60">
      <t>スウチ</t>
    </rPh>
    <rPh sb="64" eb="66">
      <t>コスウ</t>
    </rPh>
    <rPh sb="67" eb="68">
      <t>モト</t>
    </rPh>
    <rPh sb="70" eb="71">
      <t>コタ</t>
    </rPh>
    <phoneticPr fontId="2"/>
  </si>
  <si>
    <r>
      <t>・あとは (ｍ＋k)×10</t>
    </r>
    <r>
      <rPr>
        <vertAlign val="superscript"/>
        <sz val="10"/>
        <color theme="1"/>
        <rFont val="Meiryo UI"/>
        <family val="3"/>
        <charset val="128"/>
      </rPr>
      <t xml:space="preserve">d(m+k) </t>
    </r>
    <r>
      <rPr>
        <sz val="10"/>
        <color theme="1"/>
        <rFont val="Meiryo UI"/>
        <family val="3"/>
        <charset val="128"/>
      </rPr>
      <t>＋(ｍ＋k) ≦Ｎ となる k を数えればよい</t>
    </r>
    <rPh sb="37" eb="38">
      <t>カゾ</t>
    </rPh>
    <phoneticPr fontId="2"/>
  </si>
  <si>
    <r>
      <t>・１≦N&lt;10</t>
    </r>
    <r>
      <rPr>
        <vertAlign val="superscript"/>
        <sz val="10"/>
        <color theme="1"/>
        <rFont val="Meiryo UI"/>
        <family val="3"/>
        <charset val="128"/>
      </rPr>
      <t>12</t>
    </r>
    <r>
      <rPr>
        <sz val="10"/>
        <color theme="1"/>
        <rFont val="Meiryo UI"/>
        <family val="3"/>
        <charset val="128"/>
      </rPr>
      <t xml:space="preserve"> より、上記を満たす最大の数値は 999999999999 となるから、n の最大値は 999999 となる</t>
    </r>
    <rPh sb="13" eb="15">
      <t>ジョウキ</t>
    </rPh>
    <rPh sb="16" eb="17">
      <t>ミ</t>
    </rPh>
    <rPh sb="19" eb="21">
      <t>サイダイ</t>
    </rPh>
    <rPh sb="22" eb="24">
      <t>スウチ</t>
    </rPh>
    <rPh sb="48" eb="51">
      <t>サイダイチ</t>
    </rPh>
    <phoneticPr fontId="2"/>
  </si>
  <si>
    <r>
      <t>・n と同じ桁数で最上位の位が１、それ以外の位が０の数値を ⅿ とすると、ⅿ×10</t>
    </r>
    <r>
      <rPr>
        <vertAlign val="superscript"/>
        <sz val="10"/>
        <color theme="1"/>
        <rFont val="Meiryo UI"/>
        <family val="3"/>
        <charset val="128"/>
      </rPr>
      <t xml:space="preserve">ⅾ(ⅿ) </t>
    </r>
    <r>
      <rPr>
        <sz val="10"/>
        <color theme="1"/>
        <rFont val="Meiryo UI"/>
        <family val="3"/>
        <charset val="128"/>
      </rPr>
      <t>+ⅿ までの数値の個数は ⅿ 個である</t>
    </r>
    <rPh sb="4" eb="5">
      <t>オナ</t>
    </rPh>
    <rPh sb="6" eb="8">
      <t>ケタスウ</t>
    </rPh>
    <rPh sb="9" eb="12">
      <t>サイジョウイ</t>
    </rPh>
    <rPh sb="13" eb="14">
      <t>クライ</t>
    </rPh>
    <rPh sb="19" eb="21">
      <t>イガイ</t>
    </rPh>
    <rPh sb="22" eb="23">
      <t>クライ</t>
    </rPh>
    <rPh sb="26" eb="28">
      <t>スウチ</t>
    </rPh>
    <rPh sb="52" eb="54">
      <t>スウチ</t>
    </rPh>
    <rPh sb="55" eb="57">
      <t>コスウ</t>
    </rPh>
    <rPh sb="61" eb="62">
      <t>コ</t>
    </rPh>
    <phoneticPr fontId="2"/>
  </si>
  <si>
    <t xml:space="preserve">   数列区切り先頭index配列 [dept] &lt; 配列.size() - diff の間、dfs を行うようにした (数列区切り先頭index配列の size()ー1 は </t>
    <rPh sb="3" eb="5">
      <t>スウレツ</t>
    </rPh>
    <rPh sb="5" eb="7">
      <t>クギ</t>
    </rPh>
    <rPh sb="8" eb="10">
      <t>セントウ</t>
    </rPh>
    <rPh sb="15" eb="17">
      <t>ハイレツ</t>
    </rPh>
    <rPh sb="27" eb="29">
      <t>ハイレツ</t>
    </rPh>
    <rPh sb="45" eb="46">
      <t>アイダ</t>
    </rPh>
    <phoneticPr fontId="2"/>
  </si>
  <si>
    <t xml:space="preserve">   数列.size() を格納する)</t>
    <rPh sb="3" eb="5">
      <t>スウレツ</t>
    </rPh>
    <rPh sb="14" eb="16">
      <t>カクノウ</t>
    </rPh>
    <phoneticPr fontId="2"/>
  </si>
  <si>
    <t>●dfs の while 条件を補正し、より効率よく行った</t>
    <rPh sb="13" eb="15">
      <t>ジョウケン</t>
    </rPh>
    <rPh sb="16" eb="18">
      <t>ホセイ</t>
    </rPh>
    <rPh sb="22" eb="24">
      <t>コウリツ</t>
    </rPh>
    <rPh sb="26" eb="27">
      <t>オコナ</t>
    </rPh>
    <phoneticPr fontId="2"/>
  </si>
  <si>
    <r>
      <t xml:space="preserve">   </t>
    </r>
    <r>
      <rPr>
        <b/>
        <sz val="10"/>
        <color theme="1"/>
        <rFont val="Meiryo UI"/>
        <family val="3"/>
        <charset val="128"/>
      </rPr>
      <t>数列.size() より小さいという条件になるよう</t>
    </r>
    <r>
      <rPr>
        <sz val="10"/>
        <color theme="1"/>
        <rFont val="Meiryo UI"/>
        <family val="3"/>
        <charset val="128"/>
      </rPr>
      <t>に、</t>
    </r>
    <r>
      <rPr>
        <b/>
        <sz val="10"/>
        <color theme="1"/>
        <rFont val="Meiryo UI"/>
        <family val="3"/>
        <charset val="128"/>
      </rPr>
      <t>diff を設定</t>
    </r>
    <r>
      <rPr>
        <sz val="10"/>
        <color theme="1"/>
        <rFont val="Meiryo UI"/>
        <family val="3"/>
        <charset val="128"/>
      </rPr>
      <t>する</t>
    </r>
    <rPh sb="3" eb="5">
      <t>スウレツ</t>
    </rPh>
    <rPh sb="15" eb="16">
      <t>チイ</t>
    </rPh>
    <rPh sb="21" eb="23">
      <t>ジョウケン</t>
    </rPh>
    <rPh sb="36" eb="38">
      <t>セッテイ</t>
    </rPh>
    <phoneticPr fontId="2"/>
  </si>
  <si>
    <r>
      <t xml:space="preserve">   </t>
    </r>
    <r>
      <rPr>
        <b/>
        <sz val="10"/>
        <color theme="1"/>
        <rFont val="Meiryo UI"/>
        <family val="3"/>
        <charset val="128"/>
      </rPr>
      <t>dept</t>
    </r>
    <r>
      <rPr>
        <sz val="10"/>
        <color theme="1"/>
        <rFont val="Meiryo UI"/>
        <family val="3"/>
        <charset val="128"/>
      </rPr>
      <t xml:space="preserve"> を</t>
    </r>
    <r>
      <rPr>
        <b/>
        <sz val="10"/>
        <color theme="1"/>
        <rFont val="Meiryo UI"/>
        <family val="3"/>
        <charset val="128"/>
      </rPr>
      <t>数列区切り先頭index配列</t>
    </r>
    <r>
      <rPr>
        <sz val="10"/>
        <color theme="1"/>
        <rFont val="Meiryo UI"/>
        <family val="3"/>
        <charset val="128"/>
      </rPr>
      <t>の</t>
    </r>
    <r>
      <rPr>
        <b/>
        <sz val="10"/>
        <color theme="1"/>
        <rFont val="Meiryo UI"/>
        <family val="3"/>
        <charset val="128"/>
      </rPr>
      <t>インデックス</t>
    </r>
    <r>
      <rPr>
        <sz val="10"/>
        <color theme="1"/>
        <rFont val="Meiryo UI"/>
        <family val="3"/>
        <charset val="128"/>
      </rPr>
      <t>として、</t>
    </r>
    <r>
      <rPr>
        <b/>
        <sz val="10"/>
        <color theme="1"/>
        <rFont val="Meiryo UI"/>
        <family val="3"/>
        <charset val="128"/>
      </rPr>
      <t>dept = 数列区切り先頭index配列.size() ー 2 のとき</t>
    </r>
    <phoneticPr fontId="2"/>
  </si>
  <si>
    <t>ABC196_C_Doubled</t>
  </si>
  <si>
    <t>(劣後解)</t>
    <rPh sb="1" eb="3">
      <t>レツゴ</t>
    </rPh>
    <rPh sb="3" eb="4">
      <t>カイ</t>
    </rPh>
    <phoneticPr fontId="2"/>
  </si>
  <si>
    <t>●与えられた整数 N の桁数 (whole桁数)を算出し、その桁数の 1/2 (half桁数) を算出する</t>
    <rPh sb="1" eb="2">
      <t>アタ</t>
    </rPh>
    <rPh sb="6" eb="8">
      <t>セイスウ</t>
    </rPh>
    <rPh sb="12" eb="14">
      <t>ケタスウ</t>
    </rPh>
    <rPh sb="21" eb="23">
      <t>ケタスウ</t>
    </rPh>
    <rPh sb="25" eb="27">
      <t>サンシュツ</t>
    </rPh>
    <rPh sb="31" eb="33">
      <t>ケタスウ</t>
    </rPh>
    <rPh sb="44" eb="46">
      <t>ケタスウ</t>
    </rPh>
    <rPh sb="49" eb="51">
      <t>サンシュツ</t>
    </rPh>
    <phoneticPr fontId="2"/>
  </si>
  <si>
    <t>●whole桁数が偶数のとき、N を half桁数で分割し、前半の数 (left数) と 後半の数 (right数) を比較し、</t>
    <rPh sb="6" eb="8">
      <t>ケタスウ</t>
    </rPh>
    <rPh sb="9" eb="11">
      <t>グウスウ</t>
    </rPh>
    <rPh sb="23" eb="25">
      <t>ケタスウ</t>
    </rPh>
    <rPh sb="26" eb="28">
      <t>ブンカツ</t>
    </rPh>
    <rPh sb="30" eb="32">
      <t>ゼンハン</t>
    </rPh>
    <rPh sb="33" eb="34">
      <t>スウ</t>
    </rPh>
    <rPh sb="40" eb="41">
      <t>スウ</t>
    </rPh>
    <rPh sb="45" eb="47">
      <t>コウハン</t>
    </rPh>
    <rPh sb="48" eb="49">
      <t>スウ</t>
    </rPh>
    <rPh sb="56" eb="57">
      <t>スウ</t>
    </rPh>
    <rPh sb="60" eb="62">
      <t>ヒカク</t>
    </rPh>
    <phoneticPr fontId="2"/>
  </si>
  <si>
    <t xml:space="preserve">   left数≦right数 のとき left数が求める答え、それ以外のとき (left数ー1) が求める答えとなる</t>
    <rPh sb="7" eb="8">
      <t>スウ</t>
    </rPh>
    <rPh sb="14" eb="15">
      <t>スウ</t>
    </rPh>
    <rPh sb="24" eb="25">
      <t>スウ</t>
    </rPh>
    <rPh sb="26" eb="27">
      <t>モト</t>
    </rPh>
    <rPh sb="29" eb="30">
      <t>コタ</t>
    </rPh>
    <rPh sb="34" eb="36">
      <t>イガイ</t>
    </rPh>
    <rPh sb="45" eb="46">
      <t>スウ</t>
    </rPh>
    <rPh sb="51" eb="52">
      <t>モト</t>
    </rPh>
    <rPh sb="54" eb="55">
      <t>コタ</t>
    </rPh>
    <phoneticPr fontId="2"/>
  </si>
  <si>
    <t>●whole桁数が奇数のとき、half桁数分の all 9 が求める答えとなる</t>
    <rPh sb="6" eb="8">
      <t>ケタスウ</t>
    </rPh>
    <rPh sb="9" eb="11">
      <t>キスウ</t>
    </rPh>
    <rPh sb="19" eb="21">
      <t>ケタスウ</t>
    </rPh>
    <rPh sb="21" eb="22">
      <t>ブン</t>
    </rPh>
    <rPh sb="31" eb="32">
      <t>モト</t>
    </rPh>
    <rPh sb="34" eb="35">
      <t>コタ</t>
    </rPh>
    <phoneticPr fontId="2"/>
  </si>
  <si>
    <t xml:space="preserve">   (half桁数＝0 のとき、half桁数分の all 9 は 当然 0 となる)</t>
    <rPh sb="8" eb="10">
      <t>ケタスウ</t>
    </rPh>
    <rPh sb="21" eb="23">
      <t>ケタスウ</t>
    </rPh>
    <rPh sb="23" eb="24">
      <t>ブン</t>
    </rPh>
    <rPh sb="34" eb="36">
      <t>トウゼン</t>
    </rPh>
    <phoneticPr fontId="2"/>
  </si>
  <si>
    <t>●与えられた整数＞以下の各ベース数 (*1) のとき、与えられた整数ーそれぞれのベース数の和が求める答えとなる</t>
    <rPh sb="1" eb="2">
      <t>アタ</t>
    </rPh>
    <rPh sb="6" eb="8">
      <t>セイスウ</t>
    </rPh>
    <rPh sb="9" eb="11">
      <t>イカ</t>
    </rPh>
    <rPh sb="12" eb="13">
      <t>カク</t>
    </rPh>
    <rPh sb="16" eb="17">
      <t>スウ</t>
    </rPh>
    <rPh sb="27" eb="28">
      <t>アタ</t>
    </rPh>
    <rPh sb="32" eb="34">
      <t>セイスウ</t>
    </rPh>
    <rPh sb="43" eb="44">
      <t>スウ</t>
    </rPh>
    <rPh sb="45" eb="46">
      <t>ワ</t>
    </rPh>
    <rPh sb="47" eb="48">
      <t>モト</t>
    </rPh>
    <rPh sb="50" eb="51">
      <t>コタ</t>
    </rPh>
    <phoneticPr fontId="2"/>
  </si>
  <si>
    <t xml:space="preserve">   (*1) ベース数は 999 / 999,999 / 999,999,999 / … となる数</t>
    <rPh sb="11" eb="12">
      <t>スウ</t>
    </rPh>
    <rPh sb="49" eb="50">
      <t>スウ</t>
    </rPh>
    <phoneticPr fontId="2"/>
  </si>
  <si>
    <t xml:space="preserve">          初期値 999、増分 ×1000+999 となる</t>
    <rPh sb="10" eb="12">
      <t>ショキ</t>
    </rPh>
    <rPh sb="12" eb="13">
      <t>チ</t>
    </rPh>
    <rPh sb="18" eb="20">
      <t>ゾウブン</t>
    </rPh>
    <phoneticPr fontId="2"/>
  </si>
  <si>
    <t>●各要素間の差の２乗を２重ループで計算するのでは時間オーバーとなる</t>
    <rPh sb="4" eb="5">
      <t>カン</t>
    </rPh>
    <rPh sb="6" eb="7">
      <t>サ</t>
    </rPh>
    <rPh sb="9" eb="10">
      <t>ジョウ</t>
    </rPh>
    <rPh sb="12" eb="13">
      <t>ジュウ</t>
    </rPh>
    <rPh sb="17" eb="19">
      <t>ケイサン</t>
    </rPh>
    <rPh sb="24" eb="26">
      <t>ジカン</t>
    </rPh>
    <phoneticPr fontId="2"/>
  </si>
  <si>
    <r>
      <t>●１つの要素の２乗は それぞれ Nー１個ずつあるので、要素の２乗の和は (a</t>
    </r>
    <r>
      <rPr>
        <vertAlign val="subscript"/>
        <sz val="10"/>
        <color theme="1"/>
        <rFont val="Meiryo UI"/>
        <family val="3"/>
        <charset val="128"/>
      </rPr>
      <t>1</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2</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3</t>
    </r>
    <r>
      <rPr>
        <vertAlign val="superscript"/>
        <sz val="10"/>
        <color theme="1"/>
        <rFont val="Meiryo UI"/>
        <family val="3"/>
        <charset val="128"/>
      </rPr>
      <t>2</t>
    </r>
    <r>
      <rPr>
        <sz val="10"/>
        <color theme="1"/>
        <rFont val="Meiryo UI"/>
        <family val="3"/>
        <charset val="128"/>
      </rPr>
      <t>+・・・+a</t>
    </r>
    <r>
      <rPr>
        <vertAlign val="subscript"/>
        <sz val="10"/>
        <color theme="1"/>
        <rFont val="Meiryo UI"/>
        <family val="3"/>
        <charset val="128"/>
      </rPr>
      <t>N</t>
    </r>
    <r>
      <rPr>
        <vertAlign val="superscript"/>
        <sz val="10"/>
        <color theme="1"/>
        <rFont val="Meiryo UI"/>
        <family val="3"/>
        <charset val="128"/>
      </rPr>
      <t>2</t>
    </r>
    <r>
      <rPr>
        <sz val="10"/>
        <color theme="1"/>
        <rFont val="Meiryo UI"/>
        <family val="3"/>
        <charset val="128"/>
      </rPr>
      <t>)×(Nー1) である</t>
    </r>
    <rPh sb="4" eb="6">
      <t>ヨウソ</t>
    </rPh>
    <rPh sb="8" eb="9">
      <t>ジョウ</t>
    </rPh>
    <rPh sb="19" eb="20">
      <t>コ</t>
    </rPh>
    <rPh sb="27" eb="29">
      <t>ヨウソ</t>
    </rPh>
    <rPh sb="31" eb="32">
      <t>ジョウ</t>
    </rPh>
    <rPh sb="33" eb="34">
      <t>ワ</t>
    </rPh>
    <phoneticPr fontId="2"/>
  </si>
  <si>
    <t>●２つの要素の積は</t>
    <rPh sb="4" eb="6">
      <t>ヨウソ</t>
    </rPh>
    <rPh sb="7" eb="8">
      <t>セキ</t>
    </rPh>
    <phoneticPr fontId="2"/>
  </si>
  <si>
    <r>
      <t>●数列 a</t>
    </r>
    <r>
      <rPr>
        <vertAlign val="subscript"/>
        <sz val="10"/>
        <color theme="1"/>
        <rFont val="Meiryo UI"/>
        <family val="3"/>
        <charset val="128"/>
      </rPr>
      <t>n</t>
    </r>
    <r>
      <rPr>
        <sz val="10"/>
        <color theme="1"/>
        <rFont val="Meiryo UI"/>
        <family val="3"/>
        <charset val="128"/>
      </rPr>
      <t xml:space="preserve"> について、各桁の数値を取り出し、vector に格納する</t>
    </r>
    <rPh sb="1" eb="3">
      <t>スウレツ</t>
    </rPh>
    <rPh sb="12" eb="13">
      <t>カク</t>
    </rPh>
    <rPh sb="13" eb="14">
      <t>ケタ</t>
    </rPh>
    <rPh sb="15" eb="17">
      <t>スウチ</t>
    </rPh>
    <rPh sb="18" eb="19">
      <t>ト</t>
    </rPh>
    <rPh sb="20" eb="21">
      <t>ダ</t>
    </rPh>
    <rPh sb="31" eb="33">
      <t>カクノウ</t>
    </rPh>
    <phoneticPr fontId="2"/>
  </si>
  <si>
    <t>●vector を小さい順に sort し、要素番号の小さい順に、それぞれの要素を数値の下の桁から作成し、max数値を算出する</t>
    <rPh sb="9" eb="10">
      <t>チイ</t>
    </rPh>
    <rPh sb="12" eb="13">
      <t>ジュン</t>
    </rPh>
    <rPh sb="22" eb="26">
      <t>ヨウソバンゴウ</t>
    </rPh>
    <rPh sb="27" eb="28">
      <t>チイ</t>
    </rPh>
    <rPh sb="30" eb="31">
      <t>ジュン</t>
    </rPh>
    <rPh sb="38" eb="40">
      <t>ヨウソ</t>
    </rPh>
    <rPh sb="41" eb="43">
      <t>スウチ</t>
    </rPh>
    <rPh sb="44" eb="45">
      <t>シモ</t>
    </rPh>
    <rPh sb="46" eb="47">
      <t>ケタ</t>
    </rPh>
    <rPh sb="49" eb="51">
      <t>サクセイ</t>
    </rPh>
    <rPh sb="56" eb="58">
      <t>スウチ</t>
    </rPh>
    <rPh sb="59" eb="61">
      <t>サンシュツ</t>
    </rPh>
    <phoneticPr fontId="2"/>
  </si>
  <si>
    <t>●vector を reverse し、要素番号の小さい順に、それぞれの要素を数値の下の桁から作成し、min数値を算出する</t>
    <rPh sb="20" eb="22">
      <t>ヨウソ</t>
    </rPh>
    <rPh sb="22" eb="24">
      <t>バンゴウ</t>
    </rPh>
    <rPh sb="25" eb="26">
      <t>チイ</t>
    </rPh>
    <rPh sb="28" eb="29">
      <t>ジュン</t>
    </rPh>
    <rPh sb="36" eb="38">
      <t>ヨウソ</t>
    </rPh>
    <rPh sb="39" eb="41">
      <t>スウチ</t>
    </rPh>
    <rPh sb="42" eb="43">
      <t>シモ</t>
    </rPh>
    <rPh sb="44" eb="45">
      <t>ケタ</t>
    </rPh>
    <rPh sb="47" eb="49">
      <t>サクセイ</t>
    </rPh>
    <rPh sb="54" eb="56">
      <t>スウチ</t>
    </rPh>
    <rPh sb="57" eb="59">
      <t>サンシュツ</t>
    </rPh>
    <phoneticPr fontId="2"/>
  </si>
  <si>
    <r>
      <t>●max数値ーmin数値 をもとめて、a</t>
    </r>
    <r>
      <rPr>
        <vertAlign val="subscript"/>
        <sz val="10"/>
        <color theme="1"/>
        <rFont val="Meiryo UI"/>
        <family val="3"/>
        <charset val="128"/>
      </rPr>
      <t>n+1</t>
    </r>
    <r>
      <rPr>
        <sz val="10"/>
        <color theme="1"/>
        <rFont val="Meiryo UI"/>
        <family val="3"/>
        <charset val="128"/>
      </rPr>
      <t xml:space="preserve"> 項を算出する</t>
    </r>
    <rPh sb="4" eb="6">
      <t>スウチ</t>
    </rPh>
    <rPh sb="10" eb="12">
      <t>スウチ</t>
    </rPh>
    <rPh sb="24" eb="25">
      <t>コウ</t>
    </rPh>
    <rPh sb="26" eb="28">
      <t>サンシュツ</t>
    </rPh>
    <phoneticPr fontId="2"/>
  </si>
  <si>
    <r>
      <t>●以上の処理を K項まで行い、a</t>
    </r>
    <r>
      <rPr>
        <vertAlign val="subscript"/>
        <sz val="10"/>
        <color theme="1"/>
        <rFont val="Meiryo UI"/>
        <family val="3"/>
        <charset val="128"/>
      </rPr>
      <t>k</t>
    </r>
    <r>
      <rPr>
        <sz val="10"/>
        <color theme="1"/>
        <rFont val="Meiryo UI"/>
        <family val="3"/>
        <charset val="128"/>
      </rPr>
      <t xml:space="preserve"> を算出する</t>
    </r>
    <rPh sb="1" eb="3">
      <t>イジョウ</t>
    </rPh>
    <rPh sb="4" eb="6">
      <t>ショリ</t>
    </rPh>
    <rPh sb="9" eb="10">
      <t>コウ</t>
    </rPh>
    <rPh sb="12" eb="13">
      <t>オコナ</t>
    </rPh>
    <rPh sb="19" eb="21">
      <t>サンシュツ</t>
    </rPh>
    <phoneticPr fontId="2"/>
  </si>
  <si>
    <t>●unordered_set&lt;llong&gt; を定義し</t>
    <rPh sb="23" eb="25">
      <t>テイギ</t>
    </rPh>
    <phoneticPr fontId="2"/>
  </si>
  <si>
    <r>
      <t xml:space="preserve">   n</t>
    </r>
    <r>
      <rPr>
        <vertAlign val="superscript"/>
        <sz val="10"/>
        <color theme="1"/>
        <rFont val="Meiryo UI"/>
        <family val="3"/>
        <charset val="128"/>
      </rPr>
      <t>2</t>
    </r>
    <r>
      <rPr>
        <sz val="10"/>
        <color theme="1"/>
        <rFont val="Meiryo UI"/>
        <family val="3"/>
        <charset val="128"/>
      </rPr>
      <t xml:space="preserve"> ≦ N (n≧2) を満たす n の間、それぞれの n において、指数を 2、3、･･･ と増やしていき、n</t>
    </r>
    <r>
      <rPr>
        <vertAlign val="superscript"/>
        <sz val="10"/>
        <color theme="1"/>
        <rFont val="Meiryo UI"/>
        <family val="3"/>
        <charset val="128"/>
      </rPr>
      <t>k</t>
    </r>
    <r>
      <rPr>
        <sz val="10"/>
        <color theme="1"/>
        <rFont val="Meiryo UI"/>
        <family val="3"/>
        <charset val="128"/>
      </rPr>
      <t xml:space="preserve"> ≦ Ｎ (k≧2) となるような n</t>
    </r>
    <r>
      <rPr>
        <vertAlign val="superscript"/>
        <sz val="10"/>
        <color theme="1"/>
        <rFont val="Meiryo UI"/>
        <family val="3"/>
        <charset val="128"/>
      </rPr>
      <t>k</t>
    </r>
    <r>
      <rPr>
        <sz val="10"/>
        <color theme="1"/>
        <rFont val="Meiryo UI"/>
        <family val="3"/>
        <charset val="128"/>
      </rPr>
      <t xml:space="preserve"> を</t>
    </r>
    <rPh sb="17" eb="18">
      <t>ミ</t>
    </rPh>
    <rPh sb="24" eb="25">
      <t>アイダ</t>
    </rPh>
    <rPh sb="39" eb="41">
      <t>シスウ</t>
    </rPh>
    <rPh sb="52" eb="53">
      <t>フ</t>
    </rPh>
    <phoneticPr fontId="2"/>
  </si>
  <si>
    <t xml:space="preserve">   unordered_set に設定する</t>
    <rPh sb="18" eb="20">
      <t>セッテイ</t>
    </rPh>
    <phoneticPr fontId="2"/>
  </si>
  <si>
    <t>●set は同一値は設定されないので、Ｎーunordered_set の size() が求める答えとなる</t>
    <rPh sb="6" eb="9">
      <t>ドウイツチ</t>
    </rPh>
    <rPh sb="10" eb="12">
      <t>セッテイ</t>
    </rPh>
    <rPh sb="48" eb="49">
      <t>コタ</t>
    </rPh>
    <phoneticPr fontId="2"/>
  </si>
  <si>
    <r>
      <t>●</t>
    </r>
    <r>
      <rPr>
        <b/>
        <sz val="10"/>
        <color theme="1"/>
        <rFont val="Meiryo UI"/>
        <family val="3"/>
        <charset val="128"/>
      </rPr>
      <t>N</t>
    </r>
    <r>
      <rPr>
        <sz val="10"/>
        <color theme="1"/>
        <rFont val="Meiryo UI"/>
        <family val="3"/>
        <charset val="128"/>
      </rPr>
      <t xml:space="preserve"> </t>
    </r>
    <r>
      <rPr>
        <b/>
        <sz val="10"/>
        <color theme="1"/>
        <rFont val="Meiryo UI"/>
        <family val="3"/>
        <charset val="128"/>
      </rPr>
      <t>の</t>
    </r>
    <r>
      <rPr>
        <sz val="10"/>
        <color theme="1"/>
        <rFont val="Meiryo UI"/>
        <family val="3"/>
        <charset val="128"/>
      </rPr>
      <t xml:space="preserve"> </t>
    </r>
    <r>
      <rPr>
        <b/>
        <sz val="10"/>
        <color theme="1"/>
        <rFont val="Meiryo UI"/>
        <family val="3"/>
        <charset val="128"/>
      </rPr>
      <t>sqrt の整数までをループさせたいとき、for (int nx = 0; nx * nx &lt;= N; ++nx) のように nx * nx &lt;= N までを</t>
    </r>
    <rPh sb="11" eb="13">
      <t>セイスウ</t>
    </rPh>
    <phoneticPr fontId="2"/>
  </si>
  <si>
    <r>
      <t xml:space="preserve">   </t>
    </r>
    <r>
      <rPr>
        <b/>
        <sz val="10"/>
        <color theme="1"/>
        <rFont val="Meiryo UI"/>
        <family val="3"/>
        <charset val="128"/>
      </rPr>
      <t>ループさせる</t>
    </r>
    <phoneticPr fontId="2"/>
  </si>
  <si>
    <r>
      <t>●ある点 (X, Y) が頂点であること ⇔ その点の周囲 4 マス (S</t>
    </r>
    <r>
      <rPr>
        <vertAlign val="subscript"/>
        <sz val="10"/>
        <color theme="1"/>
        <rFont val="Meiryo UI"/>
        <family val="3"/>
        <charset val="128"/>
      </rPr>
      <t>XY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(X+1)Y</t>
    </r>
    <r>
      <rPr>
        <sz val="10"/>
        <rFont val="Meiryo UI"/>
        <family val="3"/>
        <charset val="128"/>
      </rPr>
      <t>,</t>
    </r>
    <r>
      <rPr>
        <sz val="10"/>
        <color theme="1"/>
        <rFont val="Meiryo UI"/>
        <family val="3"/>
        <charset val="128"/>
      </rPr>
      <t xml:space="preserve"> S</t>
    </r>
    <r>
      <rPr>
        <vertAlign val="subscript"/>
        <sz val="10"/>
        <color theme="1"/>
        <rFont val="Meiryo UI"/>
        <family val="3"/>
        <charset val="128"/>
      </rPr>
      <t>X(Y+1)</t>
    </r>
    <r>
      <rPr>
        <sz val="10"/>
        <color theme="1"/>
        <rFont val="Meiryo UI"/>
        <family val="3"/>
        <charset val="128"/>
      </rPr>
      <t>, S</t>
    </r>
    <r>
      <rPr>
        <vertAlign val="subscript"/>
        <sz val="10"/>
        <color theme="1"/>
        <rFont val="Meiryo UI"/>
        <family val="3"/>
        <charset val="128"/>
      </rPr>
      <t>(X+1)(Y+1)</t>
    </r>
    <r>
      <rPr>
        <sz val="10"/>
        <color theme="1"/>
        <rFont val="Meiryo UI"/>
        <family val="3"/>
        <charset val="128"/>
      </rPr>
      <t>) のうち "#" が１個 または３個</t>
    </r>
    <rPh sb="3" eb="4">
      <t>テン</t>
    </rPh>
    <rPh sb="13" eb="15">
      <t>チョウテン</t>
    </rPh>
    <rPh sb="25" eb="26">
      <t>テン</t>
    </rPh>
    <rPh sb="27" eb="29">
      <t>シュウイ</t>
    </rPh>
    <rPh sb="82" eb="83">
      <t>コ</t>
    </rPh>
    <rPh sb="88" eb="89">
      <t>コ</t>
    </rPh>
    <phoneticPr fontId="2"/>
  </si>
  <si>
    <t>●上記の通り頂点をカウントし、いくつの多角形であるか回答する</t>
    <rPh sb="1" eb="3">
      <t>ジョウキ</t>
    </rPh>
    <rPh sb="4" eb="5">
      <t>トオ</t>
    </rPh>
    <rPh sb="6" eb="8">
      <t>チョウテン</t>
    </rPh>
    <rPh sb="19" eb="22">
      <t>タカッケイ</t>
    </rPh>
    <rPh sb="26" eb="28">
      <t>カイトウ</t>
    </rPh>
    <phoneticPr fontId="2"/>
  </si>
  <si>
    <t>●条件配列、ヒト配列、選択済皿配列 を定義</t>
    <rPh sb="1" eb="3">
      <t>ジョウケン</t>
    </rPh>
    <rPh sb="3" eb="5">
      <t>ハイレツ</t>
    </rPh>
    <rPh sb="8" eb="10">
      <t>ハイレツ</t>
    </rPh>
    <rPh sb="11" eb="13">
      <t>センタク</t>
    </rPh>
    <rPh sb="13" eb="14">
      <t>スミ</t>
    </rPh>
    <rPh sb="14" eb="15">
      <t>サラ</t>
    </rPh>
    <rPh sb="15" eb="17">
      <t>ハイレツ</t>
    </rPh>
    <rPh sb="19" eb="21">
      <t>テイギ</t>
    </rPh>
    <phoneticPr fontId="2"/>
  </si>
  <si>
    <t>●ヒト配列の bit全探索を行う。対象(bit1)となった ヒト配列の要素は 皿D を選択(ボウルを置く)し、それ以外(bit0)のとき 皿C を</t>
    <rPh sb="3" eb="5">
      <t>ハイレツ</t>
    </rPh>
    <rPh sb="10" eb="13">
      <t>ゼンタンサク</t>
    </rPh>
    <rPh sb="14" eb="15">
      <t>オコナ</t>
    </rPh>
    <rPh sb="17" eb="19">
      <t>タイショウ</t>
    </rPh>
    <rPh sb="32" eb="34">
      <t>ハイレツ</t>
    </rPh>
    <rPh sb="35" eb="37">
      <t>ヨウソ</t>
    </rPh>
    <rPh sb="39" eb="40">
      <t>サラ</t>
    </rPh>
    <rPh sb="43" eb="45">
      <t>センタク</t>
    </rPh>
    <rPh sb="50" eb="51">
      <t>オ</t>
    </rPh>
    <phoneticPr fontId="2"/>
  </si>
  <si>
    <t xml:space="preserve">   選択するよう 選択済配列を設定する (選択済皿：1、未選択皿：0 )</t>
    <rPh sb="10" eb="12">
      <t>センタク</t>
    </rPh>
    <rPh sb="12" eb="13">
      <t>ズ</t>
    </rPh>
    <rPh sb="13" eb="15">
      <t>ハイレツ</t>
    </rPh>
    <rPh sb="16" eb="18">
      <t>セッテイ</t>
    </rPh>
    <rPh sb="22" eb="24">
      <t>センタク</t>
    </rPh>
    <rPh sb="24" eb="25">
      <t>ズ</t>
    </rPh>
    <rPh sb="25" eb="26">
      <t>サラ</t>
    </rPh>
    <rPh sb="29" eb="32">
      <t>ミセンタク</t>
    </rPh>
    <rPh sb="32" eb="33">
      <t>サラ</t>
    </rPh>
    <phoneticPr fontId="2"/>
  </si>
  <si>
    <t>●選択済皿配列の状態が 条件配列の各要素の条件を満たす(２つの皿が選択済み)とき、カウントし、そうでなければ カウントしない</t>
    <rPh sb="1" eb="3">
      <t>センタク</t>
    </rPh>
    <rPh sb="3" eb="4">
      <t>ズ</t>
    </rPh>
    <rPh sb="4" eb="5">
      <t>サラ</t>
    </rPh>
    <rPh sb="5" eb="7">
      <t>ハイレツ</t>
    </rPh>
    <rPh sb="8" eb="10">
      <t>ジョウタイ</t>
    </rPh>
    <rPh sb="12" eb="16">
      <t>ジョウケンハイレツ</t>
    </rPh>
    <rPh sb="17" eb="18">
      <t>カク</t>
    </rPh>
    <rPh sb="18" eb="20">
      <t>ヨウソ</t>
    </rPh>
    <rPh sb="21" eb="23">
      <t>ジョウケン</t>
    </rPh>
    <rPh sb="24" eb="25">
      <t>ミ</t>
    </rPh>
    <rPh sb="31" eb="32">
      <t>サラ</t>
    </rPh>
    <rPh sb="33" eb="35">
      <t>センタク</t>
    </rPh>
    <rPh sb="35" eb="36">
      <t>ズ</t>
    </rPh>
    <phoneticPr fontId="2"/>
  </si>
  <si>
    <t>●最も多く 条件配列の各要素の条件が満たされたときの個数 (要素数) を求める</t>
    <rPh sb="1" eb="2">
      <t>モット</t>
    </rPh>
    <rPh sb="3" eb="4">
      <t>オオ</t>
    </rPh>
    <rPh sb="6" eb="8">
      <t>ジョウケン</t>
    </rPh>
    <rPh sb="8" eb="10">
      <t>ハイレツ</t>
    </rPh>
    <rPh sb="11" eb="12">
      <t>カク</t>
    </rPh>
    <rPh sb="12" eb="14">
      <t>ヨウソ</t>
    </rPh>
    <rPh sb="15" eb="17">
      <t>ジョウケン</t>
    </rPh>
    <rPh sb="18" eb="19">
      <t>ミ</t>
    </rPh>
    <rPh sb="26" eb="28">
      <t>コスウ</t>
    </rPh>
    <rPh sb="30" eb="33">
      <t>ヨウソスウ</t>
    </rPh>
    <rPh sb="36" eb="37">
      <t>モト</t>
    </rPh>
    <phoneticPr fontId="2"/>
  </si>
  <si>
    <t>●left を０から Ｎ の間、それぞれの left に対して、right を left から Ｎ の間を動かし、left ～ right の要素の最小値Ｍを求める</t>
    <rPh sb="14" eb="15">
      <t>アイダ</t>
    </rPh>
    <rPh sb="28" eb="29">
      <t>タイ</t>
    </rPh>
    <rPh sb="51" eb="52">
      <t>アイダ</t>
    </rPh>
    <rPh sb="53" eb="54">
      <t>ウゴ</t>
    </rPh>
    <phoneticPr fontId="2"/>
  </si>
  <si>
    <r>
      <t>●</t>
    </r>
    <r>
      <rPr>
        <b/>
        <sz val="10"/>
        <color theme="1"/>
        <rFont val="Meiryo UI"/>
        <family val="3"/>
        <charset val="128"/>
      </rPr>
      <t>最小値を求める方法</t>
    </r>
    <r>
      <rPr>
        <sz val="10"/>
        <color theme="1"/>
        <rFont val="Meiryo UI"/>
        <family val="3"/>
        <charset val="128"/>
      </rPr>
      <t xml:space="preserve">は </t>
    </r>
    <r>
      <rPr>
        <b/>
        <sz val="10"/>
        <color theme="1"/>
        <rFont val="Meiryo UI"/>
        <family val="3"/>
        <charset val="128"/>
      </rPr>
      <t>left の要素を最小値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として、</t>
    </r>
    <r>
      <rPr>
        <b/>
        <sz val="10"/>
        <color theme="1"/>
        <rFont val="Meiryo UI"/>
        <family val="3"/>
        <charset val="128"/>
      </rPr>
      <t>left ～ right の次要素と①で min をとり最小値</t>
    </r>
    <r>
      <rPr>
        <sz val="10"/>
        <color theme="1"/>
        <rFont val="Meiryo UI"/>
        <family val="3"/>
        <charset val="128"/>
      </rPr>
      <t xml:space="preserve"> (</t>
    </r>
    <r>
      <rPr>
        <b/>
        <sz val="10"/>
        <color theme="1"/>
        <rFont val="Meiryo UI"/>
        <family val="3"/>
        <charset val="128"/>
      </rPr>
      <t>…①</t>
    </r>
    <r>
      <rPr>
        <sz val="10"/>
        <color theme="1"/>
        <rFont val="Meiryo UI"/>
        <family val="3"/>
        <charset val="128"/>
      </rPr>
      <t xml:space="preserve">) </t>
    </r>
    <r>
      <rPr>
        <b/>
        <sz val="10"/>
        <color theme="1"/>
        <rFont val="Meiryo UI"/>
        <family val="3"/>
        <charset val="128"/>
      </rPr>
      <t>を</t>
    </r>
    <rPh sb="1" eb="3">
      <t>サイショウ</t>
    </rPh>
    <rPh sb="3" eb="4">
      <t>チ</t>
    </rPh>
    <rPh sb="5" eb="6">
      <t>モト</t>
    </rPh>
    <rPh sb="8" eb="10">
      <t>ホウホウ</t>
    </rPh>
    <rPh sb="18" eb="20">
      <t>ヨウソ</t>
    </rPh>
    <rPh sb="21" eb="24">
      <t>サイショウチ</t>
    </rPh>
    <rPh sb="48" eb="49">
      <t>ジ</t>
    </rPh>
    <rPh sb="49" eb="51">
      <t>ヨウソ</t>
    </rPh>
    <rPh sb="62" eb="65">
      <t>サイショウチ</t>
    </rPh>
    <phoneticPr fontId="2"/>
  </si>
  <si>
    <r>
      <t xml:space="preserve">   </t>
    </r>
    <r>
      <rPr>
        <b/>
        <sz val="10"/>
        <color theme="1"/>
        <rFont val="Meiryo UI"/>
        <family val="3"/>
        <charset val="128"/>
      </rPr>
      <t>更新</t>
    </r>
    <r>
      <rPr>
        <sz val="10"/>
        <color theme="1"/>
        <rFont val="Meiryo UI"/>
        <family val="3"/>
        <charset val="128"/>
      </rPr>
      <t>していく (</t>
    </r>
    <r>
      <rPr>
        <b/>
        <sz val="10"/>
        <color rgb="FFFF0000"/>
        <rFont val="Meiryo UI"/>
        <family val="3"/>
        <charset val="128"/>
      </rPr>
      <t>min_element</t>
    </r>
    <r>
      <rPr>
        <sz val="10"/>
        <color theme="1"/>
        <rFont val="Meiryo UI"/>
        <family val="3"/>
        <charset val="128"/>
      </rPr>
      <t xml:space="preserve"> を</t>
    </r>
    <r>
      <rPr>
        <b/>
        <sz val="10"/>
        <color rgb="FFFF0000"/>
        <rFont val="Meiryo UI"/>
        <family val="3"/>
        <charset val="128"/>
      </rPr>
      <t>使用</t>
    </r>
    <r>
      <rPr>
        <sz val="10"/>
        <color theme="1"/>
        <rFont val="Meiryo UI"/>
        <family val="3"/>
        <charset val="128"/>
      </rPr>
      <t xml:space="preserve">すると </t>
    </r>
    <r>
      <rPr>
        <b/>
        <sz val="10"/>
        <color rgb="FFFF0000"/>
        <rFont val="Meiryo UI"/>
        <family val="3"/>
        <charset val="128"/>
      </rPr>
      <t>TLE</t>
    </r>
    <r>
      <rPr>
        <sz val="10"/>
        <color theme="1"/>
        <rFont val="Meiryo UI"/>
        <family val="3"/>
        <charset val="128"/>
      </rPr>
      <t xml:space="preserve"> となる)</t>
    </r>
    <rPh sb="24" eb="26">
      <t>シヨウ</t>
    </rPh>
    <phoneticPr fontId="2"/>
  </si>
  <si>
    <t>●left ～ right において、Ｍ×(rightーleft＋1) を算出し、その中の最大値が求める答えとなる</t>
    <rPh sb="37" eb="39">
      <t>サンシュツ</t>
    </rPh>
    <rPh sb="43" eb="44">
      <t>ナカ</t>
    </rPh>
    <rPh sb="45" eb="47">
      <t>サイダイ</t>
    </rPh>
    <rPh sb="47" eb="48">
      <t>チ</t>
    </rPh>
    <rPh sb="49" eb="50">
      <t>モト</t>
    </rPh>
    <rPh sb="52" eb="53">
      <t>コタ</t>
    </rPh>
    <phoneticPr fontId="2"/>
  </si>
  <si>
    <t>(優秀解)</t>
    <rPh sb="1" eb="3">
      <t>ユウシュウ</t>
    </rPh>
    <rPh sb="3" eb="4">
      <t>カイ</t>
    </rPh>
    <phoneticPr fontId="2"/>
  </si>
  <si>
    <r>
      <t>●上記の解法は O(n</t>
    </r>
    <r>
      <rPr>
        <vertAlign val="superscript"/>
        <sz val="10"/>
        <color theme="1"/>
        <rFont val="Meiryo UI"/>
        <family val="3"/>
        <charset val="128"/>
      </rPr>
      <t>2</t>
    </r>
    <r>
      <rPr>
        <sz val="10"/>
        <color theme="1"/>
        <rFont val="Meiryo UI"/>
        <family val="3"/>
        <charset val="128"/>
      </rPr>
      <t>) アルゴリズムだが、O(n) アルゴリズムで解くことが可能</t>
    </r>
    <rPh sb="1" eb="3">
      <t>ジョウキ</t>
    </rPh>
    <rPh sb="4" eb="6">
      <t>カイホウ</t>
    </rPh>
    <rPh sb="35" eb="36">
      <t>ト</t>
    </rPh>
    <rPh sb="40" eb="42">
      <t>カノウ</t>
    </rPh>
    <phoneticPr fontId="2"/>
  </si>
  <si>
    <t>(lnk)</t>
    <phoneticPr fontId="2"/>
  </si>
  <si>
    <t>ALGORITHM NOTE ヒストグラム中の最大の長方形の面積</t>
  </si>
  <si>
    <t>●配列の要素を高さとみなし、ヒストグラム (柱状グラフ) と考え、ヒストグラム中の長方形の面積の最大値を求める</t>
    <rPh sb="1" eb="3">
      <t>ハイレツ</t>
    </rPh>
    <rPh sb="4" eb="6">
      <t>ヨウソ</t>
    </rPh>
    <rPh sb="7" eb="8">
      <t>タカ</t>
    </rPh>
    <rPh sb="30" eb="31">
      <t>カンガ</t>
    </rPh>
    <rPh sb="39" eb="40">
      <t>チュウ</t>
    </rPh>
    <rPh sb="41" eb="44">
      <t>チョウホウケイ</t>
    </rPh>
    <rPh sb="45" eb="47">
      <t>メンセキ</t>
    </rPh>
    <rPh sb="48" eb="50">
      <t>サイダイ</t>
    </rPh>
    <rPh sb="50" eb="51">
      <t>チ</t>
    </rPh>
    <rPh sb="52" eb="53">
      <t>モト</t>
    </rPh>
    <phoneticPr fontId="2"/>
  </si>
  <si>
    <t>ABC189_C_MandarinOrange_-1.cpp</t>
  </si>
  <si>
    <t xml:space="preserve">      追加する</t>
    <phoneticPr fontId="2"/>
  </si>
  <si>
    <t xml:space="preserve">   ●ヒストグラムの高さ と 要素のインデックス (0-origin) を保有するスタックを定義する</t>
    <rPh sb="11" eb="12">
      <t>タカ</t>
    </rPh>
    <rPh sb="16" eb="18">
      <t>ヨウソ</t>
    </rPh>
    <rPh sb="38" eb="40">
      <t>ホユウ</t>
    </rPh>
    <rPh sb="47" eb="49">
      <t>テイギ</t>
    </rPh>
    <phoneticPr fontId="2"/>
  </si>
  <si>
    <t xml:space="preserve">   ●スタック.トップのヒストグラムの高さ ＝ 処理中のヒストグラムの高さ のとき、何もしない</t>
    <rPh sb="43" eb="44">
      <t>ナニ</t>
    </rPh>
    <phoneticPr fontId="2"/>
  </si>
  <si>
    <t xml:space="preserve">      ●処理中のヒストグラムをスタックに追加する</t>
    <rPh sb="7" eb="9">
      <t>ショリ</t>
    </rPh>
    <rPh sb="9" eb="10">
      <t>チュウ</t>
    </rPh>
    <rPh sb="23" eb="25">
      <t>ツイカ</t>
    </rPh>
    <phoneticPr fontId="2"/>
  </si>
  <si>
    <t>●配列の要素 (ヒストグラム) を順番に、以下の通り スタックに追加したり、取り出し・長方形の面積を算出したりする</t>
    <rPh sb="1" eb="3">
      <t>ハイレツ</t>
    </rPh>
    <rPh sb="4" eb="6">
      <t>ヨウソ</t>
    </rPh>
    <rPh sb="17" eb="19">
      <t>ジュンバン</t>
    </rPh>
    <rPh sb="21" eb="23">
      <t>イカ</t>
    </rPh>
    <rPh sb="24" eb="25">
      <t>トオ</t>
    </rPh>
    <rPh sb="32" eb="34">
      <t>ツイカ</t>
    </rPh>
    <rPh sb="38" eb="39">
      <t>ト</t>
    </rPh>
    <rPh sb="40" eb="41">
      <t>ダ</t>
    </rPh>
    <rPh sb="43" eb="46">
      <t>チョウホウケイ</t>
    </rPh>
    <rPh sb="47" eb="49">
      <t>メンセキ</t>
    </rPh>
    <rPh sb="50" eb="52">
      <t>サンシュツ</t>
    </rPh>
    <phoneticPr fontId="2"/>
  </si>
  <si>
    <t xml:space="preserve">   ●スタックが空 または スタック.トップのヒストグラムの高さ ＜ 処理中のヒストグラムの高さ のとき、スタックに 処理中のヒストグラムを</t>
    <rPh sb="9" eb="10">
      <t>カラ</t>
    </rPh>
    <rPh sb="31" eb="32">
      <t>タカ</t>
    </rPh>
    <rPh sb="36" eb="39">
      <t>ショリチュウ</t>
    </rPh>
    <rPh sb="47" eb="48">
      <t>タカ</t>
    </rPh>
    <rPh sb="60" eb="63">
      <t>ショリチュウ</t>
    </rPh>
    <phoneticPr fontId="2"/>
  </si>
  <si>
    <t xml:space="preserve">   ●スタック.トップのヒストグラムの高さ ＞ 処理中のヒストグラムの高さ のとき、</t>
    <phoneticPr fontId="2"/>
  </si>
  <si>
    <t xml:space="preserve">         ( スタック.トップのヒストグラムの高さ×(処理中の配列のインデックスースタック.トップのインデックス )</t>
    <phoneticPr fontId="2"/>
  </si>
  <si>
    <t xml:space="preserve">      ●スタックが空でなく かつ スタック.トップのヒストグラムの高さ ≧ 処理中のヒストグラムの高さ の間、スタックからヒストグラムを取り出し</t>
    <rPh sb="12" eb="13">
      <t>カラ</t>
    </rPh>
    <rPh sb="36" eb="37">
      <t>タカ</t>
    </rPh>
    <rPh sb="41" eb="44">
      <t>ショリチュウ</t>
    </rPh>
    <rPh sb="52" eb="53">
      <t>タカ</t>
    </rPh>
    <rPh sb="56" eb="57">
      <t>アイダ</t>
    </rPh>
    <rPh sb="71" eb="72">
      <t>ト</t>
    </rPh>
    <rPh sb="73" eb="74">
      <t>ダ</t>
    </rPh>
    <phoneticPr fontId="2"/>
  </si>
  <si>
    <t xml:space="preserve">         ながら ヒストグラムに含まれる長方形を取り出し、面積を計算する </t>
    <rPh sb="36" eb="38">
      <t>ケイサン</t>
    </rPh>
    <phoneticPr fontId="2"/>
  </si>
  <si>
    <t xml:space="preserve">      (!!!)</t>
    <phoneticPr fontId="2"/>
  </si>
  <si>
    <t>処理中のヒストグラムの高さと同じ高さのスタック.トップのヒストグラムまで取り出し 面積を計算した時点では</t>
  </si>
  <si>
    <t>最終的に、今スタックに追加したヒストグラムの高さの長方形の面積が算出されるので問題ない</t>
    <phoneticPr fontId="2"/>
  </si>
  <si>
    <t>処理中のヒストグラムの面積は含まれていないが、直後に処理中のヒストグラムをスタックに追加し</t>
    <phoneticPr fontId="2"/>
  </si>
  <si>
    <t>●set&lt;string&gt; に N個の string を設定する</t>
    <rPh sb="16" eb="17">
      <t>コ</t>
    </rPh>
    <rPh sb="27" eb="29">
      <t>セッテイ</t>
    </rPh>
    <phoneticPr fontId="2"/>
  </si>
  <si>
    <t>●set&lt;string&gt; から１要素ずつ文字列を取り出し、1文字目が '!' のとき、２文字目～最後までの文字列を取り出す(substr)</t>
    <rPh sb="16" eb="18">
      <t>ヨウソ</t>
    </rPh>
    <rPh sb="20" eb="23">
      <t>モジレツ</t>
    </rPh>
    <rPh sb="24" eb="25">
      <t>ト</t>
    </rPh>
    <rPh sb="26" eb="27">
      <t>ダ</t>
    </rPh>
    <rPh sb="30" eb="33">
      <t>モジメ</t>
    </rPh>
    <rPh sb="44" eb="47">
      <t>モジメ</t>
    </rPh>
    <rPh sb="48" eb="50">
      <t>サイゴ</t>
    </rPh>
    <rPh sb="53" eb="56">
      <t>モジレツ</t>
    </rPh>
    <rPh sb="57" eb="58">
      <t>ト</t>
    </rPh>
    <rPh sb="59" eb="60">
      <t>ダ</t>
    </rPh>
    <phoneticPr fontId="2"/>
  </si>
  <si>
    <t>●２文字目～最後までの文字列が set&lt;string&gt; に登録されていれば、それが題意の ｢不満な文字列｣ となる</t>
    <rPh sb="2" eb="5">
      <t>モジメ</t>
    </rPh>
    <rPh sb="6" eb="8">
      <t>サイゴ</t>
    </rPh>
    <rPh sb="11" eb="14">
      <t>モジレツ</t>
    </rPh>
    <rPh sb="29" eb="31">
      <t>トウロク</t>
    </rPh>
    <rPh sb="41" eb="43">
      <t>ダイイ</t>
    </rPh>
    <rPh sb="46" eb="48">
      <t>フマン</t>
    </rPh>
    <rPh sb="49" eb="52">
      <t>モジレツ</t>
    </rPh>
    <phoneticPr fontId="2"/>
  </si>
  <si>
    <t>●文字列の1文字目が '!' の全ての文字列について、２文字目～最後までの文字列が set&lt;string&gt; に登録されていなければ</t>
    <rPh sb="1" eb="4">
      <t>モジレツ</t>
    </rPh>
    <rPh sb="16" eb="17">
      <t>スベ</t>
    </rPh>
    <rPh sb="19" eb="22">
      <t>モジレツ</t>
    </rPh>
    <rPh sb="28" eb="31">
      <t>モジメ</t>
    </rPh>
    <rPh sb="32" eb="34">
      <t>サイゴ</t>
    </rPh>
    <rPh sb="37" eb="40">
      <t>モジレツ</t>
    </rPh>
    <rPh sb="55" eb="57">
      <t>トウロク</t>
    </rPh>
    <phoneticPr fontId="2"/>
  </si>
  <si>
    <t xml:space="preserve">   その文字列の組が題意の ｢satisfiable｣ となる</t>
    <rPh sb="5" eb="8">
      <t>モジレツ</t>
    </rPh>
    <rPh sb="9" eb="10">
      <t>クミ</t>
    </rPh>
    <phoneticPr fontId="2"/>
  </si>
  <si>
    <r>
      <t>●2</t>
    </r>
    <r>
      <rPr>
        <vertAlign val="superscript"/>
        <sz val="10"/>
        <color theme="1"/>
        <rFont val="Meiryo UI"/>
        <family val="3"/>
        <charset val="128"/>
      </rPr>
      <t>N</t>
    </r>
    <r>
      <rPr>
        <sz val="10"/>
        <color theme="1"/>
        <rFont val="Meiryo UI"/>
        <family val="3"/>
        <charset val="128"/>
      </rPr>
      <t xml:space="preserve"> 個のレートに対して、１～2</t>
    </r>
    <r>
      <rPr>
        <vertAlign val="superscript"/>
        <sz val="10"/>
        <color theme="1"/>
        <rFont val="Meiryo UI"/>
        <family val="3"/>
        <charset val="128"/>
      </rPr>
      <t>N-1</t>
    </r>
    <r>
      <rPr>
        <sz val="10"/>
        <color theme="1"/>
        <rFont val="Meiryo UI"/>
        <family val="3"/>
        <charset val="128"/>
      </rPr>
      <t xml:space="preserve"> 個のレートの中で最大値(前半)と 2</t>
    </r>
    <r>
      <rPr>
        <vertAlign val="superscript"/>
        <sz val="10"/>
        <color theme="1"/>
        <rFont val="Meiryo UI"/>
        <family val="3"/>
        <charset val="128"/>
      </rPr>
      <t>N-1</t>
    </r>
    <r>
      <rPr>
        <sz val="10"/>
        <color theme="1"/>
        <rFont val="Meiryo UI"/>
        <family val="3"/>
        <charset val="128"/>
      </rPr>
      <t>+1～2</t>
    </r>
    <r>
      <rPr>
        <vertAlign val="superscript"/>
        <sz val="10"/>
        <color theme="1"/>
        <rFont val="Meiryo UI"/>
        <family val="3"/>
        <charset val="128"/>
      </rPr>
      <t>N</t>
    </r>
    <r>
      <rPr>
        <sz val="10"/>
        <color theme="1"/>
        <rFont val="Meiryo UI"/>
        <family val="3"/>
        <charset val="128"/>
      </rPr>
      <t xml:space="preserve"> 個のレートの中で最大値(後半)を求める</t>
    </r>
    <rPh sb="4" eb="5">
      <t>コ</t>
    </rPh>
    <rPh sb="10" eb="11">
      <t>タイ</t>
    </rPh>
    <rPh sb="21" eb="22">
      <t>コ</t>
    </rPh>
    <rPh sb="27" eb="28">
      <t>ナカ</t>
    </rPh>
    <rPh sb="29" eb="32">
      <t>サイダイチ</t>
    </rPh>
    <rPh sb="33" eb="35">
      <t>ゼンハン</t>
    </rPh>
    <rPh sb="48" eb="49">
      <t>コ</t>
    </rPh>
    <rPh sb="54" eb="55">
      <t>ナカ</t>
    </rPh>
    <rPh sb="56" eb="58">
      <t>サイダイ</t>
    </rPh>
    <rPh sb="58" eb="59">
      <t>チ</t>
    </rPh>
    <rPh sb="60" eb="62">
      <t>コウハン</t>
    </rPh>
    <rPh sb="64" eb="65">
      <t>モト</t>
    </rPh>
    <phoneticPr fontId="2"/>
  </si>
  <si>
    <t>●最大値(前半)と最大値(後半) において、小さい方の要素番号が求める答えとなる</t>
    <rPh sb="1" eb="4">
      <t>サイダイチ</t>
    </rPh>
    <rPh sb="5" eb="7">
      <t>ゼンハン</t>
    </rPh>
    <rPh sb="9" eb="12">
      <t>サイダイチ</t>
    </rPh>
    <rPh sb="13" eb="15">
      <t>コウハン</t>
    </rPh>
    <rPh sb="22" eb="23">
      <t>チイ</t>
    </rPh>
    <rPh sb="25" eb="26">
      <t>ホウ</t>
    </rPh>
    <rPh sb="27" eb="31">
      <t>ヨウソバンゴウ</t>
    </rPh>
    <rPh sb="32" eb="33">
      <t>モト</t>
    </rPh>
    <rPh sb="35" eb="36">
      <t>コタ</t>
    </rPh>
    <phoneticPr fontId="2"/>
  </si>
  <si>
    <t>●１～N までの数値に対して、第１に10進数として、各桁を取り出し、7 が含まれるか判定する</t>
    <rPh sb="8" eb="10">
      <t>スウチ</t>
    </rPh>
    <rPh sb="11" eb="12">
      <t>タイ</t>
    </rPh>
    <rPh sb="15" eb="16">
      <t>ダイ</t>
    </rPh>
    <rPh sb="20" eb="22">
      <t>シンスウ</t>
    </rPh>
    <rPh sb="26" eb="27">
      <t>カク</t>
    </rPh>
    <rPh sb="27" eb="28">
      <t>ケタ</t>
    </rPh>
    <rPh sb="29" eb="30">
      <t>ト</t>
    </rPh>
    <rPh sb="31" eb="32">
      <t>ダ</t>
    </rPh>
    <rPh sb="37" eb="38">
      <t>フク</t>
    </rPh>
    <rPh sb="42" eb="44">
      <t>ハンテイ</t>
    </rPh>
    <phoneticPr fontId="2"/>
  </si>
  <si>
    <t xml:space="preserve">   第２に８進数に変換しなばら、各桁を取り出し、７が含まれるか判定する</t>
    <rPh sb="3" eb="4">
      <t>ダイ</t>
    </rPh>
    <rPh sb="7" eb="9">
      <t>シンスウ</t>
    </rPh>
    <rPh sb="10" eb="12">
      <t>ヘンカン</t>
    </rPh>
    <rPh sb="17" eb="19">
      <t>カクケタ</t>
    </rPh>
    <rPh sb="20" eb="21">
      <t>ト</t>
    </rPh>
    <rPh sb="22" eb="23">
      <t>ダ</t>
    </rPh>
    <rPh sb="27" eb="28">
      <t>フク</t>
    </rPh>
    <rPh sb="32" eb="34">
      <t>ハンテイ</t>
    </rPh>
    <phoneticPr fontId="2"/>
  </si>
  <si>
    <t>●10進数としても、８進数としても７が含まれない場合、７を含まない数値としてカウントアップする</t>
    <rPh sb="3" eb="5">
      <t>シンスウ</t>
    </rPh>
    <rPh sb="11" eb="13">
      <t>シンスウ</t>
    </rPh>
    <rPh sb="19" eb="20">
      <t>フク</t>
    </rPh>
    <rPh sb="24" eb="26">
      <t>バアイ</t>
    </rPh>
    <rPh sb="29" eb="30">
      <t>フク</t>
    </rPh>
    <rPh sb="33" eb="35">
      <t>スウチ</t>
    </rPh>
    <phoneticPr fontId="2"/>
  </si>
  <si>
    <r>
      <t>●</t>
    </r>
    <r>
      <rPr>
        <vertAlign val="subscript"/>
        <sz val="10"/>
        <color theme="1"/>
        <rFont val="Meiryo UI"/>
        <family val="3"/>
        <charset val="128"/>
      </rPr>
      <t>n-1</t>
    </r>
    <r>
      <rPr>
        <sz val="10"/>
        <color theme="1"/>
        <rFont val="Meiryo UI"/>
        <family val="3"/>
        <charset val="128"/>
      </rPr>
      <t>Ｃ</t>
    </r>
    <r>
      <rPr>
        <vertAlign val="subscript"/>
        <sz val="10"/>
        <color theme="1"/>
        <rFont val="Meiryo UI"/>
        <family val="3"/>
        <charset val="128"/>
      </rPr>
      <t>11</t>
    </r>
    <r>
      <rPr>
        <sz val="10"/>
        <color theme="1"/>
        <rFont val="Meiryo UI"/>
        <family val="3"/>
        <charset val="128"/>
      </rPr>
      <t xml:space="preserve"> (12≦ｎ≦200) を計算させる問題 (分割箇所は n－1 個あり、その中から 11 個とる組み合わせになる)</t>
    </r>
    <rPh sb="20" eb="22">
      <t>ケイサン</t>
    </rPh>
    <rPh sb="25" eb="27">
      <t>モンダイ</t>
    </rPh>
    <rPh sb="29" eb="31">
      <t>ブンカツ</t>
    </rPh>
    <rPh sb="31" eb="33">
      <t>カショ</t>
    </rPh>
    <rPh sb="39" eb="40">
      <t>コ</t>
    </rPh>
    <rPh sb="45" eb="46">
      <t>ナカ</t>
    </rPh>
    <rPh sb="52" eb="53">
      <t>コ</t>
    </rPh>
    <rPh sb="55" eb="56">
      <t>ク</t>
    </rPh>
    <rPh sb="57" eb="58">
      <t>ア</t>
    </rPh>
    <phoneticPr fontId="2"/>
  </si>
  <si>
    <t>●計算の際、分子の数を分母の数で約分しながら計算していく。そうしなければ オーバーフローする</t>
    <rPh sb="1" eb="3">
      <t>ケイサン</t>
    </rPh>
    <rPh sb="4" eb="5">
      <t>サイ</t>
    </rPh>
    <rPh sb="6" eb="8">
      <t>ブンシ</t>
    </rPh>
    <rPh sb="9" eb="10">
      <t>スウ</t>
    </rPh>
    <rPh sb="11" eb="13">
      <t>ブンボ</t>
    </rPh>
    <rPh sb="14" eb="15">
      <t>スウ</t>
    </rPh>
    <rPh sb="16" eb="18">
      <t>ヤクブン</t>
    </rPh>
    <rPh sb="22" eb="24">
      <t>ケイサン</t>
    </rPh>
    <phoneticPr fontId="2"/>
  </si>
  <si>
    <t>4. 移動規則②で移動したマスから移動規則①で移動したマスの場合、移動ステップ＝２</t>
    <rPh sb="3" eb="5">
      <t>イドウ</t>
    </rPh>
    <rPh sb="5" eb="7">
      <t>キソク</t>
    </rPh>
    <rPh sb="9" eb="11">
      <t>イドウ</t>
    </rPh>
    <rPh sb="17" eb="19">
      <t>イドウ</t>
    </rPh>
    <rPh sb="19" eb="21">
      <t>キソク</t>
    </rPh>
    <rPh sb="23" eb="25">
      <t>イドウ</t>
    </rPh>
    <rPh sb="30" eb="32">
      <t>バアイ</t>
    </rPh>
    <rPh sb="33" eb="35">
      <t>イドウ</t>
    </rPh>
    <phoneticPr fontId="2"/>
  </si>
  <si>
    <t>●マス(a, b)から マス(x, y) の移動について、</t>
    <rPh sb="22" eb="24">
      <t>イドウ</t>
    </rPh>
    <phoneticPr fontId="2"/>
  </si>
  <si>
    <t xml:space="preserve">   移動規則①：a+b=x+y、a－b＝xーy  は abs(x－a)=abs(y－b) と同値である</t>
    <rPh sb="3" eb="5">
      <t>イドウ</t>
    </rPh>
    <rPh sb="5" eb="7">
      <t>キソク</t>
    </rPh>
    <rPh sb="47" eb="49">
      <t>ドウチ</t>
    </rPh>
    <phoneticPr fontId="2"/>
  </si>
  <si>
    <t xml:space="preserve">   移動規則②：|aーx|＋|bーy|≦3 より abs(x－a)+abs(y－b) &lt;= 3 である</t>
    <rPh sb="3" eb="5">
      <t>イドウ</t>
    </rPh>
    <rPh sb="5" eb="7">
      <t>キソク</t>
    </rPh>
    <phoneticPr fontId="2"/>
  </si>
  <si>
    <t>1. マス(a, b)と マス(x, y) が等しい場合、移動ステップ＝０</t>
    <rPh sb="23" eb="24">
      <t>ヒト</t>
    </rPh>
    <rPh sb="26" eb="28">
      <t>バアイ</t>
    </rPh>
    <rPh sb="29" eb="31">
      <t>イドウ</t>
    </rPh>
    <phoneticPr fontId="2"/>
  </si>
  <si>
    <t>2. マス(a, b)から マス(x, y) の移動について、移動規則①または②で移動可能な場合、移動ステップ＝１</t>
    <rPh sb="24" eb="26">
      <t>イドウ</t>
    </rPh>
    <rPh sb="31" eb="33">
      <t>イドウ</t>
    </rPh>
    <rPh sb="33" eb="35">
      <t>キソク</t>
    </rPh>
    <rPh sb="41" eb="43">
      <t>イドウ</t>
    </rPh>
    <rPh sb="43" eb="45">
      <t>カノウ</t>
    </rPh>
    <rPh sb="46" eb="48">
      <t>バアイ</t>
    </rPh>
    <rPh sb="49" eb="51">
      <t>イドウ</t>
    </rPh>
    <phoneticPr fontId="2"/>
  </si>
  <si>
    <t>3. 移動規則①を複合して使用した場合、abs(xーa)+abs(yーb) の偶奇は偶数となる</t>
    <rPh sb="3" eb="5">
      <t>イドウ</t>
    </rPh>
    <rPh sb="5" eb="7">
      <t>キソク</t>
    </rPh>
    <rPh sb="9" eb="11">
      <t>フクゴウ</t>
    </rPh>
    <rPh sb="13" eb="15">
      <t>シヨウ</t>
    </rPh>
    <rPh sb="17" eb="19">
      <t>バアイ</t>
    </rPh>
    <rPh sb="39" eb="41">
      <t>グウキ</t>
    </rPh>
    <rPh sb="42" eb="44">
      <t>グウスウ</t>
    </rPh>
    <phoneticPr fontId="2"/>
  </si>
  <si>
    <t xml:space="preserve">    よって、abs(xーa)+abs(yーb) % 2 = 0 または abs(xーa)+abs(yーb) &lt;= 6 の場合、移動ステップ＝２</t>
    <rPh sb="62" eb="64">
      <t>バアイ</t>
    </rPh>
    <rPh sb="65" eb="67">
      <t>イドウ</t>
    </rPh>
    <phoneticPr fontId="2"/>
  </si>
  <si>
    <t>●超竜馬が１回で動ける場所</t>
    <phoneticPr fontId="2"/>
  </si>
  <si>
    <t>は以下の通りとなる</t>
    <rPh sb="1" eb="3">
      <t>イカ</t>
    </rPh>
    <rPh sb="4" eb="5">
      <t>トオ</t>
    </rPh>
    <phoneticPr fontId="2"/>
  </si>
  <si>
    <t>⇔</t>
  </si>
  <si>
    <t>①</t>
    <phoneticPr fontId="2"/>
  </si>
  <si>
    <t>②</t>
    <phoneticPr fontId="2"/>
  </si>
  <si>
    <t>③</t>
    <phoneticPr fontId="2"/>
  </si>
  <si>
    <t>●趙竜馬が２回で動ける場所</t>
    <rPh sb="1" eb="2">
      <t>チョウ</t>
    </rPh>
    <rPh sb="2" eb="4">
      <t>リュウマ</t>
    </rPh>
    <rPh sb="6" eb="7">
      <t>カイ</t>
    </rPh>
    <rPh sb="8" eb="9">
      <t>ウゴ</t>
    </rPh>
    <rPh sb="11" eb="13">
      <t>バショ</t>
    </rPh>
    <phoneticPr fontId="2"/>
  </si>
  <si>
    <t>①＋②</t>
    <phoneticPr fontId="2"/>
  </si>
  <si>
    <t>③＋③</t>
    <phoneticPr fontId="2"/>
  </si>
  <si>
    <t>|a-x|+|b-y|\leqq 6</t>
  </si>
  <si>
    <t>|a-x|+|b-y|\leqq 3</t>
    <phoneticPr fontId="2"/>
  </si>
  <si>
    <t>\begin{array}{l}</t>
  </si>
  <si>
    <t>y\geqq -(x-a)+(b-3)\\</t>
  </si>
  <si>
    <t>y\geqq (x-a)+(b-3)\\</t>
  </si>
  <si>
    <t>y\leqq -(x-a)+(b+3)\\</t>
  </si>
  <si>
    <t>y\leqq (x-a)+(b+3)\\</t>
  </si>
  <si>
    <t>\end{array}</t>
  </si>
  <si>
    <t>(a\geqq x,\hspace{1mm} b\geqq y)\\</t>
  </si>
  <si>
    <t>(a&lt;x,\hspace{1mm} b\geqq y)\\</t>
  </si>
  <si>
    <t>(a&lt;x,\hspace{1mm} b&lt;y)\\</t>
  </si>
  <si>
    <t>(a\geqq x,\hspace{1mm} b&lt;y)\\</t>
  </si>
  <si>
    <t>|(x-a)+(y-b)|\leqq 3</t>
  </si>
  <si>
    <t>…(a)</t>
    <phoneticPr fontId="2"/>
  </si>
  <si>
    <t>…(b)</t>
    <phoneticPr fontId="2"/>
  </si>
  <si>
    <t>…(c)</t>
    <phoneticPr fontId="2"/>
  </si>
  <si>
    <t>…(d)</t>
    <phoneticPr fontId="2"/>
  </si>
  <si>
    <t>|(x-a)-(y-b)|\leqq 3</t>
    <phoneticPr fontId="2"/>
  </si>
  <si>
    <t>ABC184_C_SuperRyuma</t>
  </si>
  <si>
    <t>(自分の解法)</t>
    <rPh sb="1" eb="3">
      <t>ジブン</t>
    </rPh>
    <rPh sb="4" eb="6">
      <t>カイホウ</t>
    </rPh>
    <phoneticPr fontId="2"/>
  </si>
  <si>
    <t>●上記 １回、２回 以外の場所</t>
    <rPh sb="1" eb="3">
      <t>ジョウキ</t>
    </rPh>
    <rPh sb="5" eb="6">
      <t>カイ</t>
    </rPh>
    <rPh sb="8" eb="9">
      <t>カイ</t>
    </rPh>
    <rPh sb="10" eb="12">
      <t>イガイ</t>
    </rPh>
    <rPh sb="13" eb="15">
      <t>バショ</t>
    </rPh>
    <phoneticPr fontId="2"/>
  </si>
  <si>
    <t>は３回で動ける場所となる</t>
    <rPh sb="2" eb="3">
      <t>カイ</t>
    </rPh>
    <rPh sb="4" eb="5">
      <t>ウゴ</t>
    </rPh>
    <rPh sb="7" eb="9">
      <t>バショ</t>
    </rPh>
    <phoneticPr fontId="2"/>
  </si>
  <si>
    <t>(x, y)</t>
    <phoneticPr fontId="2"/>
  </si>
  <si>
    <t>①＋③    上記 (a), (c) の        の範囲制限なしの式になるため</t>
    <rPh sb="7" eb="9">
      <t>ジョウキ</t>
    </rPh>
    <rPh sb="29" eb="31">
      <t>ハンイ</t>
    </rPh>
    <rPh sb="31" eb="33">
      <t>セイゲン</t>
    </rPh>
    <rPh sb="36" eb="37">
      <t>シキ</t>
    </rPh>
    <phoneticPr fontId="2"/>
  </si>
  <si>
    <t>②＋③    上記 (b), (d) の        の範囲制限なしの式になるため</t>
    <rPh sb="7" eb="9">
      <t>ジョウキ</t>
    </rPh>
    <rPh sb="29" eb="31">
      <t>ハンイ</t>
    </rPh>
    <rPh sb="31" eb="33">
      <t>セイゲン</t>
    </rPh>
    <rPh sb="36" eb="37">
      <t>シキ</t>
    </rPh>
    <phoneticPr fontId="2"/>
  </si>
  <si>
    <t>(x-a)+(y-b)\equiv 0\hspace{2mm}(mod\hspace{1mm}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</si>
</sst>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aaa\)"/>
    <numFmt numFmtId="177" formatCode="yy/mm/dd\(aaa\)"/>
  </numFmts>
  <fonts count="38">
    <font>
      <sz val="11"/>
      <color theme="1"/>
      <name val="ＭＳ 明朝"/>
      <family val="2"/>
      <charset val="128"/>
    </font>
    <font>
      <sz val="11"/>
      <color theme="1"/>
      <name val="ＭＳ 明朝"/>
      <family val="1"/>
      <charset val="128"/>
    </font>
    <font>
      <sz val="6"/>
      <name val="ＭＳ 明朝"/>
      <family val="2"/>
      <charset val="128"/>
    </font>
    <font>
      <sz val="10"/>
      <color theme="1"/>
      <name val="ＭＳ 明朝"/>
      <family val="1"/>
      <charset val="128"/>
    </font>
    <font>
      <vertAlign val="superscript"/>
      <sz val="11"/>
      <color theme="1"/>
      <name val="ＭＳ 明朝"/>
      <family val="1"/>
      <charset val="128"/>
    </font>
    <font>
      <b/>
      <sz val="11"/>
      <color theme="0"/>
      <name val="ＭＳ 明朝"/>
      <family val="1"/>
      <charset val="128"/>
    </font>
    <font>
      <sz val="6"/>
      <name val="ＭＳ Ｐゴシック"/>
      <family val="2"/>
      <charset val="128"/>
      <scheme val="minor"/>
    </font>
    <font>
      <b/>
      <sz val="11"/>
      <color theme="1"/>
      <name val="ＭＳ 明朝"/>
      <family val="1"/>
      <charset val="128"/>
    </font>
    <font>
      <sz val="10"/>
      <color theme="1"/>
      <name val="ＭＳ 明朝"/>
      <family val="2"/>
      <charset val="128"/>
    </font>
    <font>
      <u/>
      <sz val="9"/>
      <color theme="10"/>
      <name val="Yu Gothic UI"/>
      <family val="3"/>
      <charset val="128"/>
    </font>
    <font>
      <sz val="10"/>
      <color theme="1"/>
      <name val="Meiryo UI"/>
      <family val="3"/>
      <charset val="128"/>
    </font>
    <font>
      <b/>
      <sz val="10"/>
      <color theme="1"/>
      <name val="Meiryo UI"/>
      <family val="3"/>
      <charset val="128"/>
    </font>
    <font>
      <sz val="9"/>
      <color theme="1"/>
      <name val="Meiryo UI"/>
      <family val="3"/>
      <charset val="128"/>
    </font>
    <font>
      <sz val="9"/>
      <color rgb="FFFF0000"/>
      <name val="Meiryo UI"/>
      <family val="3"/>
      <charset val="128"/>
    </font>
    <font>
      <sz val="10"/>
      <color rgb="FFFF0000"/>
      <name val="Meiryo UI"/>
      <family val="3"/>
      <charset val="128"/>
    </font>
    <font>
      <b/>
      <sz val="10"/>
      <color rgb="FF0000FF"/>
      <name val="Meiryo UI"/>
      <family val="3"/>
      <charset val="128"/>
    </font>
    <font>
      <b/>
      <sz val="10"/>
      <name val="Meiryo UI"/>
      <family val="3"/>
      <charset val="128"/>
    </font>
    <font>
      <sz val="9"/>
      <color rgb="FF0000FF"/>
      <name val="Meiryo UI"/>
      <family val="3"/>
      <charset val="128"/>
    </font>
    <font>
      <sz val="10"/>
      <color rgb="FF0000FF"/>
      <name val="Meiryo UI"/>
      <family val="3"/>
      <charset val="128"/>
    </font>
    <font>
      <sz val="10"/>
      <name val="Meiryo UI"/>
      <family val="3"/>
      <charset val="128"/>
    </font>
    <font>
      <sz val="11"/>
      <color theme="1"/>
      <name val="Meiryo UI"/>
      <family val="3"/>
      <charset val="128"/>
    </font>
    <font>
      <u/>
      <sz val="10"/>
      <color theme="10"/>
      <name val="Meiryo UI"/>
      <family val="3"/>
      <charset val="128"/>
    </font>
    <font>
      <b/>
      <sz val="10"/>
      <color theme="0"/>
      <name val="Meiryo UI"/>
      <family val="3"/>
      <charset val="128"/>
    </font>
    <font>
      <u/>
      <sz val="9"/>
      <color theme="10"/>
      <name val="Meiryo UI"/>
      <family val="3"/>
      <charset val="128"/>
    </font>
    <font>
      <vertAlign val="superscript"/>
      <sz val="10"/>
      <color theme="1"/>
      <name val="Meiryo UI"/>
      <family val="3"/>
      <charset val="128"/>
    </font>
    <font>
      <vertAlign val="subscript"/>
      <sz val="10"/>
      <color theme="1"/>
      <name val="Meiryo UI"/>
      <family val="3"/>
      <charset val="128"/>
    </font>
    <font>
      <sz val="9"/>
      <name val="Meiryo UI"/>
      <family val="3"/>
      <charset val="128"/>
    </font>
    <font>
      <sz val="9"/>
      <color rgb="FF000000"/>
      <name val="ＭＳ 明朝"/>
      <family val="1"/>
      <charset val="128"/>
    </font>
    <font>
      <sz val="12"/>
      <color theme="1"/>
      <name val="BKM-cmmi10"/>
      <family val="2"/>
      <charset val="2"/>
    </font>
    <font>
      <sz val="11.5"/>
      <color theme="1"/>
      <name val="HGS明朝B"/>
      <family val="1"/>
      <charset val="128"/>
    </font>
    <font>
      <vertAlign val="subscript"/>
      <sz val="11.5"/>
      <color theme="1"/>
      <name val="HGS明朝B"/>
      <family val="1"/>
      <charset val="128"/>
    </font>
    <font>
      <sz val="12.5"/>
      <color theme="1"/>
      <name val="Constantia"/>
      <family val="1"/>
    </font>
    <font>
      <b/>
      <sz val="9"/>
      <color rgb="FFFF0000"/>
      <name val="Meiryo UI"/>
      <family val="3"/>
      <charset val="128"/>
    </font>
    <font>
      <vertAlign val="subscript"/>
      <sz val="9"/>
      <color theme="1"/>
      <name val="Meiryo UI"/>
      <family val="3"/>
      <charset val="128"/>
    </font>
    <font>
      <sz val="9"/>
      <color theme="0"/>
      <name val="Meiryo UI"/>
      <family val="3"/>
      <charset val="128"/>
    </font>
    <font>
      <sz val="9"/>
      <color theme="5" tint="0.79998168889431442"/>
      <name val="Meiryo UI"/>
      <family val="3"/>
      <charset val="128"/>
    </font>
    <font>
      <b/>
      <vertAlign val="superscript"/>
      <sz val="10"/>
      <color theme="1"/>
      <name val="Meiryo UI"/>
      <family val="3"/>
      <charset val="128"/>
    </font>
    <font>
      <b/>
      <sz val="10"/>
      <color rgb="FFFF0000"/>
      <name val="Meiryo UI"/>
      <family val="3"/>
      <charset val="128"/>
    </font>
  </fonts>
  <fills count="11">
    <fill>
      <patternFill patternType="none"/>
    </fill>
    <fill>
      <patternFill patternType="gray125"/>
    </fill>
    <fill>
      <patternFill patternType="solid">
        <fgColor rgb="FF0099CC"/>
        <bgColor indexed="64"/>
      </patternFill>
    </fill>
    <fill>
      <patternFill patternType="solid">
        <fgColor theme="1"/>
        <bgColor indexed="64"/>
      </patternFill>
    </fill>
    <fill>
      <patternFill patternType="solid">
        <fgColor rgb="FFFFFFCC"/>
        <bgColor indexed="64"/>
      </patternFill>
    </fill>
    <fill>
      <patternFill patternType="solid">
        <fgColor rgb="FF003399"/>
        <bgColor indexed="64"/>
      </patternFill>
    </fill>
    <fill>
      <patternFill patternType="solid">
        <fgColor rgb="FFFFFF00"/>
        <bgColor indexed="64"/>
      </patternFill>
    </fill>
    <fill>
      <patternFill patternType="solid">
        <fgColor rgb="FFFFCCFF"/>
        <bgColor indexed="64"/>
      </patternFill>
    </fill>
    <fill>
      <patternFill patternType="solid">
        <fgColor rgb="FFCCFFFF"/>
        <bgColor indexed="64"/>
      </patternFill>
    </fill>
    <fill>
      <patternFill patternType="solid">
        <fgColor theme="5" tint="0.79998168889431442"/>
        <bgColor indexed="64"/>
      </patternFill>
    </fill>
    <fill>
      <patternFill patternType="solid">
        <fgColor rgb="FFFFFF99"/>
        <bgColor indexed="64"/>
      </patternFill>
    </fill>
  </fills>
  <borders count="14">
    <border>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alignment vertical="center"/>
    </xf>
    <xf numFmtId="0" fontId="9" fillId="0" borderId="0" applyNumberFormat="0" applyFill="0" applyBorder="0" applyAlignment="0" applyProtection="0">
      <alignment vertical="center"/>
    </xf>
  </cellStyleXfs>
  <cellXfs count="149">
    <xf numFmtId="0" fontId="0" fillId="0" borderId="0" xfId="0">
      <alignment vertical="center"/>
    </xf>
    <xf numFmtId="49" fontId="1" fillId="3" borderId="0" xfId="0" applyNumberFormat="1" applyFont="1" applyFill="1">
      <alignment vertical="center"/>
    </xf>
    <xf numFmtId="49" fontId="0" fillId="3" borderId="0" xfId="0" applyNumberFormat="1" applyFill="1">
      <alignment vertical="center"/>
    </xf>
    <xf numFmtId="49" fontId="1" fillId="0" borderId="0" xfId="0" applyNumberFormat="1" applyFont="1">
      <alignment vertical="center"/>
    </xf>
    <xf numFmtId="49" fontId="1" fillId="4" borderId="0" xfId="0" applyNumberFormat="1" applyFont="1" applyFill="1">
      <alignment vertical="center"/>
    </xf>
    <xf numFmtId="0" fontId="1" fillId="0" borderId="0" xfId="0" applyFont="1">
      <alignment vertical="center"/>
    </xf>
    <xf numFmtId="0" fontId="1" fillId="4" borderId="0" xfId="0" applyFont="1" applyFill="1">
      <alignment vertical="center"/>
    </xf>
    <xf numFmtId="0" fontId="5" fillId="5" borderId="1" xfId="0" applyFont="1" applyFill="1" applyBorder="1">
      <alignment vertical="center"/>
    </xf>
    <xf numFmtId="0" fontId="5" fillId="5" borderId="2" xfId="0" applyFont="1" applyFill="1" applyBorder="1">
      <alignment vertical="center"/>
    </xf>
    <xf numFmtId="0" fontId="0" fillId="0" borderId="2" xfId="0" applyBorder="1">
      <alignment vertical="center"/>
    </xf>
    <xf numFmtId="0" fontId="0" fillId="0" borderId="3" xfId="0" applyBorder="1">
      <alignment vertical="center"/>
    </xf>
    <xf numFmtId="0" fontId="0" fillId="0" borderId="7" xfId="0" applyBorder="1">
      <alignment vertical="center"/>
    </xf>
    <xf numFmtId="0" fontId="0" fillId="0" borderId="8" xfId="0" applyBorder="1">
      <alignment vertical="center"/>
    </xf>
    <xf numFmtId="0" fontId="0" fillId="6" borderId="7" xfId="0" applyFill="1" applyBorder="1">
      <alignment vertical="center"/>
    </xf>
    <xf numFmtId="0" fontId="0" fillId="6" borderId="0" xfId="0" applyFill="1">
      <alignment vertical="center"/>
    </xf>
    <xf numFmtId="0" fontId="0" fillId="6" borderId="8" xfId="0" applyFill="1" applyBorder="1">
      <alignment vertical="center"/>
    </xf>
    <xf numFmtId="0" fontId="0" fillId="7" borderId="0" xfId="0" applyFill="1">
      <alignment vertical="center"/>
    </xf>
    <xf numFmtId="0" fontId="0" fillId="7" borderId="8" xfId="0" applyFill="1" applyBorder="1">
      <alignment vertical="center"/>
    </xf>
    <xf numFmtId="0" fontId="0" fillId="0" borderId="9" xfId="0" applyBorder="1">
      <alignment vertical="center"/>
    </xf>
    <xf numFmtId="0" fontId="0" fillId="0" borderId="10" xfId="0" applyBorder="1">
      <alignment vertical="center"/>
    </xf>
    <xf numFmtId="0" fontId="0" fillId="0" borderId="11" xfId="0" applyBorder="1">
      <alignment vertical="center"/>
    </xf>
    <xf numFmtId="0" fontId="8" fillId="0" borderId="7" xfId="0" applyFont="1" applyBorder="1">
      <alignment vertical="center"/>
    </xf>
    <xf numFmtId="0" fontId="8" fillId="0" borderId="0" xfId="0" applyFont="1">
      <alignment vertical="center"/>
    </xf>
    <xf numFmtId="0" fontId="8" fillId="0" borderId="8" xfId="0" applyFont="1" applyBorder="1">
      <alignment vertical="center"/>
    </xf>
    <xf numFmtId="0" fontId="3" fillId="6" borderId="7" xfId="0" applyFont="1" applyFill="1" applyBorder="1">
      <alignment vertical="center"/>
    </xf>
    <xf numFmtId="0" fontId="3" fillId="6" borderId="0" xfId="0" applyFont="1" applyFill="1">
      <alignment vertical="center"/>
    </xf>
    <xf numFmtId="0" fontId="3" fillId="6" borderId="8" xfId="0" applyFont="1" applyFill="1" applyBorder="1">
      <alignment vertical="center"/>
    </xf>
    <xf numFmtId="0" fontId="3" fillId="7" borderId="0" xfId="0" applyFont="1" applyFill="1">
      <alignment vertical="center"/>
    </xf>
    <xf numFmtId="0" fontId="3" fillId="7" borderId="8" xfId="0" applyFont="1" applyFill="1" applyBorder="1">
      <alignment vertical="center"/>
    </xf>
    <xf numFmtId="0" fontId="3" fillId="0" borderId="9" xfId="0" applyFont="1" applyBorder="1">
      <alignment vertical="center"/>
    </xf>
    <xf numFmtId="0" fontId="3" fillId="0" borderId="10" xfId="0" applyFont="1" applyBorder="1">
      <alignment vertical="center"/>
    </xf>
    <xf numFmtId="0" fontId="3" fillId="0" borderId="11" xfId="0" applyFont="1" applyBorder="1">
      <alignment vertical="center"/>
    </xf>
    <xf numFmtId="0" fontId="0" fillId="8" borderId="0" xfId="0" applyFill="1">
      <alignment vertical="center"/>
    </xf>
    <xf numFmtId="0" fontId="0" fillId="8" borderId="8" xfId="0" applyFill="1" applyBorder="1">
      <alignment vertical="center"/>
    </xf>
    <xf numFmtId="0" fontId="9" fillId="0" borderId="0" xfId="1">
      <alignment vertical="center"/>
    </xf>
    <xf numFmtId="49" fontId="9" fillId="0" borderId="0" xfId="1" applyNumberFormat="1">
      <alignment vertical="center"/>
    </xf>
    <xf numFmtId="0" fontId="23" fillId="0" borderId="7" xfId="1" quotePrefix="1" applyFont="1" applyBorder="1" applyAlignment="1">
      <alignment vertical="center"/>
    </xf>
    <xf numFmtId="0" fontId="23" fillId="0" borderId="0" xfId="1" quotePrefix="1" applyFont="1" applyBorder="1" applyAlignment="1">
      <alignment vertical="center"/>
    </xf>
    <xf numFmtId="0" fontId="23" fillId="0" borderId="8" xfId="1" quotePrefix="1" applyFont="1" applyBorder="1" applyAlignment="1">
      <alignment vertical="center"/>
    </xf>
    <xf numFmtId="0" fontId="20" fillId="0" borderId="0" xfId="0" applyFont="1">
      <alignment vertical="center"/>
    </xf>
    <xf numFmtId="0" fontId="20" fillId="0" borderId="8" xfId="0" applyFont="1" applyBorder="1">
      <alignment vertical="center"/>
    </xf>
    <xf numFmtId="49" fontId="10" fillId="0" borderId="0" xfId="0" applyNumberFormat="1" applyFont="1">
      <alignment vertical="center"/>
    </xf>
    <xf numFmtId="49" fontId="10" fillId="0" borderId="0" xfId="0" applyNumberFormat="1" applyFont="1" applyAlignment="1">
      <alignment horizontal="center" vertical="center"/>
    </xf>
    <xf numFmtId="0" fontId="10" fillId="2" borderId="5" xfId="0" applyFont="1" applyFill="1" applyBorder="1" applyAlignment="1">
      <alignment horizontal="center" vertical="center"/>
    </xf>
    <xf numFmtId="0" fontId="10" fillId="2" borderId="5" xfId="0" applyFont="1" applyFill="1" applyBorder="1">
      <alignment vertical="center"/>
    </xf>
    <xf numFmtId="0" fontId="10" fillId="2" borderId="7" xfId="0" applyFont="1" applyFill="1" applyBorder="1">
      <alignment vertical="center"/>
    </xf>
    <xf numFmtId="0" fontId="10" fillId="2" borderId="0" xfId="0" applyFont="1" applyFill="1">
      <alignment vertical="center"/>
    </xf>
    <xf numFmtId="0" fontId="10" fillId="2" borderId="8" xfId="0" applyFont="1" applyFill="1" applyBorder="1">
      <alignment vertical="center"/>
    </xf>
    <xf numFmtId="49" fontId="10" fillId="2" borderId="7" xfId="0" applyNumberFormat="1" applyFont="1" applyFill="1" applyBorder="1">
      <alignment vertical="center"/>
    </xf>
    <xf numFmtId="49" fontId="10" fillId="2" borderId="0" xfId="0" applyNumberFormat="1" applyFont="1" applyFill="1">
      <alignment vertical="center"/>
    </xf>
    <xf numFmtId="49" fontId="10" fillId="2" borderId="8" xfId="0" applyNumberFormat="1" applyFont="1" applyFill="1" applyBorder="1">
      <alignment vertical="center"/>
    </xf>
    <xf numFmtId="0" fontId="10" fillId="0" borderId="0" xfId="0" applyFont="1">
      <alignment vertical="center"/>
    </xf>
    <xf numFmtId="0" fontId="10" fillId="0" borderId="5" xfId="0" applyFont="1" applyBorder="1" applyAlignment="1">
      <alignment horizontal="center" vertical="center"/>
    </xf>
    <xf numFmtId="0" fontId="10" fillId="0" borderId="5" xfId="0" applyFont="1" applyBorder="1">
      <alignment vertical="center"/>
    </xf>
    <xf numFmtId="0" fontId="10" fillId="0" borderId="5" xfId="0" applyFont="1" applyBorder="1" applyAlignment="1">
      <alignment vertical="center" wrapText="1"/>
    </xf>
    <xf numFmtId="0" fontId="10" fillId="0" borderId="7" xfId="0" applyFont="1" applyBorder="1">
      <alignment vertical="center"/>
    </xf>
    <xf numFmtId="0" fontId="10" fillId="0" borderId="8" xfId="0" applyFont="1" applyBorder="1">
      <alignment vertical="center"/>
    </xf>
    <xf numFmtId="0" fontId="21" fillId="0" borderId="5" xfId="1" applyFont="1" applyFill="1" applyBorder="1" applyAlignment="1">
      <alignment vertical="center" wrapText="1"/>
    </xf>
    <xf numFmtId="0" fontId="22" fillId="0" borderId="0" xfId="0" applyFont="1">
      <alignment vertical="center"/>
    </xf>
    <xf numFmtId="0" fontId="23" fillId="0" borderId="7" xfId="1" applyFont="1" applyFill="1" applyBorder="1" applyAlignment="1">
      <alignment vertical="center"/>
    </xf>
    <xf numFmtId="0" fontId="23" fillId="0" borderId="0" xfId="1" applyFont="1" applyFill="1" applyBorder="1" applyAlignment="1">
      <alignment vertical="center"/>
    </xf>
    <xf numFmtId="0" fontId="23" fillId="0" borderId="8" xfId="1" applyFont="1" applyFill="1" applyBorder="1" applyAlignment="1">
      <alignment vertical="center"/>
    </xf>
    <xf numFmtId="49" fontId="10" fillId="0" borderId="5" xfId="0" applyNumberFormat="1" applyFont="1" applyBorder="1" applyAlignment="1">
      <alignment vertical="center" wrapText="1"/>
    </xf>
    <xf numFmtId="49" fontId="10" fillId="0" borderId="5" xfId="0" applyNumberFormat="1" applyFont="1" applyBorder="1" applyAlignment="1">
      <alignment horizontal="center" vertical="center"/>
    </xf>
    <xf numFmtId="49" fontId="10" fillId="0" borderId="5" xfId="0" applyNumberFormat="1" applyFont="1" applyBorder="1">
      <alignment vertical="center"/>
    </xf>
    <xf numFmtId="49" fontId="10" fillId="0" borderId="7" xfId="0" applyNumberFormat="1" applyFont="1" applyBorder="1">
      <alignment vertical="center"/>
    </xf>
    <xf numFmtId="49" fontId="10" fillId="0" borderId="8" xfId="0" applyNumberFormat="1" applyFont="1" applyBorder="1">
      <alignment vertical="center"/>
    </xf>
    <xf numFmtId="49" fontId="21" fillId="0" borderId="5" xfId="1" applyNumberFormat="1" applyFont="1" applyFill="1" applyBorder="1" applyAlignment="1">
      <alignment vertical="center" wrapText="1"/>
    </xf>
    <xf numFmtId="49" fontId="23" fillId="0" borderId="7" xfId="1" applyNumberFormat="1" applyFont="1" applyFill="1" applyBorder="1" applyAlignment="1">
      <alignment vertical="center"/>
    </xf>
    <xf numFmtId="49" fontId="23" fillId="0" borderId="0" xfId="1" applyNumberFormat="1" applyFont="1" applyFill="1" applyBorder="1" applyAlignment="1">
      <alignment vertical="center"/>
    </xf>
    <xf numFmtId="49" fontId="19" fillId="0" borderId="0" xfId="1" applyNumberFormat="1" applyFont="1" applyFill="1" applyBorder="1" applyAlignment="1">
      <alignment vertical="center"/>
    </xf>
    <xf numFmtId="49" fontId="23" fillId="0" borderId="8" xfId="1" applyNumberFormat="1" applyFont="1" applyFill="1" applyBorder="1" applyAlignment="1">
      <alignment vertical="center"/>
    </xf>
    <xf numFmtId="0" fontId="10" fillId="0" borderId="6" xfId="0" applyFont="1" applyBorder="1" applyAlignment="1">
      <alignment horizontal="center" vertical="center"/>
    </xf>
    <xf numFmtId="0" fontId="10" fillId="0" borderId="6" xfId="0" applyFont="1" applyBorder="1">
      <alignment vertical="center"/>
    </xf>
    <xf numFmtId="0" fontId="10" fillId="0" borderId="9" xfId="0" applyFont="1" applyBorder="1">
      <alignment vertical="center"/>
    </xf>
    <xf numFmtId="0" fontId="10" fillId="0" borderId="10" xfId="0" applyFont="1" applyBorder="1">
      <alignment vertical="center"/>
    </xf>
    <xf numFmtId="0" fontId="10" fillId="0" borderId="11" xfId="0" applyFont="1" applyBorder="1">
      <alignment vertical="center"/>
    </xf>
    <xf numFmtId="0" fontId="10" fillId="0" borderId="6" xfId="0" applyFont="1" applyBorder="1" applyAlignment="1">
      <alignment vertical="center" wrapText="1"/>
    </xf>
    <xf numFmtId="0" fontId="10" fillId="0" borderId="0" xfId="0" applyFont="1" applyAlignment="1">
      <alignment horizontal="center" vertical="center"/>
    </xf>
    <xf numFmtId="49" fontId="11" fillId="0" borderId="7" xfId="0" applyNumberFormat="1" applyFont="1" applyBorder="1">
      <alignment vertical="center"/>
    </xf>
    <xf numFmtId="49" fontId="12" fillId="0" borderId="7" xfId="0" applyNumberFormat="1" applyFont="1" applyBorder="1">
      <alignment vertical="center"/>
    </xf>
    <xf numFmtId="0" fontId="26" fillId="0" borderId="7" xfId="1" applyFont="1" applyFill="1" applyBorder="1" applyAlignment="1">
      <alignment vertical="center"/>
    </xf>
    <xf numFmtId="0" fontId="9" fillId="0" borderId="7" xfId="1" applyFill="1" applyBorder="1" applyAlignment="1">
      <alignment vertical="center"/>
    </xf>
    <xf numFmtId="49" fontId="29" fillId="0" borderId="0" xfId="0" applyNumberFormat="1" applyFont="1">
      <alignment vertical="center"/>
    </xf>
    <xf numFmtId="0" fontId="19" fillId="0" borderId="7" xfId="0" applyFont="1" applyBorder="1">
      <alignment vertical="center"/>
    </xf>
    <xf numFmtId="0" fontId="19" fillId="0" borderId="0" xfId="0" applyFont="1">
      <alignment vertical="center"/>
    </xf>
    <xf numFmtId="0" fontId="19" fillId="0" borderId="8" xfId="0" applyFont="1" applyBorder="1">
      <alignment vertical="center"/>
    </xf>
    <xf numFmtId="0" fontId="10" fillId="10" borderId="7" xfId="0" applyFont="1" applyFill="1" applyBorder="1">
      <alignment vertical="center"/>
    </xf>
    <xf numFmtId="0" fontId="10" fillId="10" borderId="0" xfId="0" applyFont="1" applyFill="1">
      <alignment vertical="center"/>
    </xf>
    <xf numFmtId="0" fontId="10" fillId="10" borderId="8" xfId="0" applyFont="1" applyFill="1" applyBorder="1">
      <alignment vertical="center"/>
    </xf>
    <xf numFmtId="0" fontId="9" fillId="0" borderId="7" xfId="1" quotePrefix="1" applyBorder="1" applyAlignment="1">
      <alignment vertical="center"/>
    </xf>
    <xf numFmtId="49" fontId="20" fillId="0" borderId="0" xfId="0" applyNumberFormat="1" applyFont="1">
      <alignment vertical="center"/>
    </xf>
    <xf numFmtId="0" fontId="20" fillId="0" borderId="5" xfId="0" applyFont="1" applyBorder="1">
      <alignment vertical="center"/>
    </xf>
    <xf numFmtId="49" fontId="12" fillId="0" borderId="0" xfId="0" applyNumberFormat="1" applyFont="1">
      <alignment vertical="center"/>
    </xf>
    <xf numFmtId="0" fontId="20" fillId="0" borderId="5" xfId="0" applyFont="1" applyBorder="1" applyAlignment="1">
      <alignment horizontal="center" vertical="center"/>
    </xf>
    <xf numFmtId="176" fontId="20" fillId="0" borderId="5" xfId="0" applyNumberFormat="1" applyFont="1" applyBorder="1">
      <alignment vertical="center"/>
    </xf>
    <xf numFmtId="176" fontId="12" fillId="0" borderId="0" xfId="0" applyNumberFormat="1" applyFont="1">
      <alignment vertical="center"/>
    </xf>
    <xf numFmtId="49" fontId="12" fillId="0" borderId="0" xfId="0" applyNumberFormat="1" applyFont="1" applyAlignment="1">
      <alignment horizontal="center" vertical="center"/>
    </xf>
    <xf numFmtId="176" fontId="12" fillId="2" borderId="5" xfId="0" applyNumberFormat="1" applyFont="1" applyFill="1" applyBorder="1">
      <alignment vertical="center"/>
    </xf>
    <xf numFmtId="0" fontId="12" fillId="2" borderId="5" xfId="0" applyFont="1" applyFill="1" applyBorder="1" applyAlignment="1">
      <alignment horizontal="center" vertical="center"/>
    </xf>
    <xf numFmtId="9" fontId="12" fillId="0" borderId="5" xfId="0" applyNumberFormat="1" applyFont="1" applyBorder="1" applyAlignment="1">
      <alignment horizontal="center" vertical="center"/>
    </xf>
    <xf numFmtId="9" fontId="34" fillId="0" borderId="5" xfId="0" applyNumberFormat="1" applyFont="1" applyBorder="1" applyAlignment="1">
      <alignment horizontal="center" vertical="center"/>
    </xf>
    <xf numFmtId="9" fontId="35" fillId="0" borderId="5" xfId="0" applyNumberFormat="1" applyFont="1" applyBorder="1" applyAlignment="1">
      <alignment horizontal="center" vertical="center"/>
    </xf>
    <xf numFmtId="9" fontId="26" fillId="0" borderId="5" xfId="0" applyNumberFormat="1" applyFont="1" applyBorder="1" applyAlignment="1">
      <alignment horizontal="center" vertical="center"/>
    </xf>
    <xf numFmtId="9" fontId="12" fillId="0" borderId="6" xfId="0" applyNumberFormat="1" applyFont="1" applyBorder="1" applyAlignment="1">
      <alignment horizontal="center" vertical="center"/>
    </xf>
    <xf numFmtId="0" fontId="12" fillId="0" borderId="0" xfId="0" applyFont="1" applyAlignment="1">
      <alignment horizontal="center" vertical="center"/>
    </xf>
    <xf numFmtId="177" fontId="12" fillId="0" borderId="5" xfId="0" applyNumberFormat="1" applyFont="1" applyBorder="1">
      <alignment vertical="center"/>
    </xf>
    <xf numFmtId="177" fontId="12" fillId="0" borderId="6" xfId="0" applyNumberFormat="1" applyFont="1" applyBorder="1">
      <alignment vertical="center"/>
    </xf>
    <xf numFmtId="177" fontId="35" fillId="0" borderId="5" xfId="0" applyNumberFormat="1" applyFont="1" applyBorder="1">
      <alignment vertical="center"/>
    </xf>
    <xf numFmtId="0" fontId="11" fillId="0" borderId="0" xfId="0" applyFont="1" applyAlignment="1">
      <alignment vertical="center" textRotation="180"/>
    </xf>
    <xf numFmtId="0" fontId="9" fillId="0" borderId="0" xfId="1" applyFill="1" applyBorder="1" applyAlignment="1">
      <alignment vertical="center"/>
    </xf>
    <xf numFmtId="9" fontId="35" fillId="9" borderId="5" xfId="0" applyNumberFormat="1" applyFont="1" applyFill="1" applyBorder="1" applyAlignment="1">
      <alignment horizontal="center" vertical="center"/>
    </xf>
    <xf numFmtId="0" fontId="14" fillId="0" borderId="7" xfId="0" applyFont="1" applyBorder="1">
      <alignment vertical="center"/>
    </xf>
    <xf numFmtId="0" fontId="10" fillId="9" borderId="5" xfId="0" applyFont="1" applyFill="1" applyBorder="1" applyAlignment="1">
      <alignment horizontal="center" vertical="center"/>
    </xf>
    <xf numFmtId="0" fontId="10" fillId="9" borderId="5" xfId="0" applyFont="1" applyFill="1" applyBorder="1">
      <alignment vertical="center"/>
    </xf>
    <xf numFmtId="0" fontId="14" fillId="9" borderId="5" xfId="0" applyFont="1" applyFill="1" applyBorder="1" applyAlignment="1">
      <alignment vertical="center" wrapText="1"/>
    </xf>
    <xf numFmtId="177" fontId="13" fillId="9" borderId="5" xfId="0" applyNumberFormat="1" applyFont="1" applyFill="1" applyBorder="1">
      <alignment vertical="center"/>
    </xf>
    <xf numFmtId="9" fontId="12" fillId="9" borderId="5" xfId="0" applyNumberFormat="1" applyFont="1" applyFill="1" applyBorder="1" applyAlignment="1">
      <alignment horizontal="center" vertical="center"/>
    </xf>
    <xf numFmtId="177" fontId="12" fillId="9" borderId="5" xfId="0" applyNumberFormat="1" applyFont="1" applyFill="1" applyBorder="1">
      <alignment vertical="center"/>
    </xf>
    <xf numFmtId="0" fontId="10" fillId="9" borderId="5" xfId="0" applyFont="1" applyFill="1" applyBorder="1" applyAlignment="1">
      <alignment vertical="center" wrapText="1"/>
    </xf>
    <xf numFmtId="177" fontId="35" fillId="9" borderId="5" xfId="0" applyNumberFormat="1" applyFont="1" applyFill="1" applyBorder="1">
      <alignment vertical="center"/>
    </xf>
    <xf numFmtId="49" fontId="10" fillId="9" borderId="5" xfId="0" applyNumberFormat="1" applyFont="1" applyFill="1" applyBorder="1" applyAlignment="1">
      <alignment horizontal="center" vertical="center"/>
    </xf>
    <xf numFmtId="49" fontId="10" fillId="9" borderId="5" xfId="0" applyNumberFormat="1" applyFont="1" applyFill="1" applyBorder="1">
      <alignment vertical="center"/>
    </xf>
    <xf numFmtId="49" fontId="10" fillId="9" borderId="5" xfId="0" applyNumberFormat="1" applyFont="1" applyFill="1" applyBorder="1" applyAlignment="1">
      <alignment vertical="center" wrapText="1"/>
    </xf>
    <xf numFmtId="0" fontId="10" fillId="7" borderId="0" xfId="0" applyFont="1" applyFill="1">
      <alignment vertical="center"/>
    </xf>
    <xf numFmtId="0" fontId="10" fillId="7" borderId="8" xfId="0" applyFont="1" applyFill="1" applyBorder="1">
      <alignment vertical="center"/>
    </xf>
    <xf numFmtId="0" fontId="18" fillId="0" borderId="7" xfId="0" applyFont="1" applyBorder="1">
      <alignment vertical="center"/>
    </xf>
    <xf numFmtId="0" fontId="16" fillId="0" borderId="7" xfId="0" applyFont="1" applyBorder="1">
      <alignment vertical="center"/>
    </xf>
    <xf numFmtId="0" fontId="18" fillId="0" borderId="0" xfId="0" applyFont="1">
      <alignment vertical="center"/>
    </xf>
    <xf numFmtId="49" fontId="10" fillId="0" borderId="0" xfId="0" applyNumberFormat="1" applyFont="1">
      <alignment vertical="center"/>
    </xf>
    <xf numFmtId="0" fontId="0" fillId="0" borderId="0" xfId="0">
      <alignment vertical="center"/>
    </xf>
    <xf numFmtId="49" fontId="20" fillId="0" borderId="4" xfId="0" applyNumberFormat="1" applyFont="1" applyBorder="1">
      <alignment vertical="center"/>
    </xf>
    <xf numFmtId="0" fontId="20" fillId="0" borderId="5" xfId="0" applyFont="1" applyBorder="1">
      <alignment vertical="center"/>
    </xf>
    <xf numFmtId="49" fontId="20" fillId="0" borderId="1" xfId="0" applyNumberFormat="1" applyFont="1" applyBorder="1">
      <alignment vertical="center"/>
    </xf>
    <xf numFmtId="0" fontId="20" fillId="0" borderId="2" xfId="0" applyFont="1" applyBorder="1">
      <alignment vertical="center"/>
    </xf>
    <xf numFmtId="49" fontId="20" fillId="0" borderId="4" xfId="0" applyNumberFormat="1" applyFont="1" applyBorder="1" applyAlignment="1">
      <alignment horizontal="center" vertical="center"/>
    </xf>
    <xf numFmtId="0" fontId="20" fillId="0" borderId="5" xfId="0" applyFont="1" applyBorder="1" applyAlignment="1">
      <alignment horizontal="center" vertical="center"/>
    </xf>
    <xf numFmtId="49" fontId="10" fillId="0" borderId="4" xfId="0" applyNumberFormat="1" applyFont="1" applyBorder="1" applyAlignment="1">
      <alignment horizontal="center" vertical="center" wrapText="1"/>
    </xf>
    <xf numFmtId="0" fontId="10" fillId="0" borderId="5" xfId="0" applyFont="1" applyBorder="1" applyAlignment="1">
      <alignment horizontal="center" vertical="center"/>
    </xf>
    <xf numFmtId="49" fontId="20" fillId="0" borderId="2" xfId="0" applyNumberFormat="1" applyFont="1" applyBorder="1">
      <alignment vertical="center"/>
    </xf>
    <xf numFmtId="0" fontId="20" fillId="0" borderId="3" xfId="0" applyFont="1" applyBorder="1">
      <alignment vertical="center"/>
    </xf>
    <xf numFmtId="0" fontId="20" fillId="0" borderId="7" xfId="0" applyFont="1" applyBorder="1">
      <alignment vertical="center"/>
    </xf>
    <xf numFmtId="0" fontId="20" fillId="0" borderId="0" xfId="0" applyFont="1">
      <alignment vertical="center"/>
    </xf>
    <xf numFmtId="0" fontId="20" fillId="0" borderId="8" xfId="0" applyFont="1" applyBorder="1">
      <alignment vertical="center"/>
    </xf>
    <xf numFmtId="0" fontId="0" fillId="0" borderId="2" xfId="0" applyBorder="1">
      <alignment vertical="center"/>
    </xf>
    <xf numFmtId="0" fontId="0" fillId="0" borderId="3" xfId="0" applyBorder="1">
      <alignment vertical="center"/>
    </xf>
    <xf numFmtId="0" fontId="0" fillId="0" borderId="8" xfId="0" applyBorder="1">
      <alignment vertical="center"/>
    </xf>
    <xf numFmtId="176" fontId="20" fillId="0" borderId="12" xfId="0" applyNumberFormat="1" applyFont="1" applyBorder="1" applyAlignment="1">
      <alignment horizontal="center" vertical="center" wrapText="1"/>
    </xf>
    <xf numFmtId="0" fontId="0" fillId="0" borderId="13" xfId="0" applyBorder="1" applyAlignment="1">
      <alignment horizontal="center" vertical="center" wrapText="1"/>
    </xf>
  </cellXfs>
  <cellStyles count="2">
    <cellStyle name="ハイパーリンク" xfId="1" builtinId="8" customBuiltin="1"/>
    <cellStyle name="標準" xfId="0" builtinId="0"/>
  </cellStyles>
  <dxfs count="14">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s>
  <tableStyles count="0" defaultTableStyle="TableStyleMedium2" defaultPivotStyle="PivotStyleLight16"/>
  <colors>
    <mruColors>
      <color rgb="FF0000FF"/>
      <color rgb="FFFFCCFF"/>
      <color rgb="FFFFFF99"/>
      <color rgb="FFFFFFCC"/>
      <color rgb="FF0099CC"/>
      <color rgb="FFFFFF00"/>
      <color rgb="FF66FFFF"/>
      <color rgb="FFCCFFFF"/>
      <color rgb="FF003399"/>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10</xdr:col>
      <xdr:colOff>40481</xdr:colOff>
      <xdr:row>472</xdr:row>
      <xdr:rowOff>33337</xdr:rowOff>
    </xdr:from>
    <xdr:to>
      <xdr:col>17</xdr:col>
      <xdr:colOff>38100</xdr:colOff>
      <xdr:row>472</xdr:row>
      <xdr:rowOff>142875</xdr:rowOff>
    </xdr:to>
    <xdr:pic>
      <xdr:nvPicPr>
        <xdr:cNvPr id="10" name="図 9" descr="[res=400]{&#10;\[&#10;&#10;&#10;A\cup B=A+B-A\cap B&#10;&#10;\]&#10;&#10;}&#10;">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088981" y="48267937"/>
          <a:ext cx="1397794" cy="1095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12</xdr:col>
      <xdr:colOff>38100</xdr:colOff>
      <xdr:row>474</xdr:row>
      <xdr:rowOff>57150</xdr:rowOff>
    </xdr:from>
    <xdr:ext cx="1278731" cy="123825"/>
    <xdr:pic>
      <xdr:nvPicPr>
        <xdr:cNvPr id="12" name="図 11" descr="[res=400]{&#10;\[&#10;&#10;&#10;=U-\overline{A}-\overline{B}+\overline{A\cup B}&#10;&#10;&#10;&#10;\]&#10;&#10;}&#10;">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486650" y="48653700"/>
          <a:ext cx="1278731" cy="1238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10</xdr:col>
      <xdr:colOff>38100</xdr:colOff>
      <xdr:row>473</xdr:row>
      <xdr:rowOff>35719</xdr:rowOff>
    </xdr:from>
    <xdr:to>
      <xdr:col>22</xdr:col>
      <xdr:colOff>133351</xdr:colOff>
      <xdr:row>474</xdr:row>
      <xdr:rowOff>1</xdr:rowOff>
    </xdr:to>
    <xdr:pic>
      <xdr:nvPicPr>
        <xdr:cNvPr id="16" name="図 15" descr="[res=400]{&#10;\[&#10;&#10;&#10;A\cup B=(U-\overline{A})+(U-\overline{B})-(U-\overline{A\cup B})&#10;&#10;&#10;\]&#10;&#10;}&#10;">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86600" y="48451294"/>
          <a:ext cx="2495550" cy="14525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2428875</xdr:colOff>
          <xdr:row>2</xdr:row>
          <xdr:rowOff>9525</xdr:rowOff>
        </xdr:from>
        <xdr:to>
          <xdr:col>6</xdr:col>
          <xdr:colOff>0</xdr:colOff>
          <xdr:row>3</xdr:row>
          <xdr:rowOff>0</xdr:rowOff>
        </xdr:to>
        <xdr:sp macro="" textlink="">
          <xdr:nvSpPr>
            <xdr:cNvPr id="1151" name="Button 127" descr="新規行作成i &#10;"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twoCellAnchor>
    <xdr:from>
      <xdr:col>27</xdr:col>
      <xdr:colOff>24847</xdr:colOff>
      <xdr:row>441</xdr:row>
      <xdr:rowOff>0</xdr:rowOff>
    </xdr:from>
    <xdr:to>
      <xdr:col>27</xdr:col>
      <xdr:colOff>132847</xdr:colOff>
      <xdr:row>445</xdr:row>
      <xdr:rowOff>0</xdr:rowOff>
    </xdr:to>
    <xdr:sp macro="" textlink="">
      <xdr:nvSpPr>
        <xdr:cNvPr id="2" name="右中かっこ 1">
          <a:extLst>
            <a:ext uri="{FF2B5EF4-FFF2-40B4-BE49-F238E27FC236}">
              <a16:creationId xmlns:a16="http://schemas.microsoft.com/office/drawing/2014/main" id="{00000000-0008-0000-0000-000002000000}"/>
            </a:ext>
          </a:extLst>
        </xdr:cNvPr>
        <xdr:cNvSpPr/>
      </xdr:nvSpPr>
      <xdr:spPr>
        <a:xfrm>
          <a:off x="10088217" y="73723500"/>
          <a:ext cx="108000" cy="72887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kumimoji="1" lang="ja-JP" altLang="en-US" sz="1100"/>
        </a:p>
      </xdr:txBody>
    </xdr:sp>
    <xdr:clientData/>
  </xdr:twoCellAnchor>
  <xdr:twoCellAnchor editAs="oneCell">
    <xdr:from>
      <xdr:col>11</xdr:col>
      <xdr:colOff>8282</xdr:colOff>
      <xdr:row>651</xdr:row>
      <xdr:rowOff>8284</xdr:rowOff>
    </xdr:from>
    <xdr:to>
      <xdr:col>25</xdr:col>
      <xdr:colOff>106639</xdr:colOff>
      <xdr:row>653</xdr:row>
      <xdr:rowOff>27231</xdr:rowOff>
    </xdr:to>
    <xdr:pic>
      <xdr:nvPicPr>
        <xdr:cNvPr id="7" name="図 6" descr="[res=400]{%5C%5B%20%20%20%20%7B%7D%5F%6E%43%5F%32%3D%5C%66%72%61%63%7B%31%7D%7B%5C%20%32%5C%20%7D%6E%28%6E%2D%31%29%3D%5C%73%75%6D%5F%7B%6B%3D%31%7D%5E%7B%6E%2D%31%7D%6B%3D%31%2B%32%2B%5C%63%64%6F%74%73%2B%28%6E%2D%31%29%20%20%5C%5D%20}&#10;">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315739" y="109355284"/>
          <a:ext cx="2881313" cy="3833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49697</xdr:colOff>
      <xdr:row>650</xdr:row>
      <xdr:rowOff>41415</xdr:rowOff>
    </xdr:from>
    <xdr:to>
      <xdr:col>12</xdr:col>
      <xdr:colOff>62846</xdr:colOff>
      <xdr:row>650</xdr:row>
      <xdr:rowOff>155715</xdr:rowOff>
    </xdr:to>
    <xdr:pic>
      <xdr:nvPicPr>
        <xdr:cNvPr id="8" name="図 7" descr="[res=400]{%5C%5B%20%20%20%20%7B%7D%5F%6E%43%5F%32%20%20%5C%5D%20}&#10;">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8357154"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74545</xdr:colOff>
      <xdr:row>650</xdr:row>
      <xdr:rowOff>41415</xdr:rowOff>
    </xdr:from>
    <xdr:to>
      <xdr:col>19</xdr:col>
      <xdr:colOff>87693</xdr:colOff>
      <xdr:row>650</xdr:row>
      <xdr:rowOff>155715</xdr:rowOff>
    </xdr:to>
    <xdr:pic>
      <xdr:nvPicPr>
        <xdr:cNvPr id="9" name="図 8" descr="[res=400]{%5C%5B%20%20%20%20%7B%7D%5F%6E%43%5F%32%20%20%5C%5D%20}&#10;">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9773480" y="109206198"/>
          <a:ext cx="211931"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24848</xdr:colOff>
      <xdr:row>510</xdr:row>
      <xdr:rowOff>24849</xdr:rowOff>
    </xdr:from>
    <xdr:to>
      <xdr:col>16</xdr:col>
      <xdr:colOff>141260</xdr:colOff>
      <xdr:row>510</xdr:row>
      <xdr:rowOff>170582</xdr:rowOff>
    </xdr:to>
    <xdr:pic>
      <xdr:nvPicPr>
        <xdr:cNvPr id="18" name="図 17" descr="[res=400]{%5C%5B%20%20%20%61%2B%62%3D%78%2B%79%20%20%20%20%5C%5D%20}&#10;">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8398565" y="93982762"/>
          <a:ext cx="911543" cy="1457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74544</xdr:colOff>
      <xdr:row>510</xdr:row>
      <xdr:rowOff>24849</xdr:rowOff>
    </xdr:from>
    <xdr:to>
      <xdr:col>26</xdr:col>
      <xdr:colOff>44851</xdr:colOff>
      <xdr:row>511</xdr:row>
      <xdr:rowOff>2652</xdr:rowOff>
    </xdr:to>
    <xdr:pic>
      <xdr:nvPicPr>
        <xdr:cNvPr id="19" name="図 18" descr="[res=400]{%5C%5B%20%20%20%79%3D%2D%28%78%2D%61%29%2B%62%20%20%20%20%5C%5D%20}&#10;">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10038522" y="93982762"/>
          <a:ext cx="11630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24848</xdr:colOff>
      <xdr:row>511</xdr:row>
      <xdr:rowOff>24850</xdr:rowOff>
    </xdr:from>
    <xdr:to>
      <xdr:col>16</xdr:col>
      <xdr:colOff>141260</xdr:colOff>
      <xdr:row>511</xdr:row>
      <xdr:rowOff>170583</xdr:rowOff>
    </xdr:to>
    <xdr:pic>
      <xdr:nvPicPr>
        <xdr:cNvPr id="20" name="図 19" descr="[res=400]{%5C%5B%20%20%20%61%2D%62%3D%78%2D%79%20%20%20%5C%5D%20}&#10;">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8398565" y="94164980"/>
          <a:ext cx="911543" cy="1457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74543</xdr:colOff>
      <xdr:row>511</xdr:row>
      <xdr:rowOff>24849</xdr:rowOff>
    </xdr:from>
    <xdr:to>
      <xdr:col>25</xdr:col>
      <xdr:colOff>120760</xdr:colOff>
      <xdr:row>512</xdr:row>
      <xdr:rowOff>2651</xdr:rowOff>
    </xdr:to>
    <xdr:pic>
      <xdr:nvPicPr>
        <xdr:cNvPr id="21" name="図 20" descr="[res=400]{%5C%5B%20%20%20%79%3D%28%78%2D%61%29%2B%62%20%20%20%5C%5D%20}&#10;">
          <a:extLst>
            <a:ext uri="{FF2B5EF4-FFF2-40B4-BE49-F238E27FC236}">
              <a16:creationId xmlns:a16="http://schemas.microsoft.com/office/drawing/2014/main" id="{00000000-0008-0000-0000-000015000000}"/>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10038521" y="94164979"/>
          <a:ext cx="104013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24848</xdr:colOff>
      <xdr:row>512</xdr:row>
      <xdr:rowOff>16566</xdr:rowOff>
    </xdr:from>
    <xdr:to>
      <xdr:col>18</xdr:col>
      <xdr:colOff>180892</xdr:colOff>
      <xdr:row>512</xdr:row>
      <xdr:rowOff>176586</xdr:rowOff>
    </xdr:to>
    <xdr:pic>
      <xdr:nvPicPr>
        <xdr:cNvPr id="22" name="図 21" descr="[res=400]{%5C%5B%20%20%20%7C%61%2D%78%7C%2B%7C%62%2D%79%7C%5C%6C%65%71%71%33%20%20%20%5C%5D%20}&#10;">
          <a:extLst>
            <a:ext uri="{FF2B5EF4-FFF2-40B4-BE49-F238E27FC236}">
              <a16:creationId xmlns:a16="http://schemas.microsoft.com/office/drawing/2014/main" id="{00000000-0008-0000-0000-00001600000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8398565" y="94338914"/>
          <a:ext cx="134874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16558</xdr:colOff>
      <xdr:row>509</xdr:row>
      <xdr:rowOff>16566</xdr:rowOff>
    </xdr:from>
    <xdr:to>
      <xdr:col>19</xdr:col>
      <xdr:colOff>180678</xdr:colOff>
      <xdr:row>509</xdr:row>
      <xdr:rowOff>176586</xdr:rowOff>
    </xdr:to>
    <xdr:pic>
      <xdr:nvPicPr>
        <xdr:cNvPr id="23" name="図 22" descr="[res=400]{%5C%5B%20%20%20%28%78%2C%5C%2C%79%29%20%20%20%5C%5D%20}&#10;">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9582971" y="93792262"/>
          <a:ext cx="3629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16558</xdr:colOff>
      <xdr:row>516</xdr:row>
      <xdr:rowOff>24850</xdr:rowOff>
    </xdr:from>
    <xdr:to>
      <xdr:col>19</xdr:col>
      <xdr:colOff>180678</xdr:colOff>
      <xdr:row>517</xdr:row>
      <xdr:rowOff>2653</xdr:rowOff>
    </xdr:to>
    <xdr:pic>
      <xdr:nvPicPr>
        <xdr:cNvPr id="3" name="図 2" descr="[res=400]{%5C%5B%20%20%20%28%78%2C%5C%2C%79%29%20%20%20%5C%5D%20}&#10;">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9582971" y="95076067"/>
          <a:ext cx="3629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518</xdr:row>
      <xdr:rowOff>16566</xdr:rowOff>
    </xdr:from>
    <xdr:to>
      <xdr:col>20</xdr:col>
      <xdr:colOff>156045</xdr:colOff>
      <xdr:row>518</xdr:row>
      <xdr:rowOff>176586</xdr:rowOff>
    </xdr:to>
    <xdr:pic>
      <xdr:nvPicPr>
        <xdr:cNvPr id="11" name="図 10" descr="[res=400]{%5C%5B%20%20%20%7C%61%2D%78%7C%2B%7C%62%2D%79%7C%5C%6C%65%71%71%20%36%20%20%5C%5D%20}&#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8771283" y="95432218"/>
          <a:ext cx="134874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20</xdr:col>
      <xdr:colOff>74547</xdr:colOff>
      <xdr:row>512</xdr:row>
      <xdr:rowOff>1</xdr:rowOff>
    </xdr:from>
    <xdr:to>
      <xdr:col>28</xdr:col>
      <xdr:colOff>30194</xdr:colOff>
      <xdr:row>515</xdr:row>
      <xdr:rowOff>182012</xdr:rowOff>
    </xdr:to>
    <xdr:pic>
      <xdr:nvPicPr>
        <xdr:cNvPr id="13" name="図 12" descr="[res=400]{%5C%5B%20%20%20%5C%62%65%67%69%6E%7B%61%72%72%61%79%7D%7B%6C%7D%20%79%5C%67%65%71%71%20%2D%28%78%2D%61%29%2B%28%62%2D%33%29%5C%5C%20%79%5C%67%65%71%71%20%28%78%2D%61%29%2B%28%62%2D%33%29%5C%5C%20%79%5C%6C%65%71%71%20%2D%28%78%2D%61%29%2B%28%62%2B%33%29%5C%5C%20%79%5C%6C%65%71%71%20%28%78%2D%61%29%2B%28%62%2B%33%29%5C%5C%20%5C%65%6E%64%7B%61%72%72%61%79%7D%20%20%20%5C%5D%20}&#10;">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10038525" y="94322349"/>
          <a:ext cx="1545908" cy="7286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xdr:colOff>
      <xdr:row>512</xdr:row>
      <xdr:rowOff>1</xdr:rowOff>
    </xdr:from>
    <xdr:to>
      <xdr:col>33</xdr:col>
      <xdr:colOff>159276</xdr:colOff>
      <xdr:row>515</xdr:row>
      <xdr:rowOff>182012</xdr:rowOff>
    </xdr:to>
    <xdr:pic>
      <xdr:nvPicPr>
        <xdr:cNvPr id="15" name="図 14" descr="[res=400]{%5C%5B%20%20%5C%62%65%67%69%6E%7B%61%72%72%61%79%7D%7B%6C%7D%20%28%61%5C%67%65%71%71%20%78%2C%5C%68%73%70%61%63%65%7B%31%6D%6D%7D%20%62%5C%67%65%71%71%20%79%29%5C%5C%20%28%61%3C%78%2C%5C%68%73%70%61%63%65%7B%31%6D%6D%7D%20%62%5C%67%65%71%71%20%79%29%5C%5C%20%28%61%3C%78%2C%5C%68%73%70%61%63%65%7B%31%6D%6D%7D%20%62%3C%79%29%5C%5C%20%28%61%5C%67%65%71%71%20%78%2C%5C%68%73%70%61%63%65%7B%31%6D%6D%7D%20%62%3C%79%29%5C%5C%20%20%5C%65%6E%64%7B%61%72%72%61%79%7D%20%20%20%20%5C%5D%20}&#10;">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1753023" y="94322349"/>
          <a:ext cx="954405" cy="7286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16567</xdr:colOff>
      <xdr:row>519</xdr:row>
      <xdr:rowOff>8285</xdr:rowOff>
    </xdr:from>
    <xdr:to>
      <xdr:col>35</xdr:col>
      <xdr:colOff>133849</xdr:colOff>
      <xdr:row>519</xdr:row>
      <xdr:rowOff>168305</xdr:rowOff>
    </xdr:to>
    <xdr:pic>
      <xdr:nvPicPr>
        <xdr:cNvPr id="24" name="図 23" descr="[res=400]{%5C%5B%20%20%7C%28%78%2D%61%29%2B%28%79%2D%62%29%7C%5C%6C%65%71%71%20%33%20%20%20%20%5C%5D%20}&#10;">
          <a:extLst>
            <a:ext uri="{FF2B5EF4-FFF2-40B4-BE49-F238E27FC236}">
              <a16:creationId xmlns:a16="http://schemas.microsoft.com/office/drawing/2014/main" id="{00000000-0008-0000-0000-000018000000}"/>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11570806" y="93601763"/>
          <a:ext cx="150876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28</xdr:col>
      <xdr:colOff>16564</xdr:colOff>
      <xdr:row>520</xdr:row>
      <xdr:rowOff>16565</xdr:rowOff>
    </xdr:from>
    <xdr:to>
      <xdr:col>35</xdr:col>
      <xdr:colOff>133846</xdr:colOff>
      <xdr:row>520</xdr:row>
      <xdr:rowOff>176585</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6"/>
        <a:stretch>
          <a:fillRect/>
        </a:stretch>
      </xdr:blipFill>
      <xdr:spPr>
        <a:xfrm>
          <a:off x="11570803" y="93792261"/>
          <a:ext cx="1508760" cy="160020"/>
        </a:xfrm>
        <a:prstGeom prst="rect">
          <a:avLst/>
        </a:prstGeom>
      </xdr:spPr>
    </xdr:pic>
    <xdr:clientData/>
  </xdr:twoCellAnchor>
  <xdr:twoCellAnchor editAs="oneCell">
    <xdr:from>
      <xdr:col>18</xdr:col>
      <xdr:colOff>132520</xdr:colOff>
      <xdr:row>522</xdr:row>
      <xdr:rowOff>16566</xdr:rowOff>
    </xdr:from>
    <xdr:to>
      <xdr:col>20</xdr:col>
      <xdr:colOff>97858</xdr:colOff>
      <xdr:row>522</xdr:row>
      <xdr:rowOff>176586</xdr:rowOff>
    </xdr:to>
    <xdr:pic>
      <xdr:nvPicPr>
        <xdr:cNvPr id="5" name="図 4" descr="[res=400]{%5C%5B%20%20%20%28%78%2C%5C%2C%79%29%20%20%20%5C%5D%20}&#10;">
          <a:extLst>
            <a:ext uri="{FF2B5EF4-FFF2-40B4-BE49-F238E27FC236}">
              <a16:creationId xmlns:a16="http://schemas.microsoft.com/office/drawing/2014/main" id="{D213E5E0-C622-40CA-57F1-4B95C1CD862B}"/>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9698933" y="93974479"/>
          <a:ext cx="362903"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124238</xdr:colOff>
      <xdr:row>519</xdr:row>
      <xdr:rowOff>57977</xdr:rowOff>
    </xdr:from>
    <xdr:to>
      <xdr:col>19</xdr:col>
      <xdr:colOff>165485</xdr:colOff>
      <xdr:row>519</xdr:row>
      <xdr:rowOff>163705</xdr:rowOff>
    </xdr:to>
    <xdr:pic>
      <xdr:nvPicPr>
        <xdr:cNvPr id="6" name="図 5" descr="[res=400]{%5C%5B%20%20%20%78%2C%20%79%20%20%5C%5D%20}&#10;">
          <a:extLst>
            <a:ext uri="{FF2B5EF4-FFF2-40B4-BE49-F238E27FC236}">
              <a16:creationId xmlns:a16="http://schemas.microsoft.com/office/drawing/2014/main" id="{97803D2D-BFCE-9724-832B-15EB5B838606}"/>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9690651" y="93651455"/>
          <a:ext cx="240030" cy="1057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124238</xdr:colOff>
      <xdr:row>520</xdr:row>
      <xdr:rowOff>57977</xdr:rowOff>
    </xdr:from>
    <xdr:to>
      <xdr:col>19</xdr:col>
      <xdr:colOff>165485</xdr:colOff>
      <xdr:row>520</xdr:row>
      <xdr:rowOff>163705</xdr:rowOff>
    </xdr:to>
    <xdr:pic>
      <xdr:nvPicPr>
        <xdr:cNvPr id="14" name="図 13" descr="[res=400]{%5C%5B%20%20%20%78%2C%20%79%20%20%5C%5D%20}&#10;">
          <a:extLst>
            <a:ext uri="{FF2B5EF4-FFF2-40B4-BE49-F238E27FC236}">
              <a16:creationId xmlns:a16="http://schemas.microsoft.com/office/drawing/2014/main" id="{12AA7047-658B-75DC-CC8D-8CBB6598BAC7}"/>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9690651" y="93833673"/>
          <a:ext cx="240030" cy="1057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190500</xdr:colOff>
      <xdr:row>517</xdr:row>
      <xdr:rowOff>16565</xdr:rowOff>
    </xdr:from>
    <xdr:to>
      <xdr:col>24</xdr:col>
      <xdr:colOff>49861</xdr:colOff>
      <xdr:row>517</xdr:row>
      <xdr:rowOff>176585</xdr:rowOff>
    </xdr:to>
    <xdr:pic>
      <xdr:nvPicPr>
        <xdr:cNvPr id="17" name="図 16" descr="[res=400]{%5C%5B%20%20%20%28%78%2D%61%29%2B%28%79%2D%62%29%5C%65%71%75%69%76%20%30%5C%68%73%70%61%63%65%7B%32%6D%6D%7D%28%6D%6F%64%5C%68%73%70%61%63%65%7B%31%6D%6D%7D%20%32%29%20%20%20%20%5C%5D%20}&#10;">
          <a:extLst>
            <a:ext uri="{FF2B5EF4-FFF2-40B4-BE49-F238E27FC236}">
              <a16:creationId xmlns:a16="http://schemas.microsoft.com/office/drawing/2014/main" id="{41D04F0F-53FE-D5E9-C478-957C2E09C684}"/>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8763000" y="93245608"/>
          <a:ext cx="204597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2428875</xdr:colOff>
          <xdr:row>2</xdr:row>
          <xdr:rowOff>9525</xdr:rowOff>
        </xdr:from>
        <xdr:to>
          <xdr:col>6</xdr:col>
          <xdr:colOff>0</xdr:colOff>
          <xdr:row>3</xdr:row>
          <xdr:rowOff>0</xdr:rowOff>
        </xdr:to>
        <xdr:sp macro="" textlink="">
          <xdr:nvSpPr>
            <xdr:cNvPr id="2049" name="Button 1" descr="新規行作成i &#10;"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明朝"/>
                  <a:ea typeface="ＭＳ 明朝"/>
                </a:rPr>
                <a:t>新規行作成</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atanic0258.hatenablog.com/entry/2016/04/10/104524" TargetMode="External"/><Relationship Id="rId7" Type="http://schemas.openxmlformats.org/officeDocument/2006/relationships/hyperlink" Target="file:///C:\Users\roshi\OneDrive\MyOwn\Develop\C++\At_Coder\ABC_C\ABC189_C_MandarinOrange_-1.cpp" TargetMode="External"/><Relationship Id="rId2" Type="http://schemas.openxmlformats.org/officeDocument/2006/relationships/hyperlink" Target="https://drken1215.hatenablog.com/entry/2019/02/24/224100" TargetMode="External"/><Relationship Id="rId1" Type="http://schemas.openxmlformats.org/officeDocument/2006/relationships/hyperlink" Target="https://img.atcoder.jp/abc110/editorial.pdf" TargetMode="External"/><Relationship Id="rId6" Type="http://schemas.openxmlformats.org/officeDocument/2006/relationships/hyperlink" Target="http://algorithms.blog55.fc2.com/blog-entry-132.html" TargetMode="External"/><Relationship Id="rId11" Type="http://schemas.openxmlformats.org/officeDocument/2006/relationships/ctrlProp" Target="../ctrlProps/ctrlProp1.xml"/><Relationship Id="rId5" Type="http://schemas.openxmlformats.org/officeDocument/2006/relationships/hyperlink" Target="https://drken1215.hatenablog.com/entry/2019/02/24/224100" TargetMode="External"/><Relationship Id="rId10" Type="http://schemas.openxmlformats.org/officeDocument/2006/relationships/vmlDrawing" Target="../drawings/vmlDrawing1.vml"/><Relationship Id="rId4" Type="http://schemas.openxmlformats.org/officeDocument/2006/relationships/hyperlink" Target="https://qiita.com/ganariya/items/33f1326154b85db465c3"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drken1215.hatenablog.com/entry/2021/10/08/231200"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3B39-1FE1-4D41-B20F-ABAA66BE98E0}">
  <sheetPr codeName="Sheet1"/>
  <dimension ref="B1:DQ851"/>
  <sheetViews>
    <sheetView tabSelected="1" zoomScale="115" zoomScaleNormal="115" workbookViewId="0">
      <pane ySplit="4" topLeftCell="A508" activePane="bottomLeft" state="frozen"/>
      <selection activeCell="N42" sqref="N42"/>
      <selection pane="bottomLeft" activeCell="A524" sqref="A524"/>
    </sheetView>
  </sheetViews>
  <sheetFormatPr defaultColWidth="2.625" defaultRowHeight="14.25" outlineLevelCol="1"/>
  <cols>
    <col min="1" max="1" width="0.5" style="51" customWidth="1"/>
    <col min="2" max="2" width="4.5" style="78" bestFit="1" customWidth="1"/>
    <col min="3" max="3" width="5" style="78" customWidth="1"/>
    <col min="4" max="4" width="16.125" style="51" customWidth="1" outlineLevel="1"/>
    <col min="5" max="5" width="7.5" style="51" customWidth="1" outlineLevel="1"/>
    <col min="6" max="6" width="35.875" style="51" customWidth="1"/>
    <col min="7" max="7" width="11.625" style="96" customWidth="1" outlineLevel="1"/>
    <col min="8" max="8" width="6" style="105" customWidth="1" outlineLevel="1"/>
    <col min="9" max="9" width="11.625" style="96" customWidth="1"/>
    <col min="10" max="10" width="6" style="105" bestFit="1" customWidth="1"/>
    <col min="11" max="80" width="2.625" style="51" customWidth="1"/>
    <col min="81" max="81" width="5.5" style="51" customWidth="1"/>
    <col min="82" max="16384" width="2.625" style="51"/>
  </cols>
  <sheetData>
    <row r="1" spans="2:81" s="41" customFormat="1" ht="3" customHeight="1">
      <c r="B1" s="42"/>
      <c r="C1" s="42"/>
      <c r="G1" s="96"/>
      <c r="H1" s="97"/>
      <c r="I1" s="96"/>
      <c r="J1" s="97"/>
    </row>
    <row r="2" spans="2:81" s="91" customFormat="1" ht="15.75">
      <c r="B2" s="135" t="s">
        <v>8</v>
      </c>
      <c r="C2" s="137" t="s">
        <v>667</v>
      </c>
      <c r="D2" s="133" t="s">
        <v>140</v>
      </c>
      <c r="E2" s="134"/>
      <c r="F2" s="134"/>
      <c r="G2" s="147" t="s">
        <v>687</v>
      </c>
      <c r="H2" s="148"/>
      <c r="I2" s="147" t="s">
        <v>688</v>
      </c>
      <c r="J2" s="148"/>
      <c r="K2" s="133" t="s">
        <v>229</v>
      </c>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4"/>
      <c r="AL2" s="134"/>
      <c r="AM2" s="134"/>
      <c r="AN2" s="134"/>
      <c r="AO2" s="134"/>
      <c r="AP2" s="134"/>
      <c r="AQ2" s="134"/>
      <c r="AR2" s="134"/>
      <c r="AS2" s="140"/>
      <c r="AT2" s="133" t="s">
        <v>367</v>
      </c>
      <c r="AU2" s="144"/>
      <c r="AV2" s="144"/>
      <c r="AW2" s="144"/>
      <c r="AX2" s="144"/>
      <c r="AY2" s="144"/>
      <c r="AZ2" s="144"/>
      <c r="BA2" s="144"/>
      <c r="BB2" s="144"/>
      <c r="BC2" s="144"/>
      <c r="BD2" s="144"/>
      <c r="BE2" s="144"/>
      <c r="BF2" s="144"/>
      <c r="BG2" s="144"/>
      <c r="BH2" s="144"/>
      <c r="BI2" s="144"/>
      <c r="BJ2" s="144"/>
      <c r="BK2" s="144"/>
      <c r="BL2" s="144"/>
      <c r="BM2" s="144"/>
      <c r="BN2" s="144"/>
      <c r="BO2" s="144"/>
      <c r="BP2" s="144"/>
      <c r="BQ2" s="144"/>
      <c r="BR2" s="144"/>
      <c r="BS2" s="144"/>
      <c r="BT2" s="144"/>
      <c r="BU2" s="144"/>
      <c r="BV2" s="144"/>
      <c r="BW2" s="144"/>
      <c r="BX2" s="144"/>
      <c r="BY2" s="144"/>
      <c r="BZ2" s="144"/>
      <c r="CA2" s="144"/>
      <c r="CB2" s="145"/>
      <c r="CC2" s="131" t="s">
        <v>11</v>
      </c>
    </row>
    <row r="3" spans="2:81" s="91" customFormat="1" ht="15.75">
      <c r="B3" s="136"/>
      <c r="C3" s="138"/>
      <c r="D3" s="92" t="s">
        <v>136</v>
      </c>
      <c r="E3" s="92" t="s">
        <v>137</v>
      </c>
      <c r="F3" s="92" t="s">
        <v>9</v>
      </c>
      <c r="G3" s="95" t="s">
        <v>10</v>
      </c>
      <c r="H3" s="94" t="s">
        <v>663</v>
      </c>
      <c r="I3" s="95" t="s">
        <v>10</v>
      </c>
      <c r="J3" s="94" t="s">
        <v>663</v>
      </c>
      <c r="K3" s="141"/>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c r="AL3" s="142"/>
      <c r="AM3" s="142"/>
      <c r="AN3" s="142"/>
      <c r="AO3" s="142"/>
      <c r="AP3" s="142"/>
      <c r="AQ3" s="142"/>
      <c r="AR3" s="142"/>
      <c r="AS3" s="143"/>
      <c r="AT3" s="141"/>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46"/>
      <c r="CC3" s="132"/>
    </row>
    <row r="4" spans="2:81"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7"/>
      <c r="AT4" s="48"/>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50"/>
      <c r="CC4" s="44"/>
    </row>
    <row r="5" spans="2:81">
      <c r="B5" s="52">
        <f>IF(F5&lt;&gt;"",SUBTOTAL(3,$F$5:F5),"")</f>
        <v>1</v>
      </c>
      <c r="C5" s="52">
        <v>2</v>
      </c>
      <c r="D5" s="53" t="s">
        <v>139</v>
      </c>
      <c r="E5" s="53" t="s">
        <v>134</v>
      </c>
      <c r="F5" s="54" t="s">
        <v>142</v>
      </c>
      <c r="G5" s="106">
        <v>43960</v>
      </c>
      <c r="H5" s="100">
        <v>1</v>
      </c>
      <c r="I5" s="106"/>
      <c r="J5" s="100"/>
      <c r="K5" s="55" t="s">
        <v>328</v>
      </c>
      <c r="AS5" s="56"/>
      <c r="AT5" s="55"/>
      <c r="CB5" s="56"/>
      <c r="CC5" s="54"/>
    </row>
    <row r="6" spans="2:81">
      <c r="B6" s="52" t="str">
        <f>IF(F6&lt;&gt;"",SUBTOTAL(3,$F$5:F6),"")</f>
        <v/>
      </c>
      <c r="C6" s="52"/>
      <c r="D6" s="53"/>
      <c r="E6" s="53"/>
      <c r="F6" s="54"/>
      <c r="G6" s="106"/>
      <c r="H6" s="100"/>
      <c r="I6" s="106"/>
      <c r="J6" s="101"/>
      <c r="K6" s="55" t="s">
        <v>664</v>
      </c>
      <c r="AS6" s="56"/>
      <c r="AT6" s="55"/>
      <c r="CB6" s="56"/>
      <c r="CC6" s="54"/>
    </row>
    <row r="7" spans="2:81">
      <c r="B7" s="52" t="str">
        <f>IF(F7&lt;&gt;"",SUBTOTAL(3,$F$5:F7),"")</f>
        <v/>
      </c>
      <c r="C7" s="52"/>
      <c r="D7" s="53"/>
      <c r="E7" s="53"/>
      <c r="F7" s="54"/>
      <c r="G7" s="106"/>
      <c r="H7" s="100"/>
      <c r="I7" s="106"/>
      <c r="J7" s="101"/>
      <c r="K7" s="55" t="s">
        <v>665</v>
      </c>
      <c r="AS7" s="56"/>
      <c r="AT7" s="55"/>
      <c r="CB7" s="56"/>
      <c r="CC7" s="54"/>
    </row>
    <row r="8" spans="2:81">
      <c r="B8" s="52" t="str">
        <f>IF(F8&lt;&gt;"",SUBTOTAL(3,$F$5:F8),"")</f>
        <v/>
      </c>
      <c r="C8" s="52"/>
      <c r="D8" s="53"/>
      <c r="E8" s="53"/>
      <c r="F8" s="54"/>
      <c r="G8" s="106"/>
      <c r="H8" s="100"/>
      <c r="I8" s="106"/>
      <c r="J8" s="101"/>
      <c r="K8" s="55" t="s">
        <v>666</v>
      </c>
      <c r="AS8" s="56"/>
      <c r="AT8" s="55"/>
      <c r="CB8" s="56"/>
      <c r="CC8" s="54"/>
    </row>
    <row r="9" spans="2:81">
      <c r="B9" s="52" t="str">
        <f>IF(F9&lt;&gt;"",SUBTOTAL(3,$F$5:F9),"")</f>
        <v/>
      </c>
      <c r="C9" s="52"/>
      <c r="D9" s="53"/>
      <c r="E9" s="53"/>
      <c r="F9" s="54"/>
      <c r="G9" s="106"/>
      <c r="H9" s="100"/>
      <c r="I9" s="106"/>
      <c r="J9" s="101"/>
      <c r="K9" s="55"/>
      <c r="AS9" s="56"/>
      <c r="AT9" s="55"/>
      <c r="CB9" s="56"/>
      <c r="CC9" s="54"/>
    </row>
    <row r="10" spans="2:81">
      <c r="B10" s="52">
        <f>IF(F10&lt;&gt;"",SUBTOTAL(3,$F$5:F10),"")</f>
        <v>2</v>
      </c>
      <c r="C10" s="52"/>
      <c r="D10" s="53" t="s">
        <v>138</v>
      </c>
      <c r="E10" s="53" t="s">
        <v>134</v>
      </c>
      <c r="F10" s="54" t="s">
        <v>143</v>
      </c>
      <c r="G10" s="106">
        <v>43871</v>
      </c>
      <c r="H10" s="100">
        <v>1</v>
      </c>
      <c r="I10" s="106"/>
      <c r="J10" s="100"/>
      <c r="K10" s="55" t="s">
        <v>422</v>
      </c>
      <c r="AS10" s="56"/>
      <c r="AT10" s="55"/>
      <c r="CB10" s="56"/>
      <c r="CC10" s="54"/>
    </row>
    <row r="11" spans="2:81">
      <c r="B11" s="52" t="str">
        <f>IF(F11&lt;&gt;"",SUBTOTAL(3,$F$5:F11),"")</f>
        <v/>
      </c>
      <c r="C11" s="52"/>
      <c r="D11" s="53"/>
      <c r="E11" s="53"/>
      <c r="F11" s="54"/>
      <c r="G11" s="106"/>
      <c r="H11" s="100"/>
      <c r="I11" s="106"/>
      <c r="J11" s="101"/>
      <c r="K11" s="55" t="s">
        <v>423</v>
      </c>
      <c r="AS11" s="56"/>
      <c r="AT11" s="55"/>
      <c r="CB11" s="56"/>
      <c r="CC11" s="54"/>
    </row>
    <row r="12" spans="2:81">
      <c r="B12" s="52" t="str">
        <f>IF(F12&lt;&gt;"",SUBTOTAL(3,$F$5:F12),"")</f>
        <v/>
      </c>
      <c r="C12" s="52"/>
      <c r="D12" s="53"/>
      <c r="E12" s="53"/>
      <c r="F12" s="54"/>
      <c r="G12" s="106"/>
      <c r="H12" s="100"/>
      <c r="I12" s="106"/>
      <c r="J12" s="101"/>
      <c r="K12" s="55" t="s">
        <v>424</v>
      </c>
      <c r="AS12" s="56"/>
      <c r="AT12" s="55"/>
      <c r="CB12" s="56"/>
      <c r="CC12" s="54"/>
    </row>
    <row r="13" spans="2:81">
      <c r="B13" s="52" t="str">
        <f>IF(F13&lt;&gt;"",SUBTOTAL(3,$F$5:F13),"")</f>
        <v/>
      </c>
      <c r="C13" s="52"/>
      <c r="D13" s="53"/>
      <c r="E13" s="53"/>
      <c r="F13" s="54"/>
      <c r="G13" s="106"/>
      <c r="H13" s="100"/>
      <c r="I13" s="106"/>
      <c r="J13" s="101"/>
      <c r="K13" s="55"/>
      <c r="AS13" s="56"/>
      <c r="AT13" s="55"/>
      <c r="CB13" s="56"/>
      <c r="CC13" s="54"/>
    </row>
    <row r="14" spans="2:81">
      <c r="B14" s="113">
        <f>IF(F14&lt;&gt;"",SUBTOTAL(3,$F$5:F14),"")</f>
        <v>3</v>
      </c>
      <c r="C14" s="113"/>
      <c r="D14" s="114" t="s">
        <v>138</v>
      </c>
      <c r="E14" s="114" t="s">
        <v>134</v>
      </c>
      <c r="F14" s="115" t="s">
        <v>764</v>
      </c>
      <c r="G14" s="116">
        <v>43995</v>
      </c>
      <c r="H14" s="117">
        <v>0.5</v>
      </c>
      <c r="I14" s="118"/>
      <c r="J14" s="117"/>
      <c r="K14" s="112" t="s">
        <v>558</v>
      </c>
      <c r="AS14" s="56"/>
      <c r="AT14" s="55" t="s">
        <v>234</v>
      </c>
      <c r="CB14" s="56"/>
      <c r="CC14" s="57"/>
    </row>
    <row r="15" spans="2:81">
      <c r="B15" s="113" t="str">
        <f>IF(F15&lt;&gt;"",SUBTOTAL(3,$F$5:F15),"")</f>
        <v/>
      </c>
      <c r="C15" s="113"/>
      <c r="D15" s="114"/>
      <c r="E15" s="114"/>
      <c r="F15" s="119"/>
      <c r="G15" s="118"/>
      <c r="H15" s="117"/>
      <c r="I15" s="118"/>
      <c r="J15" s="111"/>
      <c r="K15" s="112" t="s">
        <v>559</v>
      </c>
      <c r="AS15" s="56"/>
      <c r="AT15" s="55" t="s">
        <v>561</v>
      </c>
      <c r="CB15" s="56"/>
      <c r="CC15" s="57"/>
    </row>
    <row r="16" spans="2:81">
      <c r="B16" s="113" t="str">
        <f>IF(F16&lt;&gt;"",SUBTOTAL(3,$F$5:F16),"")</f>
        <v/>
      </c>
      <c r="C16" s="113"/>
      <c r="D16" s="114"/>
      <c r="E16" s="114"/>
      <c r="F16" s="119"/>
      <c r="G16" s="118"/>
      <c r="H16" s="117"/>
      <c r="I16" s="118"/>
      <c r="J16" s="111"/>
      <c r="K16" s="112" t="s">
        <v>560</v>
      </c>
      <c r="AS16" s="56"/>
      <c r="AT16" s="55" t="s">
        <v>562</v>
      </c>
      <c r="CB16" s="56"/>
      <c r="CC16" s="57"/>
    </row>
    <row r="17" spans="2:121">
      <c r="B17" s="113" t="str">
        <f>IF(F17&lt;&gt;"",SUBTOTAL(3,$F$5:F17),"")</f>
        <v/>
      </c>
      <c r="C17" s="113"/>
      <c r="D17" s="114"/>
      <c r="E17" s="114"/>
      <c r="F17" s="119"/>
      <c r="G17" s="118"/>
      <c r="H17" s="117"/>
      <c r="I17" s="118"/>
      <c r="J17" s="111"/>
      <c r="K17" s="112"/>
      <c r="AS17" s="56"/>
      <c r="AT17" s="55" t="s">
        <v>563</v>
      </c>
      <c r="CB17" s="56"/>
      <c r="CC17" s="57"/>
    </row>
    <row r="18" spans="2:121">
      <c r="B18" s="52" t="str">
        <f>IF(F18&lt;&gt;"",SUBTOTAL(3,$F$5:F18),"")</f>
        <v/>
      </c>
      <c r="C18" s="52"/>
      <c r="D18" s="53"/>
      <c r="E18" s="53"/>
      <c r="F18" s="54"/>
      <c r="G18" s="106"/>
      <c r="H18" s="100"/>
      <c r="I18" s="106"/>
      <c r="J18" s="102"/>
      <c r="K18" s="112"/>
      <c r="AS18" s="56"/>
      <c r="AT18" s="55"/>
      <c r="CB18" s="56"/>
      <c r="CC18" s="57"/>
    </row>
    <row r="19" spans="2:121">
      <c r="B19" s="52">
        <f>IF(F19&lt;&gt;"",SUBTOTAL(3,$F$5:F19),"")</f>
        <v>4</v>
      </c>
      <c r="C19" s="52"/>
      <c r="D19" s="53" t="s">
        <v>138</v>
      </c>
      <c r="E19" s="53" t="s">
        <v>134</v>
      </c>
      <c r="F19" s="54" t="s">
        <v>144</v>
      </c>
      <c r="G19" s="106">
        <v>43995</v>
      </c>
      <c r="H19" s="100">
        <v>1</v>
      </c>
      <c r="I19" s="106"/>
      <c r="J19" s="100"/>
      <c r="K19" s="55" t="s">
        <v>542</v>
      </c>
      <c r="AS19" s="56"/>
      <c r="AT19" s="55"/>
      <c r="CB19" s="56"/>
      <c r="CC19" s="54"/>
    </row>
    <row r="20" spans="2:121">
      <c r="B20" s="52" t="str">
        <f>IF(F20&lt;&gt;"",SUBTOTAL(3,$F$5:F20),"")</f>
        <v/>
      </c>
      <c r="C20" s="52"/>
      <c r="D20" s="53"/>
      <c r="E20" s="53"/>
      <c r="F20" s="54"/>
      <c r="G20" s="106"/>
      <c r="H20" s="100">
        <v>1</v>
      </c>
      <c r="I20" s="106"/>
      <c r="J20" s="101"/>
      <c r="K20" s="55" t="s">
        <v>543</v>
      </c>
      <c r="AS20" s="56"/>
      <c r="AT20" s="55"/>
      <c r="CB20" s="56"/>
      <c r="CC20" s="54"/>
    </row>
    <row r="21" spans="2:121">
      <c r="B21" s="52" t="str">
        <f>IF(F21&lt;&gt;"",SUBTOTAL(3,$F$5:F21),"")</f>
        <v/>
      </c>
      <c r="C21" s="52"/>
      <c r="D21" s="53"/>
      <c r="E21" s="53"/>
      <c r="F21" s="54"/>
      <c r="G21" s="106"/>
      <c r="H21" s="100"/>
      <c r="I21" s="106"/>
      <c r="J21" s="101"/>
      <c r="K21" s="55"/>
      <c r="AS21" s="56"/>
      <c r="AT21" s="55"/>
      <c r="CB21" s="56"/>
      <c r="CC21" s="54"/>
    </row>
    <row r="22" spans="2:121">
      <c r="B22" s="52">
        <f>IF(F22&lt;&gt;"",SUBTOTAL(3,$F$5:F22),"")</f>
        <v>5</v>
      </c>
      <c r="C22" s="52"/>
      <c r="D22" s="53" t="s">
        <v>139</v>
      </c>
      <c r="E22" s="53" t="s">
        <v>134</v>
      </c>
      <c r="F22" s="54" t="s">
        <v>544</v>
      </c>
      <c r="G22" s="106">
        <v>44185</v>
      </c>
      <c r="H22" s="100">
        <v>1</v>
      </c>
      <c r="I22" s="106"/>
      <c r="J22" s="103"/>
      <c r="K22" s="55" t="s">
        <v>556</v>
      </c>
      <c r="AS22" s="56"/>
      <c r="AT22" s="55"/>
      <c r="CB22" s="56"/>
      <c r="CC22" s="54"/>
    </row>
    <row r="23" spans="2:121">
      <c r="B23" s="52" t="str">
        <f>IF(F23&lt;&gt;"",SUBTOTAL(3,$F$5:F23),"")</f>
        <v/>
      </c>
      <c r="C23" s="52"/>
      <c r="D23" s="53"/>
      <c r="E23" s="53"/>
      <c r="F23" s="54"/>
      <c r="G23" s="106"/>
      <c r="H23" s="100"/>
      <c r="I23" s="106"/>
      <c r="J23" s="101"/>
      <c r="K23" s="55" t="s">
        <v>557</v>
      </c>
      <c r="AS23" s="56"/>
      <c r="AT23" s="55"/>
      <c r="CB23" s="56"/>
      <c r="CC23" s="54"/>
    </row>
    <row r="24" spans="2:121">
      <c r="B24" s="52" t="str">
        <f>IF(F24&lt;&gt;"",SUBTOTAL(3,$F$5:F24),"")</f>
        <v/>
      </c>
      <c r="C24" s="52"/>
      <c r="D24" s="53"/>
      <c r="E24" s="53"/>
      <c r="F24" s="54"/>
      <c r="G24" s="106"/>
      <c r="H24" s="100">
        <v>1</v>
      </c>
      <c r="I24" s="106"/>
      <c r="J24" s="101"/>
      <c r="K24" s="55"/>
      <c r="AS24" s="56"/>
      <c r="AT24" s="55"/>
      <c r="CB24" s="56"/>
      <c r="CC24" s="54"/>
    </row>
    <row r="25" spans="2:121">
      <c r="B25" s="52">
        <f>IF(F25&lt;&gt;"",SUBTOTAL(3,$F$5:F25),"")</f>
        <v>6</v>
      </c>
      <c r="C25" s="52"/>
      <c r="D25" s="53" t="s">
        <v>138</v>
      </c>
      <c r="E25" s="53" t="s">
        <v>134</v>
      </c>
      <c r="F25" s="54" t="s">
        <v>145</v>
      </c>
      <c r="G25" s="106">
        <v>43869</v>
      </c>
      <c r="H25" s="100">
        <v>1</v>
      </c>
      <c r="I25" s="106"/>
      <c r="J25" s="100"/>
      <c r="K25" s="55" t="s">
        <v>545</v>
      </c>
      <c r="AS25" s="56"/>
      <c r="AT25" s="55"/>
      <c r="CB25" s="56"/>
      <c r="CC25" s="54"/>
      <c r="CK25" s="58"/>
      <c r="CL25" s="58"/>
      <c r="CM25" s="58"/>
      <c r="CN25" s="58"/>
      <c r="CO25" s="58"/>
      <c r="CP25" s="58"/>
      <c r="CQ25" s="58"/>
      <c r="CR25" s="58"/>
      <c r="CS25" s="58"/>
      <c r="CT25" s="58"/>
      <c r="DH25" s="58"/>
      <c r="DI25" s="58"/>
      <c r="DJ25" s="58"/>
      <c r="DK25" s="58"/>
      <c r="DL25" s="58"/>
      <c r="DM25" s="58"/>
      <c r="DN25" s="58"/>
      <c r="DO25" s="58"/>
      <c r="DP25" s="58"/>
      <c r="DQ25" s="58"/>
    </row>
    <row r="26" spans="2:121">
      <c r="B26" s="52" t="str">
        <f>IF(F26&lt;&gt;"",SUBTOTAL(3,$F$5:F26),"")</f>
        <v/>
      </c>
      <c r="C26" s="52"/>
      <c r="D26" s="53"/>
      <c r="E26" s="53"/>
      <c r="F26" s="54"/>
      <c r="G26" s="106"/>
      <c r="H26" s="100"/>
      <c r="I26" s="106"/>
      <c r="J26" s="101"/>
      <c r="K26" s="55" t="s">
        <v>547</v>
      </c>
      <c r="AS26" s="56"/>
      <c r="AT26" s="55"/>
      <c r="CB26" s="56"/>
      <c r="CC26" s="54"/>
      <c r="CK26" s="58"/>
      <c r="CL26" s="58"/>
      <c r="CM26" s="58"/>
      <c r="CN26" s="58"/>
      <c r="CO26" s="58"/>
      <c r="CP26" s="58"/>
      <c r="CQ26" s="58"/>
      <c r="CR26" s="58"/>
      <c r="CS26" s="58"/>
      <c r="CT26" s="58"/>
      <c r="DH26" s="58"/>
      <c r="DI26" s="58"/>
      <c r="DJ26" s="58"/>
      <c r="DK26" s="58"/>
      <c r="DL26" s="58"/>
      <c r="DM26" s="58"/>
      <c r="DN26" s="58"/>
      <c r="DO26" s="58"/>
      <c r="DP26" s="58"/>
      <c r="DQ26" s="58"/>
    </row>
    <row r="27" spans="2:121">
      <c r="B27" s="52" t="str">
        <f>IF(F27&lt;&gt;"",SUBTOTAL(3,$F$5:F27),"")</f>
        <v/>
      </c>
      <c r="C27" s="52"/>
      <c r="D27" s="53"/>
      <c r="E27" s="53"/>
      <c r="F27" s="54"/>
      <c r="G27" s="106"/>
      <c r="H27" s="100"/>
      <c r="I27" s="106"/>
      <c r="J27" s="101"/>
      <c r="K27" s="55" t="s">
        <v>548</v>
      </c>
      <c r="AS27" s="56"/>
      <c r="AT27" s="55"/>
      <c r="CB27" s="56"/>
      <c r="CC27" s="54"/>
      <c r="CK27" s="58"/>
      <c r="CL27" s="58"/>
      <c r="CM27" s="58"/>
      <c r="CN27" s="58"/>
      <c r="CO27" s="58"/>
      <c r="CP27" s="58"/>
      <c r="CQ27" s="58"/>
      <c r="CR27" s="58"/>
      <c r="CS27" s="58"/>
      <c r="CT27" s="58"/>
      <c r="DH27" s="58"/>
      <c r="DI27" s="58"/>
      <c r="DJ27" s="58"/>
      <c r="DK27" s="58"/>
      <c r="DL27" s="58"/>
      <c r="DM27" s="58"/>
      <c r="DN27" s="58"/>
      <c r="DO27" s="58"/>
      <c r="DP27" s="58"/>
      <c r="DQ27" s="58"/>
    </row>
    <row r="28" spans="2:121">
      <c r="B28" s="52" t="str">
        <f>IF(F28&lt;&gt;"",SUBTOTAL(3,$F$5:F28),"")</f>
        <v/>
      </c>
      <c r="C28" s="52"/>
      <c r="D28" s="53"/>
      <c r="E28" s="53"/>
      <c r="F28" s="54"/>
      <c r="G28" s="106"/>
      <c r="H28" s="100"/>
      <c r="I28" s="106"/>
      <c r="J28" s="101"/>
      <c r="K28" s="55" t="s">
        <v>546</v>
      </c>
      <c r="AS28" s="56"/>
      <c r="AT28" s="55"/>
      <c r="CB28" s="56"/>
      <c r="CC28" s="54"/>
      <c r="CK28" s="58"/>
      <c r="CL28" s="58"/>
      <c r="CM28" s="58"/>
      <c r="CN28" s="58"/>
      <c r="CO28" s="58"/>
      <c r="CP28" s="58"/>
      <c r="CQ28" s="58"/>
      <c r="CR28" s="58"/>
      <c r="CS28" s="58"/>
      <c r="CT28" s="58"/>
      <c r="DH28" s="58"/>
      <c r="DI28" s="58"/>
      <c r="DJ28" s="58"/>
      <c r="DK28" s="58"/>
      <c r="DL28" s="58"/>
      <c r="DM28" s="58"/>
      <c r="DN28" s="58"/>
      <c r="DO28" s="58"/>
      <c r="DP28" s="58"/>
      <c r="DQ28" s="58"/>
    </row>
    <row r="29" spans="2:121">
      <c r="B29" s="52">
        <f>IF(F29&lt;&gt;"",SUBTOTAL(3,$F$5:F29),"")</f>
        <v>7</v>
      </c>
      <c r="C29" s="52"/>
      <c r="D29" s="53" t="s">
        <v>138</v>
      </c>
      <c r="E29" s="53" t="s">
        <v>134</v>
      </c>
      <c r="F29" s="54" t="s">
        <v>146</v>
      </c>
      <c r="G29" s="106">
        <v>43871</v>
      </c>
      <c r="H29" s="100">
        <v>1</v>
      </c>
      <c r="I29" s="106"/>
      <c r="J29" s="100"/>
      <c r="K29" s="55" t="s">
        <v>603</v>
      </c>
      <c r="AS29" s="56"/>
      <c r="AT29" s="55"/>
      <c r="CB29" s="56"/>
      <c r="CC29" s="54"/>
    </row>
    <row r="30" spans="2:121">
      <c r="B30" s="52" t="str">
        <f>IF(F30&lt;&gt;"",SUBTOTAL(3,$F$5:F30),"")</f>
        <v/>
      </c>
      <c r="C30" s="52"/>
      <c r="D30" s="53"/>
      <c r="E30" s="53"/>
      <c r="F30" s="54"/>
      <c r="G30" s="106"/>
      <c r="H30" s="100"/>
      <c r="I30" s="106"/>
      <c r="J30" s="101"/>
      <c r="K30" s="55" t="s">
        <v>604</v>
      </c>
      <c r="AS30" s="56"/>
      <c r="AT30" s="55"/>
      <c r="CB30" s="56"/>
      <c r="CC30" s="54"/>
    </row>
    <row r="31" spans="2:121">
      <c r="B31" s="52" t="str">
        <f>IF(F31&lt;&gt;"",SUBTOTAL(3,$F$5:F31),"")</f>
        <v/>
      </c>
      <c r="C31" s="52"/>
      <c r="D31" s="53"/>
      <c r="E31" s="53"/>
      <c r="F31" s="54"/>
      <c r="G31" s="106"/>
      <c r="H31" s="100"/>
      <c r="I31" s="106"/>
      <c r="J31" s="101"/>
      <c r="K31" s="55" t="s">
        <v>605</v>
      </c>
      <c r="AS31" s="56"/>
      <c r="AT31" s="55"/>
      <c r="CB31" s="56"/>
      <c r="CC31" s="54"/>
    </row>
    <row r="32" spans="2:121">
      <c r="B32" s="52" t="str">
        <f>IF(F32&lt;&gt;"",SUBTOTAL(3,$F$5:F32),"")</f>
        <v/>
      </c>
      <c r="C32" s="52"/>
      <c r="D32" s="53"/>
      <c r="E32" s="53"/>
      <c r="F32" s="54"/>
      <c r="G32" s="106"/>
      <c r="H32" s="100"/>
      <c r="I32" s="106"/>
      <c r="J32" s="101"/>
      <c r="K32" s="55"/>
      <c r="AS32" s="56"/>
      <c r="AT32" s="55"/>
      <c r="CB32" s="56"/>
      <c r="CC32" s="54"/>
    </row>
    <row r="33" spans="2:81">
      <c r="B33" s="52">
        <f>IF(F33&lt;&gt;"",SUBTOTAL(3,$F$5:F33),"")</f>
        <v>8</v>
      </c>
      <c r="C33" s="52"/>
      <c r="D33" s="53" t="s">
        <v>138</v>
      </c>
      <c r="E33" s="53" t="s">
        <v>134</v>
      </c>
      <c r="F33" s="54" t="s">
        <v>147</v>
      </c>
      <c r="G33" s="106">
        <v>44006</v>
      </c>
      <c r="H33" s="100">
        <v>1</v>
      </c>
      <c r="I33" s="106"/>
      <c r="J33" s="100"/>
      <c r="K33" s="55" t="s">
        <v>554</v>
      </c>
      <c r="AS33" s="56"/>
      <c r="AT33" s="55"/>
      <c r="CB33" s="56"/>
      <c r="CC33" s="54"/>
    </row>
    <row r="34" spans="2:81">
      <c r="B34" s="52" t="str">
        <f>IF(F34&lt;&gt;"",SUBTOTAL(3,$F$5:F34),"")</f>
        <v/>
      </c>
      <c r="C34" s="52"/>
      <c r="D34" s="53"/>
      <c r="E34" s="53"/>
      <c r="F34" s="54"/>
      <c r="G34" s="106"/>
      <c r="H34" s="100"/>
      <c r="I34" s="106"/>
      <c r="J34" s="101"/>
      <c r="K34" s="55" t="s">
        <v>555</v>
      </c>
      <c r="AS34" s="56"/>
      <c r="AT34" s="55"/>
      <c r="CB34" s="56"/>
      <c r="CC34" s="54"/>
    </row>
    <row r="35" spans="2:81">
      <c r="B35" s="52" t="str">
        <f>IF(F35&lt;&gt;"",SUBTOTAL(3,$F$5:F35),"")</f>
        <v/>
      </c>
      <c r="C35" s="52"/>
      <c r="D35" s="53"/>
      <c r="E35" s="53"/>
      <c r="F35" s="54"/>
      <c r="G35" s="106"/>
      <c r="H35" s="100"/>
      <c r="I35" s="106"/>
      <c r="J35" s="101"/>
      <c r="K35" s="55"/>
      <c r="AS35" s="56"/>
      <c r="AT35" s="55"/>
      <c r="CB35" s="56"/>
      <c r="CC35" s="54"/>
    </row>
    <row r="36" spans="2:81">
      <c r="B36" s="52">
        <f>IF(F36&lt;&gt;"",SUBTOTAL(3,$F$5:F36),"")</f>
        <v>9</v>
      </c>
      <c r="C36" s="52"/>
      <c r="D36" s="53" t="s">
        <v>138</v>
      </c>
      <c r="E36" s="53" t="s">
        <v>134</v>
      </c>
      <c r="F36" s="54" t="s">
        <v>148</v>
      </c>
      <c r="G36" s="106">
        <v>43869</v>
      </c>
      <c r="H36" s="100">
        <v>1</v>
      </c>
      <c r="I36" s="106"/>
      <c r="J36" s="101"/>
      <c r="K36" s="55" t="s">
        <v>235</v>
      </c>
      <c r="AS36" s="56"/>
      <c r="AT36" s="55"/>
      <c r="CB36" s="56"/>
      <c r="CC36" s="54"/>
    </row>
    <row r="37" spans="2:81">
      <c r="B37" s="52" t="str">
        <f>IF(F37&lt;&gt;"",SUBTOTAL(3,$F$5:F37),"")</f>
        <v/>
      </c>
      <c r="C37" s="52"/>
      <c r="D37" s="53"/>
      <c r="E37" s="53"/>
      <c r="F37" s="54"/>
      <c r="G37" s="106"/>
      <c r="H37" s="100"/>
      <c r="I37" s="106"/>
      <c r="J37" s="101"/>
      <c r="K37" s="55" t="s">
        <v>236</v>
      </c>
      <c r="AS37" s="56"/>
      <c r="AT37" s="55"/>
      <c r="CB37" s="56"/>
      <c r="CC37" s="54"/>
    </row>
    <row r="38" spans="2:81">
      <c r="B38" s="52" t="str">
        <f>IF(F38&lt;&gt;"",SUBTOTAL(3,$F$5:F38),"")</f>
        <v/>
      </c>
      <c r="C38" s="52"/>
      <c r="D38" s="53"/>
      <c r="E38" s="53"/>
      <c r="F38" s="54"/>
      <c r="G38" s="106"/>
      <c r="H38" s="100"/>
      <c r="I38" s="106"/>
      <c r="J38" s="101"/>
      <c r="K38" s="55"/>
      <c r="AS38" s="56"/>
      <c r="AT38" s="55"/>
      <c r="CB38" s="56"/>
      <c r="CC38" s="54"/>
    </row>
    <row r="39" spans="2:81">
      <c r="B39" s="113">
        <f>IF(F39&lt;&gt;"",SUBTOTAL(3,$F$5:F39),"")</f>
        <v>10</v>
      </c>
      <c r="C39" s="113"/>
      <c r="D39" s="114" t="s">
        <v>138</v>
      </c>
      <c r="E39" s="114" t="s">
        <v>134</v>
      </c>
      <c r="F39" s="119" t="s">
        <v>149</v>
      </c>
      <c r="G39" s="118">
        <v>43869</v>
      </c>
      <c r="H39" s="117">
        <v>0.8</v>
      </c>
      <c r="I39" s="118"/>
      <c r="J39" s="117"/>
      <c r="K39" s="55" t="s">
        <v>518</v>
      </c>
      <c r="AS39" s="56"/>
      <c r="AT39" s="55"/>
      <c r="CB39" s="56"/>
      <c r="CC39" s="54"/>
    </row>
    <row r="40" spans="2:81">
      <c r="B40" s="113" t="str">
        <f>IF(F40&lt;&gt;"",SUBTOTAL(3,$F$5:F40),"")</f>
        <v/>
      </c>
      <c r="C40" s="113"/>
      <c r="D40" s="114"/>
      <c r="E40" s="114"/>
      <c r="F40" s="119"/>
      <c r="G40" s="118"/>
      <c r="H40" s="117"/>
      <c r="I40" s="118"/>
      <c r="J40" s="111"/>
      <c r="K40" s="55" t="s">
        <v>517</v>
      </c>
      <c r="AS40" s="56"/>
      <c r="AT40" s="55"/>
      <c r="CB40" s="56"/>
      <c r="CC40" s="54"/>
    </row>
    <row r="41" spans="2:81">
      <c r="B41" s="113" t="str">
        <f>IF(F41&lt;&gt;"",SUBTOTAL(3,$F$5:F41),"")</f>
        <v/>
      </c>
      <c r="C41" s="113"/>
      <c r="D41" s="114"/>
      <c r="E41" s="114"/>
      <c r="F41" s="119"/>
      <c r="G41" s="118"/>
      <c r="H41" s="117"/>
      <c r="I41" s="118"/>
      <c r="J41" s="111"/>
      <c r="K41" s="55" t="s">
        <v>519</v>
      </c>
      <c r="AS41" s="56"/>
      <c r="AT41" s="55"/>
      <c r="CB41" s="56"/>
      <c r="CC41" s="54"/>
    </row>
    <row r="42" spans="2:81">
      <c r="B42" s="113" t="str">
        <f>IF(F42&lt;&gt;"",SUBTOTAL(3,$F$5:F42),"")</f>
        <v/>
      </c>
      <c r="C42" s="113"/>
      <c r="D42" s="114"/>
      <c r="E42" s="114"/>
      <c r="F42" s="119"/>
      <c r="G42" s="118"/>
      <c r="H42" s="117"/>
      <c r="I42" s="118"/>
      <c r="J42" s="111"/>
      <c r="K42" s="55"/>
      <c r="AS42" s="56"/>
      <c r="AT42" s="55"/>
      <c r="CB42" s="56"/>
      <c r="CC42" s="54"/>
    </row>
    <row r="43" spans="2:81">
      <c r="B43" s="52">
        <f>IF(F43&lt;&gt;"",SUBTOTAL(3,$F$5:F43),"")</f>
        <v>11</v>
      </c>
      <c r="C43" s="52"/>
      <c r="D43" s="53" t="s">
        <v>138</v>
      </c>
      <c r="E43" s="53" t="s">
        <v>134</v>
      </c>
      <c r="F43" s="54" t="s">
        <v>150</v>
      </c>
      <c r="G43" s="106">
        <v>43869</v>
      </c>
      <c r="H43" s="100">
        <v>1</v>
      </c>
      <c r="I43" s="106"/>
      <c r="J43" s="100"/>
      <c r="K43" s="55" t="s">
        <v>521</v>
      </c>
      <c r="AS43" s="56"/>
      <c r="AT43" s="55"/>
      <c r="CB43" s="56"/>
      <c r="CC43" s="54"/>
    </row>
    <row r="44" spans="2:81">
      <c r="B44" s="52" t="str">
        <f>IF(F44&lt;&gt;"",SUBTOTAL(3,$F$5:F44),"")</f>
        <v/>
      </c>
      <c r="C44" s="52"/>
      <c r="D44" s="53"/>
      <c r="E44" s="53"/>
      <c r="F44" s="54"/>
      <c r="G44" s="106"/>
      <c r="H44" s="100"/>
      <c r="I44" s="106"/>
      <c r="J44" s="101"/>
      <c r="K44" s="55" t="s">
        <v>520</v>
      </c>
      <c r="AS44" s="56"/>
      <c r="AT44" s="55"/>
      <c r="CB44" s="56"/>
      <c r="CC44" s="54"/>
    </row>
    <row r="45" spans="2:81">
      <c r="B45" s="52" t="str">
        <f>IF(F45&lt;&gt;"",SUBTOTAL(3,$F$5:F45),"")</f>
        <v/>
      </c>
      <c r="C45" s="52"/>
      <c r="D45" s="53"/>
      <c r="E45" s="53"/>
      <c r="F45" s="54"/>
      <c r="G45" s="106"/>
      <c r="H45" s="100"/>
      <c r="I45" s="106"/>
      <c r="J45" s="101"/>
      <c r="K45" s="55"/>
      <c r="AS45" s="56"/>
      <c r="AT45" s="55"/>
      <c r="CB45" s="56"/>
      <c r="CC45" s="54"/>
    </row>
    <row r="46" spans="2:81" ht="16.5">
      <c r="B46" s="52">
        <f>IF(F46&lt;&gt;"",SUBTOTAL(3,$F$5:F46),"")</f>
        <v>12</v>
      </c>
      <c r="C46" s="52"/>
      <c r="D46" s="53" t="s">
        <v>138</v>
      </c>
      <c r="E46" s="53" t="s">
        <v>134</v>
      </c>
      <c r="F46" s="54" t="s">
        <v>151</v>
      </c>
      <c r="G46" s="106">
        <v>43869</v>
      </c>
      <c r="H46" s="100">
        <v>1</v>
      </c>
      <c r="I46" s="106"/>
      <c r="J46" s="100"/>
      <c r="K46" s="55" t="s">
        <v>523</v>
      </c>
      <c r="AS46" s="56"/>
      <c r="AT46" s="55"/>
      <c r="CB46" s="56"/>
      <c r="CC46" s="54"/>
    </row>
    <row r="47" spans="2:81">
      <c r="B47" s="52" t="str">
        <f>IF(F47&lt;&gt;"",SUBTOTAL(3,$F$5:F47),"")</f>
        <v/>
      </c>
      <c r="C47" s="52"/>
      <c r="D47" s="53"/>
      <c r="E47" s="53"/>
      <c r="F47" s="54"/>
      <c r="G47" s="106"/>
      <c r="H47" s="100"/>
      <c r="I47" s="106"/>
      <c r="J47" s="101"/>
      <c r="K47" s="55" t="s">
        <v>522</v>
      </c>
      <c r="AS47" s="56"/>
      <c r="AT47" s="55"/>
      <c r="CB47" s="56"/>
      <c r="CC47" s="54"/>
    </row>
    <row r="48" spans="2:81">
      <c r="B48" s="52" t="str">
        <f>IF(F48&lt;&gt;"",SUBTOTAL(3,$F$5:F48),"")</f>
        <v/>
      </c>
      <c r="C48" s="52"/>
      <c r="D48" s="53"/>
      <c r="E48" s="53"/>
      <c r="F48" s="54"/>
      <c r="G48" s="106"/>
      <c r="H48" s="100"/>
      <c r="I48" s="106"/>
      <c r="J48" s="101"/>
      <c r="K48" s="55"/>
      <c r="AS48" s="56"/>
      <c r="AT48" s="55"/>
      <c r="CB48" s="56"/>
      <c r="CC48" s="54"/>
    </row>
    <row r="49" spans="2:81">
      <c r="B49" s="113">
        <f>IF(F49&lt;&gt;"",SUBTOTAL(3,$F$5:F49),"")</f>
        <v>13</v>
      </c>
      <c r="C49" s="113"/>
      <c r="D49" s="114" t="s">
        <v>138</v>
      </c>
      <c r="E49" s="114" t="s">
        <v>134</v>
      </c>
      <c r="F49" s="119" t="s">
        <v>152</v>
      </c>
      <c r="G49" s="118">
        <v>43869</v>
      </c>
      <c r="H49" s="117">
        <v>0.5</v>
      </c>
      <c r="I49" s="118"/>
      <c r="J49" s="100"/>
      <c r="K49" s="55" t="s">
        <v>534</v>
      </c>
      <c r="AS49" s="56"/>
      <c r="AT49" s="55"/>
      <c r="CB49" s="56"/>
      <c r="CC49" s="54"/>
    </row>
    <row r="50" spans="2:81">
      <c r="B50" s="113" t="str">
        <f>IF(F50&lt;&gt;"",SUBTOTAL(3,$F$5:F50),"")</f>
        <v/>
      </c>
      <c r="C50" s="113"/>
      <c r="D50" s="114"/>
      <c r="E50" s="114"/>
      <c r="F50" s="119"/>
      <c r="G50" s="118"/>
      <c r="H50" s="117"/>
      <c r="I50" s="118"/>
      <c r="J50" s="102"/>
      <c r="K50" s="55" t="s">
        <v>535</v>
      </c>
      <c r="AS50" s="56"/>
      <c r="AT50" s="55"/>
      <c r="CB50" s="56"/>
      <c r="CC50" s="54"/>
    </row>
    <row r="51" spans="2:81">
      <c r="B51" s="113" t="str">
        <f>IF(F51&lt;&gt;"",SUBTOTAL(3,$F$5:F51),"")</f>
        <v/>
      </c>
      <c r="C51" s="113"/>
      <c r="D51" s="114"/>
      <c r="E51" s="114"/>
      <c r="F51" s="119"/>
      <c r="G51" s="118"/>
      <c r="H51" s="117"/>
      <c r="I51" s="118"/>
      <c r="J51" s="102"/>
      <c r="K51" s="55" t="s">
        <v>536</v>
      </c>
      <c r="AS51" s="56"/>
      <c r="AT51" s="55"/>
      <c r="CB51" s="56"/>
      <c r="CC51" s="54"/>
    </row>
    <row r="52" spans="2:81">
      <c r="B52" s="113" t="str">
        <f>IF(F52&lt;&gt;"",SUBTOTAL(3,$F$5:F52),"")</f>
        <v/>
      </c>
      <c r="C52" s="113"/>
      <c r="D52" s="114"/>
      <c r="E52" s="114"/>
      <c r="F52" s="119"/>
      <c r="G52" s="118"/>
      <c r="H52" s="117"/>
      <c r="I52" s="118"/>
      <c r="J52" s="102"/>
      <c r="K52" s="55" t="s">
        <v>541</v>
      </c>
      <c r="AS52" s="56"/>
      <c r="AT52" s="55"/>
      <c r="CB52" s="56"/>
      <c r="CC52" s="54"/>
    </row>
    <row r="53" spans="2:81">
      <c r="B53" s="113" t="str">
        <f>IF(F53&lt;&gt;"",SUBTOTAL(3,$F$5:F53),"")</f>
        <v/>
      </c>
      <c r="C53" s="113"/>
      <c r="D53" s="114"/>
      <c r="E53" s="114"/>
      <c r="F53" s="119"/>
      <c r="G53" s="118"/>
      <c r="H53" s="117"/>
      <c r="I53" s="118"/>
      <c r="J53" s="102"/>
      <c r="K53" s="55"/>
      <c r="AS53" s="56"/>
      <c r="AT53" s="55"/>
      <c r="CB53" s="56"/>
      <c r="CC53" s="54"/>
    </row>
    <row r="54" spans="2:81">
      <c r="B54" s="113">
        <f>IF(F54&lt;&gt;"",SUBTOTAL(3,$F$5:F54),"")</f>
        <v>14</v>
      </c>
      <c r="C54" s="113"/>
      <c r="D54" s="114" t="s">
        <v>138</v>
      </c>
      <c r="E54" s="114" t="s">
        <v>134</v>
      </c>
      <c r="F54" s="119" t="s">
        <v>153</v>
      </c>
      <c r="G54" s="118">
        <v>43869</v>
      </c>
      <c r="H54" s="117">
        <v>0.8</v>
      </c>
      <c r="I54" s="118"/>
      <c r="J54" s="100"/>
      <c r="K54" s="55" t="s">
        <v>549</v>
      </c>
      <c r="AS54" s="56"/>
      <c r="AT54" s="55"/>
      <c r="CB54" s="56"/>
      <c r="CC54" s="54"/>
    </row>
    <row r="55" spans="2:81">
      <c r="B55" s="113" t="str">
        <f>IF(F55&lt;&gt;"",SUBTOTAL(3,$F$5:F55),"")</f>
        <v/>
      </c>
      <c r="C55" s="113"/>
      <c r="D55" s="114"/>
      <c r="E55" s="114"/>
      <c r="F55" s="119"/>
      <c r="G55" s="118"/>
      <c r="H55" s="117"/>
      <c r="I55" s="118"/>
      <c r="J55" s="102"/>
      <c r="K55" s="55" t="s">
        <v>551</v>
      </c>
      <c r="AS55" s="56"/>
      <c r="AT55" s="55"/>
      <c r="CB55" s="56"/>
      <c r="CC55" s="54"/>
    </row>
    <row r="56" spans="2:81">
      <c r="B56" s="113" t="str">
        <f>IF(F56&lt;&gt;"",SUBTOTAL(3,$F$5:F56),"")</f>
        <v/>
      </c>
      <c r="C56" s="113"/>
      <c r="D56" s="114"/>
      <c r="E56" s="114"/>
      <c r="F56" s="119"/>
      <c r="G56" s="118"/>
      <c r="H56" s="117"/>
      <c r="I56" s="118"/>
      <c r="J56" s="102"/>
      <c r="K56" s="55" t="s">
        <v>550</v>
      </c>
      <c r="AS56" s="56"/>
      <c r="AT56" s="55"/>
      <c r="CB56" s="56"/>
      <c r="CC56" s="54"/>
    </row>
    <row r="57" spans="2:81">
      <c r="B57" s="113" t="str">
        <f>IF(F57&lt;&gt;"",SUBTOTAL(3,$F$5:F57),"")</f>
        <v/>
      </c>
      <c r="C57" s="113"/>
      <c r="D57" s="114"/>
      <c r="E57" s="114"/>
      <c r="F57" s="119"/>
      <c r="G57" s="118"/>
      <c r="H57" s="117"/>
      <c r="I57" s="118"/>
      <c r="J57" s="102"/>
      <c r="K57" s="55" t="s">
        <v>552</v>
      </c>
      <c r="AS57" s="56"/>
      <c r="AT57" s="55"/>
      <c r="CB57" s="56"/>
      <c r="CC57" s="54"/>
    </row>
    <row r="58" spans="2:81">
      <c r="B58" s="113" t="str">
        <f>IF(F58&lt;&gt;"",SUBTOTAL(3,$F$5:F58),"")</f>
        <v/>
      </c>
      <c r="C58" s="113"/>
      <c r="D58" s="114"/>
      <c r="E58" s="114"/>
      <c r="F58" s="119"/>
      <c r="G58" s="118"/>
      <c r="H58" s="117"/>
      <c r="I58" s="118"/>
      <c r="J58" s="102"/>
      <c r="K58" s="55"/>
      <c r="AS58" s="56"/>
      <c r="AT58" s="55"/>
      <c r="CB58" s="56"/>
      <c r="CC58" s="54"/>
    </row>
    <row r="59" spans="2:81">
      <c r="B59" s="113">
        <f>IF(F59&lt;&gt;"",SUBTOTAL(3,$F$5:F59),"")</f>
        <v>15</v>
      </c>
      <c r="C59" s="113"/>
      <c r="D59" s="114" t="s">
        <v>138</v>
      </c>
      <c r="E59" s="114" t="s">
        <v>134</v>
      </c>
      <c r="F59" s="119" t="s">
        <v>154</v>
      </c>
      <c r="G59" s="118">
        <v>43871</v>
      </c>
      <c r="H59" s="117">
        <v>0.5</v>
      </c>
      <c r="I59" s="118"/>
      <c r="J59" s="100"/>
      <c r="K59" s="55" t="s">
        <v>537</v>
      </c>
      <c r="AS59" s="56"/>
      <c r="AT59" s="55"/>
      <c r="CB59" s="56"/>
      <c r="CC59" s="54"/>
    </row>
    <row r="60" spans="2:81">
      <c r="B60" s="113" t="str">
        <f>IF(F60&lt;&gt;"",SUBTOTAL(3,$F$5:F60),"")</f>
        <v/>
      </c>
      <c r="C60" s="113"/>
      <c r="D60" s="114"/>
      <c r="E60" s="114"/>
      <c r="F60" s="119"/>
      <c r="G60" s="118"/>
      <c r="H60" s="117"/>
      <c r="I60" s="118"/>
      <c r="J60" s="102"/>
      <c r="K60" s="55" t="s">
        <v>538</v>
      </c>
      <c r="AS60" s="56"/>
      <c r="AT60" s="55"/>
      <c r="CB60" s="56"/>
      <c r="CC60" s="54"/>
    </row>
    <row r="61" spans="2:81">
      <c r="B61" s="113" t="str">
        <f>IF(F61&lt;&gt;"",SUBTOTAL(3,$F$5:F61),"")</f>
        <v/>
      </c>
      <c r="C61" s="113"/>
      <c r="D61" s="114"/>
      <c r="E61" s="114"/>
      <c r="F61" s="119"/>
      <c r="G61" s="118"/>
      <c r="H61" s="117"/>
      <c r="I61" s="118"/>
      <c r="J61" s="102"/>
      <c r="K61" s="55" t="s">
        <v>539</v>
      </c>
      <c r="AS61" s="56"/>
      <c r="AT61" s="55"/>
      <c r="CB61" s="56"/>
      <c r="CC61" s="54"/>
    </row>
    <row r="62" spans="2:81">
      <c r="B62" s="113" t="str">
        <f>IF(F62&lt;&gt;"",SUBTOTAL(3,$F$5:F62),"")</f>
        <v/>
      </c>
      <c r="C62" s="113"/>
      <c r="D62" s="114"/>
      <c r="E62" s="114"/>
      <c r="F62" s="119"/>
      <c r="G62" s="118"/>
      <c r="H62" s="117"/>
      <c r="I62" s="118"/>
      <c r="J62" s="102"/>
      <c r="K62" s="55" t="s">
        <v>540</v>
      </c>
      <c r="AS62" s="56"/>
      <c r="AT62" s="55"/>
      <c r="CB62" s="56"/>
      <c r="CC62" s="54"/>
    </row>
    <row r="63" spans="2:81">
      <c r="B63" s="113" t="str">
        <f>IF(F63&lt;&gt;"",SUBTOTAL(3,$F$5:F63),"")</f>
        <v/>
      </c>
      <c r="C63" s="113"/>
      <c r="D63" s="114"/>
      <c r="E63" s="114"/>
      <c r="F63" s="119"/>
      <c r="G63" s="118"/>
      <c r="H63" s="117"/>
      <c r="I63" s="118"/>
      <c r="J63" s="102"/>
      <c r="K63" s="55"/>
      <c r="AS63" s="56"/>
      <c r="AT63" s="55"/>
      <c r="CB63" s="56"/>
      <c r="CC63" s="54"/>
    </row>
    <row r="64" spans="2:81">
      <c r="B64" s="113">
        <f>IF(G64&lt;&gt;"",SUBTOTAL(3,$G$5:G64),"")</f>
        <v>16</v>
      </c>
      <c r="C64" s="113"/>
      <c r="D64" s="114" t="s">
        <v>138</v>
      </c>
      <c r="E64" s="114" t="s">
        <v>134</v>
      </c>
      <c r="F64" s="119" t="s">
        <v>674</v>
      </c>
      <c r="G64" s="118">
        <v>44523</v>
      </c>
      <c r="H64" s="117">
        <v>0.5</v>
      </c>
      <c r="I64" s="120"/>
      <c r="J64" s="102"/>
      <c r="K64" s="55" t="s">
        <v>681</v>
      </c>
      <c r="AS64" s="56"/>
      <c r="AT64" s="55"/>
      <c r="CB64" s="56"/>
      <c r="CC64" s="54"/>
    </row>
    <row r="65" spans="2:81">
      <c r="B65" s="113" t="str">
        <f>IF(G65&lt;&gt;"",SUBTOTAL(3,$G$5:G65),"")</f>
        <v/>
      </c>
      <c r="C65" s="113"/>
      <c r="D65" s="114"/>
      <c r="E65" s="114"/>
      <c r="F65" s="119"/>
      <c r="G65" s="118"/>
      <c r="H65" s="117"/>
      <c r="I65" s="120"/>
      <c r="J65" s="102"/>
      <c r="K65" s="55"/>
      <c r="AS65" s="56"/>
      <c r="AT65" s="55"/>
      <c r="CB65" s="56"/>
      <c r="CC65" s="54"/>
    </row>
    <row r="66" spans="2:81">
      <c r="B66" s="113" t="str">
        <f>IF(G66&lt;&gt;"",SUBTOTAL(3,$G$5:G66),"")</f>
        <v/>
      </c>
      <c r="C66" s="113"/>
      <c r="D66" s="114"/>
      <c r="E66" s="114"/>
      <c r="F66" s="119"/>
      <c r="G66" s="118"/>
      <c r="H66" s="117"/>
      <c r="I66" s="120"/>
      <c r="J66" s="102"/>
      <c r="K66" s="55"/>
      <c r="AS66" s="56"/>
      <c r="AT66" s="55"/>
      <c r="CB66" s="56"/>
      <c r="CC66" s="54"/>
    </row>
    <row r="67" spans="2:81">
      <c r="B67" s="113" t="str">
        <f>IF(G67&lt;&gt;"",SUBTOTAL(3,$G$5:G67),"")</f>
        <v/>
      </c>
      <c r="C67" s="113"/>
      <c r="D67" s="114"/>
      <c r="E67" s="114"/>
      <c r="F67" s="119"/>
      <c r="G67" s="118"/>
      <c r="H67" s="117"/>
      <c r="I67" s="120"/>
      <c r="J67" s="102"/>
      <c r="K67" s="55"/>
      <c r="AS67" s="56"/>
      <c r="AT67" s="55"/>
      <c r="CB67" s="56"/>
      <c r="CC67" s="54"/>
    </row>
    <row r="68" spans="2:81">
      <c r="B68" s="113" t="str">
        <f>IF(G68&lt;&gt;"",SUBTOTAL(3,$G$5:G68),"")</f>
        <v/>
      </c>
      <c r="C68" s="113"/>
      <c r="D68" s="114"/>
      <c r="E68" s="114"/>
      <c r="F68" s="119"/>
      <c r="G68" s="118"/>
      <c r="H68" s="117"/>
      <c r="I68" s="120"/>
      <c r="J68" s="102"/>
      <c r="K68" s="55"/>
      <c r="AS68" s="56"/>
      <c r="AT68" s="55"/>
      <c r="CB68" s="56"/>
      <c r="CC68" s="54"/>
    </row>
    <row r="69" spans="2:81">
      <c r="B69" s="113" t="str">
        <f>IF(G69&lt;&gt;"",SUBTOTAL(3,$G$5:G69),"")</f>
        <v/>
      </c>
      <c r="C69" s="113"/>
      <c r="D69" s="114"/>
      <c r="E69" s="114"/>
      <c r="F69" s="119"/>
      <c r="G69" s="118"/>
      <c r="H69" s="117"/>
      <c r="I69" s="120"/>
      <c r="J69" s="102"/>
      <c r="K69" s="55"/>
      <c r="AS69" s="56"/>
      <c r="AT69" s="55"/>
      <c r="CB69" s="56"/>
      <c r="CC69" s="54"/>
    </row>
    <row r="70" spans="2:81">
      <c r="B70" s="52">
        <f>IF(G70&lt;&gt;"",SUBTOTAL(3,$G$5:G70),"")</f>
        <v>17</v>
      </c>
      <c r="C70" s="52"/>
      <c r="D70" s="53" t="s">
        <v>138</v>
      </c>
      <c r="E70" s="53" t="s">
        <v>134</v>
      </c>
      <c r="F70" s="54" t="s">
        <v>676</v>
      </c>
      <c r="G70" s="106">
        <v>44409</v>
      </c>
      <c r="H70" s="100">
        <v>1</v>
      </c>
      <c r="I70" s="108"/>
      <c r="J70" s="102"/>
      <c r="K70" s="55" t="s">
        <v>671</v>
      </c>
      <c r="AS70" s="56"/>
      <c r="AT70" s="55"/>
      <c r="CB70" s="56"/>
      <c r="CC70" s="54"/>
    </row>
    <row r="71" spans="2:81">
      <c r="B71" s="52" t="str">
        <f>IF(G71&lt;&gt;"",SUBTOTAL(3,$G$5:G71),"")</f>
        <v/>
      </c>
      <c r="C71" s="52"/>
      <c r="D71" s="53"/>
      <c r="E71" s="53"/>
      <c r="F71" s="54"/>
      <c r="G71" s="106"/>
      <c r="H71" s="100"/>
      <c r="I71" s="108"/>
      <c r="J71" s="102"/>
      <c r="K71" s="55" t="s">
        <v>672</v>
      </c>
      <c r="AS71" s="56"/>
      <c r="AT71" s="55"/>
      <c r="CB71" s="56"/>
      <c r="CC71" s="54"/>
    </row>
    <row r="72" spans="2:81">
      <c r="B72" s="52" t="str">
        <f>IF(G72&lt;&gt;"",SUBTOTAL(3,$G$5:G72),"")</f>
        <v/>
      </c>
      <c r="C72" s="52"/>
      <c r="D72" s="53"/>
      <c r="E72" s="53"/>
      <c r="F72" s="54"/>
      <c r="G72" s="106"/>
      <c r="H72" s="100"/>
      <c r="I72" s="108"/>
      <c r="J72" s="102"/>
      <c r="K72" s="55" t="s">
        <v>673</v>
      </c>
      <c r="AS72" s="56"/>
      <c r="AT72" s="55"/>
      <c r="CB72" s="56"/>
      <c r="CC72" s="54"/>
    </row>
    <row r="73" spans="2:81">
      <c r="B73" s="52" t="str">
        <f>IF(G73&lt;&gt;"",SUBTOTAL(3,$G$5:G73),"")</f>
        <v/>
      </c>
      <c r="C73" s="52"/>
      <c r="D73" s="53"/>
      <c r="E73" s="53"/>
      <c r="F73" s="54"/>
      <c r="G73" s="106"/>
      <c r="H73" s="100"/>
      <c r="I73" s="108"/>
      <c r="J73" s="102"/>
      <c r="K73" s="55"/>
      <c r="AS73" s="56"/>
      <c r="AT73" s="55"/>
      <c r="CB73" s="56"/>
      <c r="CC73" s="54"/>
    </row>
    <row r="74" spans="2:81">
      <c r="B74" s="52">
        <f>IF(G74&lt;&gt;"",SUBTOTAL(3,$G$5:G74),"")</f>
        <v>18</v>
      </c>
      <c r="C74" s="52"/>
      <c r="D74" s="53" t="s">
        <v>138</v>
      </c>
      <c r="E74" s="53" t="s">
        <v>141</v>
      </c>
      <c r="F74" s="54" t="s">
        <v>675</v>
      </c>
      <c r="G74" s="106">
        <v>44409</v>
      </c>
      <c r="H74" s="100">
        <v>1</v>
      </c>
      <c r="I74" s="108"/>
      <c r="J74" s="102"/>
      <c r="K74" s="81" t="s">
        <v>668</v>
      </c>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1"/>
      <c r="AT74" s="55"/>
      <c r="CB74" s="56"/>
      <c r="CC74" s="54"/>
    </row>
    <row r="75" spans="2:81">
      <c r="B75" s="52" t="str">
        <f>IF(G75&lt;&gt;"",SUBTOTAL(3,$G$5:G75),"")</f>
        <v/>
      </c>
      <c r="C75" s="52"/>
      <c r="D75" s="53"/>
      <c r="E75" s="53"/>
      <c r="F75" s="54"/>
      <c r="G75" s="106"/>
      <c r="H75" s="100"/>
      <c r="I75" s="108"/>
      <c r="J75" s="102"/>
      <c r="K75" s="81" t="s">
        <v>670</v>
      </c>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1"/>
      <c r="AT75" s="55"/>
      <c r="CB75" s="56"/>
      <c r="CC75" s="54"/>
    </row>
    <row r="76" spans="2:81">
      <c r="B76" s="52" t="str">
        <f>IF(G76&lt;&gt;"",SUBTOTAL(3,$G$5:G76),"")</f>
        <v/>
      </c>
      <c r="C76" s="52"/>
      <c r="D76" s="53"/>
      <c r="E76" s="53"/>
      <c r="F76" s="54"/>
      <c r="G76" s="106"/>
      <c r="H76" s="100"/>
      <c r="I76" s="108"/>
      <c r="J76" s="102"/>
      <c r="K76" s="81" t="s">
        <v>669</v>
      </c>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1"/>
      <c r="AT76" s="55"/>
      <c r="CB76" s="56"/>
      <c r="CC76" s="54"/>
    </row>
    <row r="77" spans="2:81">
      <c r="B77" s="52"/>
      <c r="C77" s="52"/>
      <c r="D77" s="53"/>
      <c r="E77" s="53"/>
      <c r="F77" s="54"/>
      <c r="G77" s="106"/>
      <c r="H77" s="100"/>
      <c r="I77" s="108"/>
      <c r="J77" s="102"/>
      <c r="K77" s="81"/>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1"/>
      <c r="AT77" s="55"/>
      <c r="CB77" s="56"/>
      <c r="CC77" s="54"/>
    </row>
    <row r="78" spans="2:81">
      <c r="B78" s="52">
        <f>IF(F78&lt;&gt;"",SUBTOTAL(3,$F$5:F78),"")</f>
        <v>19</v>
      </c>
      <c r="C78" s="52"/>
      <c r="D78" s="53" t="s">
        <v>138</v>
      </c>
      <c r="E78" s="53" t="s">
        <v>141</v>
      </c>
      <c r="F78" s="53" t="s">
        <v>660</v>
      </c>
      <c r="G78" s="106">
        <v>44334</v>
      </c>
      <c r="H78" s="100">
        <v>1</v>
      </c>
      <c r="I78" s="106"/>
      <c r="J78" s="100"/>
      <c r="K78" s="55"/>
      <c r="AS78" s="56"/>
      <c r="AT78" s="55"/>
      <c r="CB78" s="56"/>
      <c r="CC78" s="54"/>
    </row>
    <row r="79" spans="2:81">
      <c r="B79" s="52" t="str">
        <f>IF(F79&lt;&gt;"",SUBTOTAL(3,$F$5:F79),"")</f>
        <v/>
      </c>
      <c r="C79" s="52"/>
      <c r="D79" s="53"/>
      <c r="E79" s="53"/>
      <c r="F79" s="53"/>
      <c r="G79" s="106"/>
      <c r="H79" s="100"/>
      <c r="I79" s="106"/>
      <c r="J79" s="100"/>
      <c r="K79" s="55"/>
      <c r="AS79" s="56"/>
      <c r="AT79" s="55"/>
      <c r="CB79" s="56"/>
      <c r="CC79" s="54"/>
    </row>
    <row r="80" spans="2:81">
      <c r="B80" s="52" t="str">
        <f>IF(F80&lt;&gt;"",SUBTOTAL(3,$F$5:F80),"")</f>
        <v/>
      </c>
      <c r="C80" s="52"/>
      <c r="D80" s="53"/>
      <c r="E80" s="53"/>
      <c r="F80" s="53"/>
      <c r="G80" s="106"/>
      <c r="H80" s="100"/>
      <c r="I80" s="106"/>
      <c r="J80" s="100"/>
      <c r="K80" s="55"/>
      <c r="AS80" s="56"/>
      <c r="AT80" s="55"/>
      <c r="CB80" s="56"/>
      <c r="CC80" s="54"/>
    </row>
    <row r="81" spans="2:81">
      <c r="B81" s="52" t="str">
        <f>IF(F81&lt;&gt;"",SUBTOTAL(3,$F$5:F81),"")</f>
        <v/>
      </c>
      <c r="C81" s="52"/>
      <c r="D81" s="53"/>
      <c r="E81" s="53"/>
      <c r="F81" s="53"/>
      <c r="G81" s="106"/>
      <c r="H81" s="100"/>
      <c r="I81" s="106"/>
      <c r="J81" s="100"/>
      <c r="K81" s="55"/>
      <c r="AS81" s="56"/>
      <c r="AT81" s="55"/>
      <c r="CB81" s="56"/>
      <c r="CC81" s="54"/>
    </row>
    <row r="82" spans="2:81">
      <c r="B82" s="113">
        <f>IF(F82&lt;&gt;"",SUBTOTAL(3,$F$5:F82),"")</f>
        <v>20</v>
      </c>
      <c r="C82" s="113"/>
      <c r="D82" s="114" t="s">
        <v>138</v>
      </c>
      <c r="E82" s="114" t="s">
        <v>141</v>
      </c>
      <c r="F82" s="114" t="s">
        <v>661</v>
      </c>
      <c r="G82" s="118">
        <v>44335</v>
      </c>
      <c r="H82" s="117">
        <v>0.5</v>
      </c>
      <c r="I82" s="118"/>
      <c r="J82" s="117"/>
      <c r="K82" s="55"/>
      <c r="AS82" s="56"/>
      <c r="AT82" s="55"/>
      <c r="CB82" s="56"/>
      <c r="CC82" s="54"/>
    </row>
    <row r="83" spans="2:81">
      <c r="B83" s="52" t="str">
        <f>IF(F83&lt;&gt;"",SUBTOTAL(3,$F$5:F83),"")</f>
        <v/>
      </c>
      <c r="C83" s="52"/>
      <c r="D83" s="53"/>
      <c r="E83" s="53"/>
      <c r="F83" s="53"/>
      <c r="G83" s="106"/>
      <c r="H83" s="100"/>
      <c r="I83" s="106"/>
      <c r="J83" s="100"/>
      <c r="K83" s="55"/>
      <c r="AS83" s="56"/>
      <c r="AT83" s="55"/>
      <c r="CB83" s="56"/>
      <c r="CC83" s="54"/>
    </row>
    <row r="84" spans="2:81">
      <c r="B84" s="52" t="str">
        <f>IF(F84&lt;&gt;"",SUBTOTAL(3,$F$5:F84),"")</f>
        <v/>
      </c>
      <c r="C84" s="52"/>
      <c r="D84" s="53"/>
      <c r="E84" s="53"/>
      <c r="F84" s="53"/>
      <c r="G84" s="106"/>
      <c r="H84" s="100"/>
      <c r="I84" s="106"/>
      <c r="J84" s="100"/>
      <c r="K84" s="55"/>
      <c r="AS84" s="56"/>
      <c r="AT84" s="55"/>
      <c r="CB84" s="56"/>
      <c r="CC84" s="54"/>
    </row>
    <row r="85" spans="2:81">
      <c r="B85" s="52" t="str">
        <f>IF(F85&lt;&gt;"",SUBTOTAL(3,$F$5:F649),"")</f>
        <v/>
      </c>
      <c r="C85" s="52"/>
      <c r="D85" s="53"/>
      <c r="E85" s="53"/>
      <c r="F85" s="53"/>
      <c r="G85" s="106"/>
      <c r="H85" s="100"/>
      <c r="I85" s="106"/>
      <c r="J85" s="100"/>
      <c r="K85" s="55"/>
      <c r="AS85" s="56"/>
      <c r="AT85" s="55"/>
      <c r="CB85" s="56"/>
      <c r="CC85" s="54"/>
    </row>
    <row r="86" spans="2:81">
      <c r="B86" s="113">
        <f>IF(F86&lt;&gt;"",SUBTOTAL(3,$F$5:F86),"")</f>
        <v>21</v>
      </c>
      <c r="C86" s="113"/>
      <c r="D86" s="114" t="s">
        <v>138</v>
      </c>
      <c r="E86" s="114" t="s">
        <v>141</v>
      </c>
      <c r="F86" s="114" t="s">
        <v>662</v>
      </c>
      <c r="G86" s="118">
        <v>44327</v>
      </c>
      <c r="H86" s="117">
        <v>0.8</v>
      </c>
      <c r="I86" s="118"/>
      <c r="J86" s="117"/>
      <c r="K86" s="55"/>
      <c r="AS86" s="56"/>
      <c r="AT86" s="55"/>
      <c r="CB86" s="56"/>
      <c r="CC86" s="54"/>
    </row>
    <row r="87" spans="2:81">
      <c r="B87" s="52" t="str">
        <f>IF(F87&lt;&gt;"",SUBTOTAL(3,$F$5:F87),"")</f>
        <v/>
      </c>
      <c r="C87" s="52"/>
      <c r="D87" s="53"/>
      <c r="E87" s="53"/>
      <c r="F87" s="53"/>
      <c r="G87" s="106"/>
      <c r="H87" s="100"/>
      <c r="I87" s="106"/>
      <c r="J87" s="100"/>
      <c r="K87" s="55"/>
      <c r="AS87" s="56"/>
      <c r="AT87" s="55"/>
      <c r="CB87" s="56"/>
      <c r="CC87" s="54"/>
    </row>
    <row r="88" spans="2:81">
      <c r="B88" s="52" t="str">
        <f>IF(F88&lt;&gt;"",SUBTOTAL(3,$F$5:F88),"")</f>
        <v/>
      </c>
      <c r="C88" s="52"/>
      <c r="D88" s="53"/>
      <c r="E88" s="53"/>
      <c r="F88" s="53"/>
      <c r="G88" s="106"/>
      <c r="H88" s="100"/>
      <c r="I88" s="106"/>
      <c r="J88" s="100"/>
      <c r="K88" s="55"/>
      <c r="AS88" s="56"/>
      <c r="AT88" s="55"/>
      <c r="CB88" s="56"/>
      <c r="CC88" s="54"/>
    </row>
    <row r="89" spans="2:81">
      <c r="B89" s="52" t="str">
        <f>IF(F89&lt;&gt;"",SUBTOTAL(3,$F$5:F649),"")</f>
        <v/>
      </c>
      <c r="C89" s="52"/>
      <c r="D89" s="53"/>
      <c r="E89" s="53"/>
      <c r="F89" s="53"/>
      <c r="G89" s="106"/>
      <c r="H89" s="100"/>
      <c r="I89" s="106"/>
      <c r="J89" s="100"/>
      <c r="K89" s="55"/>
      <c r="AS89" s="56"/>
      <c r="AT89" s="55"/>
      <c r="CB89" s="56"/>
      <c r="CC89" s="54"/>
    </row>
    <row r="90" spans="2:81">
      <c r="B90" s="52" t="str">
        <f>IF(G90&lt;&gt;"",SUBTOTAL(3,$G$5:G109),"")</f>
        <v/>
      </c>
      <c r="C90" s="52"/>
      <c r="D90" s="53"/>
      <c r="E90" s="53"/>
      <c r="F90" s="54"/>
      <c r="G90" s="106"/>
      <c r="H90" s="100"/>
      <c r="I90" s="108"/>
      <c r="J90" s="102"/>
      <c r="K90" s="59"/>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1"/>
      <c r="AT90" s="55"/>
      <c r="CB90" s="56"/>
      <c r="CC90" s="54"/>
    </row>
    <row r="91" spans="2:81">
      <c r="B91" s="52">
        <f>IF(F91&lt;&gt;"",SUBTOTAL(3,$F$5:F91),"")</f>
        <v>22</v>
      </c>
      <c r="C91" s="52"/>
      <c r="D91" s="53" t="s">
        <v>138</v>
      </c>
      <c r="E91" s="53" t="s">
        <v>141</v>
      </c>
      <c r="F91" s="54" t="s">
        <v>228</v>
      </c>
      <c r="G91" s="106">
        <v>44087</v>
      </c>
      <c r="H91" s="100">
        <v>1</v>
      </c>
      <c r="I91" s="106"/>
      <c r="J91" s="100"/>
      <c r="K91" s="55" t="s">
        <v>237</v>
      </c>
      <c r="AS91" s="56"/>
      <c r="AT91" s="55"/>
      <c r="CB91" s="56"/>
      <c r="CC91" s="54"/>
    </row>
    <row r="92" spans="2:81">
      <c r="B92" s="52" t="str">
        <f>IF(F92&lt;&gt;"",SUBTOTAL(3,$F$5:F92),"")</f>
        <v/>
      </c>
      <c r="C92" s="52"/>
      <c r="D92" s="53"/>
      <c r="E92" s="53"/>
      <c r="F92" s="54"/>
      <c r="G92" s="106"/>
      <c r="H92" s="100"/>
      <c r="I92" s="106"/>
      <c r="J92" s="101"/>
      <c r="K92" s="55" t="s">
        <v>238</v>
      </c>
      <c r="AS92" s="56"/>
      <c r="AT92" s="55"/>
      <c r="CB92" s="56"/>
      <c r="CC92" s="54"/>
    </row>
    <row r="93" spans="2:81">
      <c r="B93" s="52" t="str">
        <f>IF(F93&lt;&gt;"",SUBTOTAL(3,$F$5:F93),"")</f>
        <v/>
      </c>
      <c r="C93" s="52"/>
      <c r="D93" s="53"/>
      <c r="E93" s="53"/>
      <c r="F93" s="54"/>
      <c r="G93" s="106"/>
      <c r="H93" s="100"/>
      <c r="I93" s="106"/>
      <c r="J93" s="101"/>
      <c r="K93" s="55" t="s">
        <v>239</v>
      </c>
      <c r="AS93" s="56"/>
      <c r="AT93" s="55"/>
      <c r="CB93" s="56"/>
      <c r="CC93" s="54"/>
    </row>
    <row r="94" spans="2:81">
      <c r="B94" s="52" t="str">
        <f>IF(F94&lt;&gt;"",SUBTOTAL(3,$F$5:F94),"")</f>
        <v/>
      </c>
      <c r="C94" s="52"/>
      <c r="D94" s="53"/>
      <c r="E94" s="53"/>
      <c r="F94" s="54"/>
      <c r="G94" s="106"/>
      <c r="H94" s="100"/>
      <c r="I94" s="106"/>
      <c r="J94" s="101"/>
      <c r="K94" s="55" t="s">
        <v>240</v>
      </c>
      <c r="AS94" s="56"/>
      <c r="AT94" s="55"/>
      <c r="CB94" s="56"/>
      <c r="CC94" s="54"/>
    </row>
    <row r="95" spans="2:81">
      <c r="B95" s="52" t="str">
        <f>IF(F95&lt;&gt;"",SUBTOTAL(3,$F$5:F95),"")</f>
        <v/>
      </c>
      <c r="C95" s="52"/>
      <c r="D95" s="53"/>
      <c r="E95" s="53"/>
      <c r="F95" s="54"/>
      <c r="G95" s="106"/>
      <c r="H95" s="100"/>
      <c r="I95" s="106"/>
      <c r="J95" s="101"/>
      <c r="K95" s="55"/>
      <c r="AS95" s="56"/>
      <c r="AT95" s="55"/>
      <c r="CB95" s="56"/>
      <c r="CC95" s="54"/>
    </row>
    <row r="96" spans="2:81">
      <c r="B96" s="52">
        <f>IF(F96&lt;&gt;"",SUBTOTAL(3,$F$5:F96),"")</f>
        <v>23</v>
      </c>
      <c r="C96" s="52"/>
      <c r="D96" s="53" t="s">
        <v>138</v>
      </c>
      <c r="E96" s="53" t="s">
        <v>141</v>
      </c>
      <c r="F96" s="54" t="s">
        <v>227</v>
      </c>
      <c r="G96" s="106">
        <v>44076</v>
      </c>
      <c r="H96" s="100">
        <v>1</v>
      </c>
      <c r="I96" s="106"/>
      <c r="J96" s="100"/>
      <c r="K96" s="55" t="s">
        <v>241</v>
      </c>
      <c r="AS96" s="56"/>
      <c r="AT96" s="55"/>
      <c r="CB96" s="56"/>
      <c r="CC96" s="54"/>
    </row>
    <row r="97" spans="2:81">
      <c r="B97" s="52" t="str">
        <f>IF(F97&lt;&gt;"",SUBTOTAL(3,$F$5:F97),"")</f>
        <v/>
      </c>
      <c r="C97" s="52"/>
      <c r="D97" s="53"/>
      <c r="E97" s="53"/>
      <c r="F97" s="54"/>
      <c r="G97" s="106"/>
      <c r="H97" s="100"/>
      <c r="I97" s="106"/>
      <c r="J97" s="101"/>
      <c r="K97" s="55" t="s">
        <v>242</v>
      </c>
      <c r="AS97" s="56"/>
      <c r="AT97" s="55"/>
      <c r="CB97" s="56"/>
      <c r="CC97" s="54"/>
    </row>
    <row r="98" spans="2:81">
      <c r="B98" s="52" t="str">
        <f>IF(F98&lt;&gt;"",SUBTOTAL(3,$F$5:F98),"")</f>
        <v/>
      </c>
      <c r="C98" s="52"/>
      <c r="D98" s="53"/>
      <c r="E98" s="53"/>
      <c r="F98" s="54"/>
      <c r="G98" s="106"/>
      <c r="H98" s="100"/>
      <c r="I98" s="106"/>
      <c r="J98" s="101"/>
      <c r="K98" s="55" t="s">
        <v>243</v>
      </c>
      <c r="AS98" s="56"/>
      <c r="AT98" s="55"/>
      <c r="CB98" s="56"/>
      <c r="CC98" s="54"/>
    </row>
    <row r="99" spans="2:81">
      <c r="B99" s="52" t="str">
        <f>IF(F99&lt;&gt;"",SUBTOTAL(3,$F$5:F99),"")</f>
        <v/>
      </c>
      <c r="C99" s="52"/>
      <c r="D99" s="53"/>
      <c r="E99" s="53"/>
      <c r="F99" s="54"/>
      <c r="G99" s="106"/>
      <c r="H99" s="100"/>
      <c r="I99" s="106"/>
      <c r="J99" s="101"/>
      <c r="K99" s="55" t="s">
        <v>244</v>
      </c>
      <c r="AS99" s="56"/>
      <c r="AT99" s="55"/>
      <c r="CB99" s="56"/>
      <c r="CC99" s="54"/>
    </row>
    <row r="100" spans="2:81">
      <c r="B100" s="52" t="str">
        <f>IF(F100&lt;&gt;"",SUBTOTAL(3,$F$5:F100),"")</f>
        <v/>
      </c>
      <c r="C100" s="52"/>
      <c r="D100" s="53"/>
      <c r="E100" s="53"/>
      <c r="F100" s="54"/>
      <c r="G100" s="106"/>
      <c r="H100" s="100"/>
      <c r="I100" s="106"/>
      <c r="J100" s="101"/>
      <c r="K100" s="55" t="s">
        <v>245</v>
      </c>
      <c r="AS100" s="56"/>
      <c r="AT100" s="55"/>
      <c r="CB100" s="56"/>
      <c r="CC100" s="54"/>
    </row>
    <row r="101" spans="2:81">
      <c r="B101" s="52" t="str">
        <f>IF(F101&lt;&gt;"",SUBTOTAL(3,$F$5:F101),"")</f>
        <v/>
      </c>
      <c r="C101" s="52"/>
      <c r="D101" s="53"/>
      <c r="E101" s="53"/>
      <c r="F101" s="54"/>
      <c r="G101" s="106"/>
      <c r="H101" s="100"/>
      <c r="I101" s="106"/>
      <c r="J101" s="101"/>
      <c r="K101" s="55"/>
      <c r="AS101" s="56"/>
      <c r="AT101" s="55"/>
      <c r="CB101" s="56"/>
      <c r="CC101" s="54"/>
    </row>
    <row r="102" spans="2:81">
      <c r="B102" s="52">
        <f>IF(F102&lt;&gt;"",SUBTOTAL(3,$F$5:F102),"")</f>
        <v>24</v>
      </c>
      <c r="C102" s="52"/>
      <c r="D102" s="53" t="s">
        <v>138</v>
      </c>
      <c r="E102" s="53" t="s">
        <v>141</v>
      </c>
      <c r="F102" s="54" t="s">
        <v>226</v>
      </c>
      <c r="G102" s="106">
        <v>44080</v>
      </c>
      <c r="H102" s="100">
        <v>1</v>
      </c>
      <c r="I102" s="106"/>
      <c r="J102" s="100"/>
      <c r="K102" s="55" t="s">
        <v>230</v>
      </c>
      <c r="AS102" s="56"/>
      <c r="AT102" s="55"/>
      <c r="CB102" s="56"/>
      <c r="CC102" s="54"/>
    </row>
    <row r="103" spans="2:81">
      <c r="B103" s="52" t="str">
        <f>IF(F103&lt;&gt;"",SUBTOTAL(3,$F$5:F103),"")</f>
        <v/>
      </c>
      <c r="C103" s="52"/>
      <c r="D103" s="53"/>
      <c r="E103" s="53"/>
      <c r="F103" s="54"/>
      <c r="G103" s="106"/>
      <c r="H103" s="100"/>
      <c r="I103" s="106"/>
      <c r="J103" s="101"/>
      <c r="K103" s="55"/>
      <c r="AS103" s="56"/>
      <c r="AT103" s="55"/>
      <c r="CB103" s="56"/>
      <c r="CC103" s="54"/>
    </row>
    <row r="104" spans="2:81">
      <c r="B104" s="113">
        <f>IF(F104&lt;&gt;"",SUBTOTAL(3,$F$5:F104),"")</f>
        <v>25</v>
      </c>
      <c r="C104" s="113"/>
      <c r="D104" s="114" t="s">
        <v>138</v>
      </c>
      <c r="E104" s="114" t="s">
        <v>141</v>
      </c>
      <c r="F104" s="119" t="s">
        <v>224</v>
      </c>
      <c r="G104" s="118">
        <v>43871</v>
      </c>
      <c r="H104" s="117">
        <v>0.3</v>
      </c>
      <c r="I104" s="118"/>
      <c r="J104" s="117"/>
      <c r="K104" s="55" t="s">
        <v>246</v>
      </c>
      <c r="AS104" s="56"/>
      <c r="AT104" s="55" t="s">
        <v>332</v>
      </c>
      <c r="CB104" s="56"/>
      <c r="CC104" s="54"/>
    </row>
    <row r="105" spans="2:81">
      <c r="B105" s="113" t="str">
        <f>IF(F105&lt;&gt;"",SUBTOTAL(3,$F$5:F105),"")</f>
        <v/>
      </c>
      <c r="C105" s="113"/>
      <c r="D105" s="114"/>
      <c r="E105" s="114"/>
      <c r="F105" s="119"/>
      <c r="G105" s="118"/>
      <c r="H105" s="117"/>
      <c r="I105" s="118"/>
      <c r="J105" s="111"/>
      <c r="K105" s="55" t="s">
        <v>322</v>
      </c>
      <c r="AS105" s="56"/>
      <c r="AT105" s="55"/>
      <c r="CB105" s="56"/>
      <c r="CC105" s="54"/>
    </row>
    <row r="106" spans="2:81">
      <c r="B106" s="113" t="str">
        <f>IF(F106&lt;&gt;"",SUBTOTAL(3,$F$5:F106),"")</f>
        <v/>
      </c>
      <c r="C106" s="113"/>
      <c r="D106" s="114"/>
      <c r="E106" s="114"/>
      <c r="F106" s="119"/>
      <c r="G106" s="118"/>
      <c r="H106" s="117"/>
      <c r="I106" s="118"/>
      <c r="J106" s="111"/>
      <c r="K106" s="55" t="s">
        <v>323</v>
      </c>
      <c r="AS106" s="56"/>
      <c r="AT106" s="55"/>
      <c r="CB106" s="56"/>
      <c r="CC106" s="54"/>
    </row>
    <row r="107" spans="2:81">
      <c r="B107" s="113" t="str">
        <f>IF(F107&lt;&gt;"",SUBTOTAL(3,$F$5:F107),"")</f>
        <v/>
      </c>
      <c r="C107" s="113"/>
      <c r="D107" s="114"/>
      <c r="E107" s="114"/>
      <c r="F107" s="119"/>
      <c r="G107" s="118"/>
      <c r="H107" s="117"/>
      <c r="I107" s="118"/>
      <c r="J107" s="111"/>
      <c r="K107" s="55" t="s">
        <v>247</v>
      </c>
      <c r="AS107" s="56"/>
      <c r="AT107" s="55"/>
      <c r="CB107" s="56"/>
      <c r="CC107" s="54"/>
    </row>
    <row r="108" spans="2:81">
      <c r="B108" s="113" t="str">
        <f>IF(F108&lt;&gt;"",SUBTOTAL(3,$F$5:F108),"")</f>
        <v/>
      </c>
      <c r="C108" s="113"/>
      <c r="D108" s="114"/>
      <c r="E108" s="114"/>
      <c r="F108" s="119"/>
      <c r="G108" s="118"/>
      <c r="H108" s="117"/>
      <c r="I108" s="118"/>
      <c r="J108" s="111"/>
      <c r="K108" s="59" t="s">
        <v>225</v>
      </c>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1"/>
      <c r="AT108" s="55"/>
      <c r="CB108" s="56"/>
      <c r="CC108" s="54"/>
    </row>
    <row r="109" spans="2:81">
      <c r="B109" s="113" t="str">
        <f>IF(F109&lt;&gt;"",SUBTOTAL(3,$F$5:F109),"")</f>
        <v/>
      </c>
      <c r="C109" s="113"/>
      <c r="D109" s="114"/>
      <c r="E109" s="114"/>
      <c r="F109" s="119"/>
      <c r="G109" s="118"/>
      <c r="H109" s="117"/>
      <c r="I109" s="118"/>
      <c r="J109" s="111"/>
      <c r="K109" s="59"/>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1"/>
      <c r="AT109" s="55"/>
      <c r="CB109" s="56"/>
      <c r="CC109" s="54"/>
    </row>
    <row r="110" spans="2:81">
      <c r="B110" s="113">
        <f>IF(F110&lt;&gt;"",SUBTOTAL(3,$F$5:F110),"")</f>
        <v>26</v>
      </c>
      <c r="C110" s="113"/>
      <c r="D110" s="114" t="s">
        <v>138</v>
      </c>
      <c r="E110" s="114" t="s">
        <v>134</v>
      </c>
      <c r="F110" s="119" t="s">
        <v>222</v>
      </c>
      <c r="G110" s="118">
        <v>44072</v>
      </c>
      <c r="H110" s="117">
        <v>0.8</v>
      </c>
      <c r="I110" s="118"/>
      <c r="J110" s="117"/>
      <c r="K110" s="55" t="s">
        <v>336</v>
      </c>
      <c r="AS110" s="56"/>
      <c r="AT110" s="55" t="s">
        <v>333</v>
      </c>
      <c r="CB110" s="56"/>
      <c r="CC110" s="54"/>
    </row>
    <row r="111" spans="2:81">
      <c r="B111" s="113" t="str">
        <f>IF(F111&lt;&gt;"",SUBTOTAL(3,$F$5:F111),"")</f>
        <v/>
      </c>
      <c r="C111" s="113"/>
      <c r="D111" s="114"/>
      <c r="E111" s="114"/>
      <c r="F111" s="119"/>
      <c r="G111" s="118"/>
      <c r="H111" s="117"/>
      <c r="I111" s="118"/>
      <c r="J111" s="111"/>
      <c r="K111" s="55" t="s">
        <v>337</v>
      </c>
      <c r="AS111" s="56"/>
      <c r="AT111" s="55" t="s">
        <v>334</v>
      </c>
      <c r="CB111" s="56"/>
      <c r="CC111" s="54"/>
    </row>
    <row r="112" spans="2:81">
      <c r="B112" s="113" t="str">
        <f>IF(F112&lt;&gt;"",SUBTOTAL(3,$F$5:F112),"")</f>
        <v/>
      </c>
      <c r="C112" s="113"/>
      <c r="D112" s="114"/>
      <c r="E112" s="114"/>
      <c r="F112" s="119"/>
      <c r="G112" s="118"/>
      <c r="H112" s="117"/>
      <c r="I112" s="118"/>
      <c r="J112" s="111"/>
      <c r="K112" s="55"/>
      <c r="AS112" s="56"/>
      <c r="AT112" s="55"/>
      <c r="CB112" s="56"/>
      <c r="CC112" s="54"/>
    </row>
    <row r="113" spans="2:81">
      <c r="B113" s="113">
        <f>IF(F113&lt;&gt;"",SUBTOTAL(3,$F$5:F113),"")</f>
        <v>27</v>
      </c>
      <c r="C113" s="113"/>
      <c r="D113" s="114" t="s">
        <v>138</v>
      </c>
      <c r="E113" s="114" t="s">
        <v>134</v>
      </c>
      <c r="F113" s="119" t="s">
        <v>220</v>
      </c>
      <c r="G113" s="118">
        <v>44070</v>
      </c>
      <c r="H113" s="117">
        <v>0.8</v>
      </c>
      <c r="I113" s="118"/>
      <c r="J113" s="117"/>
      <c r="K113" s="55" t="s">
        <v>639</v>
      </c>
      <c r="AS113" s="56"/>
      <c r="AT113" s="55" t="s">
        <v>335</v>
      </c>
      <c r="CB113" s="56"/>
      <c r="CC113" s="54"/>
    </row>
    <row r="114" spans="2:81">
      <c r="B114" s="113" t="str">
        <f>IF(F114&lt;&gt;"",SUBTOTAL(3,$F$5:F114),"")</f>
        <v/>
      </c>
      <c r="C114" s="113"/>
      <c r="D114" s="114"/>
      <c r="E114" s="114"/>
      <c r="F114" s="119"/>
      <c r="G114" s="118"/>
      <c r="H114" s="117"/>
      <c r="I114" s="118"/>
      <c r="J114" s="111"/>
      <c r="K114" s="55" t="s">
        <v>640</v>
      </c>
      <c r="AS114" s="56"/>
      <c r="AT114" s="55"/>
      <c r="CB114" s="56"/>
      <c r="CC114" s="54"/>
    </row>
    <row r="115" spans="2:81">
      <c r="B115" s="113" t="str">
        <f>IF(F115&lt;&gt;"",SUBTOTAL(3,$F$5:F115),"")</f>
        <v/>
      </c>
      <c r="C115" s="113"/>
      <c r="D115" s="114"/>
      <c r="E115" s="114"/>
      <c r="F115" s="119"/>
      <c r="G115" s="118"/>
      <c r="H115" s="117"/>
      <c r="I115" s="118"/>
      <c r="J115" s="111"/>
      <c r="K115" s="55" t="s">
        <v>641</v>
      </c>
      <c r="AS115" s="56"/>
      <c r="AT115" s="55"/>
      <c r="CB115" s="56"/>
      <c r="CC115" s="54"/>
    </row>
    <row r="116" spans="2:81">
      <c r="B116" s="113" t="str">
        <f>IF(F116&lt;&gt;"",SUBTOTAL(3,$F$5:F116),"")</f>
        <v/>
      </c>
      <c r="C116" s="113"/>
      <c r="D116" s="114"/>
      <c r="E116" s="114"/>
      <c r="F116" s="119"/>
      <c r="G116" s="118"/>
      <c r="H116" s="117"/>
      <c r="I116" s="118"/>
      <c r="J116" s="111"/>
      <c r="K116" s="55" t="s">
        <v>642</v>
      </c>
      <c r="AS116" s="56"/>
      <c r="AT116" s="55"/>
      <c r="CB116" s="56"/>
      <c r="CC116" s="54"/>
    </row>
    <row r="117" spans="2:81">
      <c r="B117" s="113" t="str">
        <f>IF(F117&lt;&gt;"",SUBTOTAL(3,$F$5:F117),"")</f>
        <v/>
      </c>
      <c r="C117" s="113"/>
      <c r="D117" s="114"/>
      <c r="E117" s="114"/>
      <c r="F117" s="119"/>
      <c r="G117" s="118"/>
      <c r="H117" s="117"/>
      <c r="I117" s="118"/>
      <c r="J117" s="111"/>
      <c r="K117" s="59" t="s">
        <v>221</v>
      </c>
      <c r="AS117" s="56"/>
      <c r="AT117" s="55"/>
      <c r="CB117" s="56"/>
      <c r="CC117" s="54"/>
    </row>
    <row r="118" spans="2:81">
      <c r="B118" s="113" t="str">
        <f>IF(F118&lt;&gt;"",SUBTOTAL(3,$F$5:F118),"")</f>
        <v/>
      </c>
      <c r="C118" s="113"/>
      <c r="D118" s="114"/>
      <c r="E118" s="114"/>
      <c r="F118" s="119"/>
      <c r="G118" s="118"/>
      <c r="H118" s="117"/>
      <c r="I118" s="118"/>
      <c r="J118" s="111"/>
      <c r="K118" s="59"/>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1"/>
      <c r="AT118" s="59"/>
      <c r="AU118" s="60"/>
      <c r="AV118" s="60"/>
      <c r="AW118" s="60"/>
      <c r="AX118" s="60"/>
      <c r="AY118" s="60"/>
      <c r="AZ118" s="60"/>
      <c r="BA118" s="60"/>
      <c r="BB118" s="60"/>
      <c r="BC118" s="60"/>
      <c r="BD118" s="60"/>
      <c r="BE118" s="60"/>
      <c r="BF118" s="60"/>
      <c r="BG118" s="60"/>
      <c r="BH118" s="60"/>
      <c r="BI118" s="60"/>
      <c r="BJ118" s="60"/>
      <c r="BK118" s="60"/>
      <c r="BL118" s="60"/>
      <c r="BM118" s="60"/>
      <c r="BN118" s="60"/>
      <c r="BO118" s="60"/>
      <c r="BP118" s="60"/>
      <c r="BQ118" s="60"/>
      <c r="BR118" s="60"/>
      <c r="BS118" s="60"/>
      <c r="BT118" s="60"/>
      <c r="BU118" s="60"/>
      <c r="BV118" s="60"/>
      <c r="BW118" s="60"/>
      <c r="BX118" s="60"/>
      <c r="BY118" s="60"/>
      <c r="BZ118" s="60"/>
      <c r="CA118" s="60"/>
      <c r="CB118" s="61"/>
      <c r="CC118" s="54"/>
    </row>
    <row r="119" spans="2:81">
      <c r="B119" s="113">
        <f>IF(F119&lt;&gt;"",SUBTOTAL(3,$F$5:F119),"")</f>
        <v>28</v>
      </c>
      <c r="C119" s="113"/>
      <c r="D119" s="114" t="s">
        <v>138</v>
      </c>
      <c r="E119" s="114" t="s">
        <v>134</v>
      </c>
      <c r="F119" s="119" t="s">
        <v>216</v>
      </c>
      <c r="G119" s="118">
        <v>44066</v>
      </c>
      <c r="H119" s="117">
        <v>0</v>
      </c>
      <c r="I119" s="118"/>
      <c r="J119" s="117"/>
      <c r="K119" s="55" t="s">
        <v>248</v>
      </c>
      <c r="AS119" s="56"/>
      <c r="AT119" s="55" t="s">
        <v>217</v>
      </c>
      <c r="CB119" s="56"/>
      <c r="CC119" s="54"/>
    </row>
    <row r="120" spans="2:81">
      <c r="B120" s="113" t="str">
        <f>IF(F120&lt;&gt;"",SUBTOTAL(3,$F$5:F120),"")</f>
        <v/>
      </c>
      <c r="C120" s="113"/>
      <c r="D120" s="114"/>
      <c r="E120" s="114"/>
      <c r="F120" s="119"/>
      <c r="G120" s="118"/>
      <c r="H120" s="117"/>
      <c r="I120" s="118"/>
      <c r="J120" s="111"/>
      <c r="K120" s="59" t="str">
        <f>HYPERLINK("C:\Users\roshi_000.000\MyImp\MyOwn\Develop\C++\At_Coder\◆C++_Language解説◆.xlsm#'C++ Language解説'!座標圧縮","◆C++_Languge解説◆.xlsm#'C++ Language解説'!座標圧縮")</f>
        <v>◆C++_Languge解説◆.xlsm#'C++ Language解説'!座標圧縮</v>
      </c>
      <c r="AS120" s="56"/>
      <c r="AT120" s="55"/>
      <c r="CB120" s="56"/>
      <c r="CC120" s="54"/>
    </row>
    <row r="121" spans="2:81">
      <c r="B121" s="113" t="str">
        <f>IF(F121&lt;&gt;"",SUBTOTAL(3,$F$5:F121),"")</f>
        <v/>
      </c>
      <c r="C121" s="113"/>
      <c r="D121" s="114"/>
      <c r="E121" s="114"/>
      <c r="F121" s="119"/>
      <c r="G121" s="118"/>
      <c r="H121" s="117"/>
      <c r="I121" s="118"/>
      <c r="J121" s="111"/>
      <c r="K121" s="81" t="s">
        <v>338</v>
      </c>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1"/>
      <c r="AT121" s="55"/>
      <c r="CB121" s="56"/>
      <c r="CC121" s="54"/>
    </row>
    <row r="122" spans="2:81">
      <c r="B122" s="113" t="str">
        <f>IF(F122&lt;&gt;"",SUBTOTAL(3,$F$5:F122),"")</f>
        <v/>
      </c>
      <c r="C122" s="113"/>
      <c r="D122" s="114"/>
      <c r="E122" s="114"/>
      <c r="F122" s="119"/>
      <c r="G122" s="118"/>
      <c r="H122" s="117"/>
      <c r="I122" s="118"/>
      <c r="J122" s="111"/>
      <c r="K122" s="82" t="s">
        <v>327</v>
      </c>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1"/>
      <c r="AT122" s="55"/>
      <c r="CB122" s="56"/>
      <c r="CC122" s="54"/>
    </row>
    <row r="123" spans="2:81">
      <c r="B123" s="113" t="str">
        <f>IF(F123&lt;&gt;"",SUBTOTAL(3,$F$5:F123),"")</f>
        <v/>
      </c>
      <c r="C123" s="113"/>
      <c r="D123" s="114"/>
      <c r="E123" s="114"/>
      <c r="F123" s="119"/>
      <c r="G123" s="118"/>
      <c r="H123" s="117"/>
      <c r="I123" s="118"/>
      <c r="J123" s="111"/>
      <c r="K123" s="81"/>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1"/>
      <c r="AT123" s="55"/>
      <c r="CB123" s="56"/>
      <c r="CC123" s="54"/>
    </row>
    <row r="124" spans="2:81">
      <c r="B124" s="113">
        <f>IF(F124&lt;&gt;"",SUBTOTAL(3,$F$5:F124),"")</f>
        <v>29</v>
      </c>
      <c r="C124" s="113"/>
      <c r="D124" s="114" t="s">
        <v>138</v>
      </c>
      <c r="E124" s="114" t="s">
        <v>134</v>
      </c>
      <c r="F124" s="119" t="s">
        <v>115</v>
      </c>
      <c r="G124" s="118">
        <v>43869</v>
      </c>
      <c r="H124" s="117">
        <v>0.5</v>
      </c>
      <c r="I124" s="118"/>
      <c r="J124" s="117"/>
      <c r="K124" s="55" t="s">
        <v>514</v>
      </c>
      <c r="AS124" s="56"/>
      <c r="AT124" s="55"/>
      <c r="CB124" s="56"/>
      <c r="CC124" s="54"/>
    </row>
    <row r="125" spans="2:81">
      <c r="B125" s="113" t="str">
        <f>IF(F125&lt;&gt;"",SUBTOTAL(3,$F$5:F125),"")</f>
        <v/>
      </c>
      <c r="C125" s="113"/>
      <c r="D125" s="114"/>
      <c r="E125" s="114"/>
      <c r="F125" s="119"/>
      <c r="G125" s="118"/>
      <c r="H125" s="117"/>
      <c r="I125" s="118"/>
      <c r="J125" s="111"/>
      <c r="K125" s="55" t="s">
        <v>513</v>
      </c>
      <c r="AS125" s="56"/>
      <c r="AT125" s="55"/>
      <c r="CB125" s="56"/>
      <c r="CC125" s="54"/>
    </row>
    <row r="126" spans="2:81">
      <c r="B126" s="113" t="str">
        <f>IF(F126&lt;&gt;"",SUBTOTAL(3,$F$5:F126),"")</f>
        <v/>
      </c>
      <c r="C126" s="113"/>
      <c r="D126" s="114"/>
      <c r="E126" s="114"/>
      <c r="F126" s="119"/>
      <c r="G126" s="118"/>
      <c r="H126" s="117"/>
      <c r="I126" s="118"/>
      <c r="J126" s="111"/>
      <c r="K126" s="55"/>
      <c r="AS126" s="56"/>
      <c r="AT126" s="55"/>
      <c r="CB126" s="56"/>
      <c r="CC126" s="54"/>
    </row>
    <row r="127" spans="2:81">
      <c r="B127" s="113">
        <f>IF(F127&lt;&gt;"",SUBTOTAL(3,$F$5:F127),"")</f>
        <v>30</v>
      </c>
      <c r="C127" s="113"/>
      <c r="D127" s="114" t="s">
        <v>138</v>
      </c>
      <c r="E127" s="114" t="s">
        <v>134</v>
      </c>
      <c r="F127" s="119" t="s">
        <v>155</v>
      </c>
      <c r="G127" s="118">
        <v>43995</v>
      </c>
      <c r="H127" s="117">
        <v>0</v>
      </c>
      <c r="I127" s="118"/>
      <c r="J127" s="117"/>
      <c r="K127" s="55" t="s">
        <v>515</v>
      </c>
      <c r="AS127" s="56"/>
      <c r="AT127" s="55"/>
      <c r="CB127" s="56"/>
      <c r="CC127" s="57" t="s">
        <v>12</v>
      </c>
    </row>
    <row r="128" spans="2:81">
      <c r="B128" s="113" t="str">
        <f>IF(F128&lt;&gt;"",SUBTOTAL(3,$F$5:F128),"")</f>
        <v/>
      </c>
      <c r="C128" s="113"/>
      <c r="D128" s="114"/>
      <c r="E128" s="114"/>
      <c r="F128" s="119"/>
      <c r="G128" s="118"/>
      <c r="H128" s="117"/>
      <c r="I128" s="118"/>
      <c r="J128" s="111"/>
      <c r="K128" s="55"/>
      <c r="AS128" s="56"/>
      <c r="AT128" s="55"/>
      <c r="CB128" s="56"/>
      <c r="CC128" s="57"/>
    </row>
    <row r="129" spans="2:81">
      <c r="B129" s="113" t="str">
        <f>IF(F129&lt;&gt;"",SUBTOTAL(3,$F$5:F129),"")</f>
        <v/>
      </c>
      <c r="C129" s="113"/>
      <c r="D129" s="114"/>
      <c r="E129" s="114"/>
      <c r="F129" s="119"/>
      <c r="G129" s="118"/>
      <c r="H129" s="117"/>
      <c r="I129" s="118"/>
      <c r="J129" s="111"/>
      <c r="K129" s="55"/>
      <c r="AS129" s="56"/>
      <c r="AT129" s="55"/>
      <c r="CB129" s="56"/>
      <c r="CC129" s="57"/>
    </row>
    <row r="130" spans="2:81">
      <c r="B130" s="113" t="str">
        <f>IF(F130&lt;&gt;"",SUBTOTAL(3,$F$5:F130),"")</f>
        <v/>
      </c>
      <c r="C130" s="113"/>
      <c r="D130" s="114"/>
      <c r="E130" s="114"/>
      <c r="F130" s="119"/>
      <c r="G130" s="118"/>
      <c r="H130" s="117"/>
      <c r="I130" s="118"/>
      <c r="J130" s="111"/>
      <c r="K130" s="55"/>
      <c r="AS130" s="56"/>
      <c r="AT130" s="55"/>
      <c r="CB130" s="56"/>
      <c r="CC130" s="57"/>
    </row>
    <row r="131" spans="2:81">
      <c r="B131" s="113">
        <f>IF(F131&lt;&gt;"",SUBTOTAL(3,$F$5:F131),"")</f>
        <v>31</v>
      </c>
      <c r="C131" s="113"/>
      <c r="D131" s="114" t="s">
        <v>138</v>
      </c>
      <c r="E131" s="114" t="s">
        <v>134</v>
      </c>
      <c r="F131" s="119" t="s">
        <v>156</v>
      </c>
      <c r="G131" s="118">
        <v>43961</v>
      </c>
      <c r="H131" s="117">
        <v>0.8</v>
      </c>
      <c r="I131" s="118"/>
      <c r="J131" s="117"/>
      <c r="K131" s="55" t="s">
        <v>531</v>
      </c>
      <c r="AS131" s="56"/>
      <c r="AT131" s="55"/>
      <c r="CB131" s="56"/>
      <c r="CC131" s="54"/>
    </row>
    <row r="132" spans="2:81">
      <c r="B132" s="113" t="str">
        <f>IF(F132&lt;&gt;"",SUBTOTAL(3,$F$5:F132),"")</f>
        <v/>
      </c>
      <c r="C132" s="113"/>
      <c r="D132" s="114"/>
      <c r="E132" s="114"/>
      <c r="F132" s="119"/>
      <c r="G132" s="118"/>
      <c r="H132" s="117"/>
      <c r="I132" s="118"/>
      <c r="J132" s="111"/>
      <c r="K132" s="55" t="s">
        <v>532</v>
      </c>
      <c r="AS132" s="56"/>
      <c r="AT132" s="55"/>
      <c r="CB132" s="56"/>
      <c r="CC132" s="54"/>
    </row>
    <row r="133" spans="2:81">
      <c r="B133" s="113" t="str">
        <f>IF(F133&lt;&gt;"",SUBTOTAL(3,$F$5:F133),"")</f>
        <v/>
      </c>
      <c r="C133" s="113"/>
      <c r="D133" s="114"/>
      <c r="E133" s="114"/>
      <c r="F133" s="119"/>
      <c r="G133" s="118"/>
      <c r="H133" s="117"/>
      <c r="I133" s="118"/>
      <c r="J133" s="111"/>
      <c r="K133" s="55" t="s">
        <v>533</v>
      </c>
      <c r="AS133" s="56"/>
      <c r="AT133" s="55"/>
      <c r="CB133" s="56"/>
      <c r="CC133" s="54"/>
    </row>
    <row r="134" spans="2:81">
      <c r="B134" s="113" t="str">
        <f>IF(F134&lt;&gt;"",SUBTOTAL(3,$F$5:F134),"")</f>
        <v/>
      </c>
      <c r="C134" s="113"/>
      <c r="D134" s="114"/>
      <c r="E134" s="114"/>
      <c r="F134" s="119"/>
      <c r="G134" s="118"/>
      <c r="H134" s="117"/>
      <c r="I134" s="118"/>
      <c r="J134" s="111"/>
      <c r="K134" s="55"/>
      <c r="AS134" s="56"/>
      <c r="AT134" s="55"/>
      <c r="CB134" s="56"/>
      <c r="CC134" s="54"/>
    </row>
    <row r="135" spans="2:81">
      <c r="B135" s="113">
        <f>IF(F135&lt;&gt;"",SUBTOTAL(3,$F$5:F135),"")</f>
        <v>32</v>
      </c>
      <c r="C135" s="113"/>
      <c r="D135" s="114" t="s">
        <v>138</v>
      </c>
      <c r="E135" s="114" t="s">
        <v>134</v>
      </c>
      <c r="F135" s="119" t="s">
        <v>157</v>
      </c>
      <c r="G135" s="118">
        <v>43995</v>
      </c>
      <c r="H135" s="117">
        <v>0</v>
      </c>
      <c r="I135" s="118"/>
      <c r="J135" s="117"/>
      <c r="K135" s="55" t="s">
        <v>516</v>
      </c>
      <c r="AS135" s="56"/>
      <c r="AT135" s="55"/>
      <c r="CB135" s="56"/>
      <c r="CC135" s="54"/>
    </row>
    <row r="136" spans="2:81">
      <c r="B136" s="113" t="str">
        <f>IF(F136&lt;&gt;"",SUBTOTAL(3,$F$5:F136),"")</f>
        <v/>
      </c>
      <c r="C136" s="113"/>
      <c r="D136" s="114"/>
      <c r="E136" s="114"/>
      <c r="F136" s="119"/>
      <c r="G136" s="118"/>
      <c r="H136" s="117"/>
      <c r="I136" s="118"/>
      <c r="J136" s="111"/>
      <c r="K136" s="55"/>
      <c r="AS136" s="56"/>
      <c r="AT136" s="55"/>
      <c r="CB136" s="56"/>
      <c r="CC136" s="54"/>
    </row>
    <row r="137" spans="2:81">
      <c r="B137" s="52">
        <f>IF(F137&lt;&gt;"",SUBTOTAL(3,$F$5:F137),"")</f>
        <v>33</v>
      </c>
      <c r="C137" s="52"/>
      <c r="D137" s="53" t="s">
        <v>138</v>
      </c>
      <c r="E137" s="53" t="s">
        <v>134</v>
      </c>
      <c r="F137" s="54" t="s">
        <v>215</v>
      </c>
      <c r="G137" s="106">
        <v>44058</v>
      </c>
      <c r="H137" s="100">
        <v>1</v>
      </c>
      <c r="I137" s="106"/>
      <c r="J137" s="100"/>
      <c r="K137" s="55" t="s">
        <v>339</v>
      </c>
      <c r="AS137" s="56"/>
      <c r="AT137" s="55"/>
      <c r="CB137" s="56"/>
      <c r="CC137" s="54"/>
    </row>
    <row r="138" spans="2:81">
      <c r="B138" s="52" t="str">
        <f>IF(F138&lt;&gt;"",SUBTOTAL(3,$F$5:F138),"")</f>
        <v/>
      </c>
      <c r="C138" s="52"/>
      <c r="D138" s="53"/>
      <c r="E138" s="53"/>
      <c r="F138" s="54"/>
      <c r="G138" s="106"/>
      <c r="H138" s="100"/>
      <c r="I138" s="106"/>
      <c r="J138" s="101"/>
      <c r="K138" s="55"/>
      <c r="AS138" s="56"/>
      <c r="AT138" s="55"/>
      <c r="CB138" s="56"/>
      <c r="CC138" s="54"/>
    </row>
    <row r="139" spans="2:81">
      <c r="B139" s="52">
        <f>IF(F139&lt;&gt;"",SUBTOTAL(3,$F$5:F139),"")</f>
        <v>34</v>
      </c>
      <c r="C139" s="52"/>
      <c r="D139" s="53" t="s">
        <v>138</v>
      </c>
      <c r="E139" s="53" t="s">
        <v>134</v>
      </c>
      <c r="F139" s="54" t="s">
        <v>214</v>
      </c>
      <c r="G139" s="106">
        <v>44057</v>
      </c>
      <c r="H139" s="100">
        <v>1</v>
      </c>
      <c r="I139" s="106"/>
      <c r="J139" s="100"/>
      <c r="K139" s="87" t="s">
        <v>249</v>
      </c>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8"/>
      <c r="AK139" s="88"/>
      <c r="AL139" s="88"/>
      <c r="AM139" s="88"/>
      <c r="AN139" s="88"/>
      <c r="AO139" s="88"/>
      <c r="AP139" s="88"/>
      <c r="AQ139" s="88"/>
      <c r="AR139" s="88"/>
      <c r="AS139" s="89"/>
      <c r="AT139" s="55"/>
      <c r="CB139" s="56"/>
      <c r="CC139" s="54"/>
    </row>
    <row r="140" spans="2:81">
      <c r="B140" s="52" t="str">
        <f>IF(F140&lt;&gt;"",SUBTOTAL(3,$F$5:F140),"")</f>
        <v/>
      </c>
      <c r="C140" s="52"/>
      <c r="D140" s="53"/>
      <c r="E140" s="53"/>
      <c r="F140" s="54"/>
      <c r="G140" s="106"/>
      <c r="H140" s="100"/>
      <c r="I140" s="106"/>
      <c r="J140" s="101"/>
      <c r="K140" s="87" t="s">
        <v>250</v>
      </c>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8"/>
      <c r="AK140" s="88"/>
      <c r="AL140" s="88"/>
      <c r="AM140" s="88"/>
      <c r="AN140" s="88"/>
      <c r="AO140" s="88"/>
      <c r="AP140" s="88"/>
      <c r="AQ140" s="88"/>
      <c r="AR140" s="88"/>
      <c r="AS140" s="89"/>
      <c r="AT140" s="55"/>
      <c r="CB140" s="56"/>
      <c r="CC140" s="54"/>
    </row>
    <row r="141" spans="2:81">
      <c r="B141" s="52" t="str">
        <f>IF(F141&lt;&gt;"",SUBTOTAL(3,$F$5:F141),"")</f>
        <v/>
      </c>
      <c r="C141" s="52"/>
      <c r="D141" s="53"/>
      <c r="E141" s="53"/>
      <c r="F141" s="54"/>
      <c r="G141" s="106"/>
      <c r="H141" s="100"/>
      <c r="I141" s="106"/>
      <c r="J141" s="101"/>
      <c r="K141" s="87" t="s">
        <v>251</v>
      </c>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8"/>
      <c r="AK141" s="88"/>
      <c r="AL141" s="88"/>
      <c r="AM141" s="88"/>
      <c r="AN141" s="88"/>
      <c r="AO141" s="88"/>
      <c r="AP141" s="88"/>
      <c r="AQ141" s="88"/>
      <c r="AR141" s="88"/>
      <c r="AS141" s="89"/>
      <c r="AT141" s="55"/>
      <c r="CB141" s="56"/>
      <c r="CC141" s="54"/>
    </row>
    <row r="142" spans="2:81">
      <c r="B142" s="52" t="str">
        <f>IF(F142&lt;&gt;"",SUBTOTAL(3,$F$5:F142),"")</f>
        <v/>
      </c>
      <c r="C142" s="52"/>
      <c r="D142" s="53"/>
      <c r="E142" s="53"/>
      <c r="F142" s="54"/>
      <c r="G142" s="106"/>
      <c r="H142" s="100"/>
      <c r="I142" s="106"/>
      <c r="J142" s="101"/>
      <c r="K142" s="87" t="s">
        <v>252</v>
      </c>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8"/>
      <c r="AK142" s="88"/>
      <c r="AL142" s="88"/>
      <c r="AM142" s="88"/>
      <c r="AN142" s="88"/>
      <c r="AO142" s="88"/>
      <c r="AP142" s="88"/>
      <c r="AQ142" s="88"/>
      <c r="AR142" s="88"/>
      <c r="AS142" s="89"/>
      <c r="AT142" s="55"/>
      <c r="CB142" s="56"/>
      <c r="CC142" s="54"/>
    </row>
    <row r="143" spans="2:81">
      <c r="B143" s="52" t="str">
        <f>IF(F143&lt;&gt;"",SUBTOTAL(3,$F$5:F143),"")</f>
        <v/>
      </c>
      <c r="C143" s="52"/>
      <c r="D143" s="53"/>
      <c r="E143" s="53"/>
      <c r="F143" s="54"/>
      <c r="G143" s="106"/>
      <c r="H143" s="100"/>
      <c r="I143" s="106"/>
      <c r="J143" s="101"/>
      <c r="K143" s="87" t="s">
        <v>253</v>
      </c>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8"/>
      <c r="AK143" s="88"/>
      <c r="AL143" s="88"/>
      <c r="AM143" s="88"/>
      <c r="AN143" s="88"/>
      <c r="AO143" s="88"/>
      <c r="AP143" s="88"/>
      <c r="AQ143" s="88"/>
      <c r="AR143" s="88"/>
      <c r="AS143" s="89"/>
      <c r="AT143" s="55"/>
      <c r="CB143" s="56"/>
      <c r="CC143" s="54"/>
    </row>
    <row r="144" spans="2:81">
      <c r="B144" s="52" t="str">
        <f>IF(F144&lt;&gt;"",SUBTOTAL(3,$F$5:F144),"")</f>
        <v/>
      </c>
      <c r="C144" s="52"/>
      <c r="D144" s="53"/>
      <c r="E144" s="53"/>
      <c r="F144" s="54"/>
      <c r="G144" s="106"/>
      <c r="H144" s="100"/>
      <c r="I144" s="106"/>
      <c r="J144" s="101"/>
      <c r="K144" s="87" t="s">
        <v>254</v>
      </c>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8"/>
      <c r="AK144" s="88"/>
      <c r="AL144" s="88"/>
      <c r="AM144" s="88"/>
      <c r="AN144" s="88"/>
      <c r="AO144" s="88"/>
      <c r="AP144" s="88"/>
      <c r="AQ144" s="88"/>
      <c r="AR144" s="88"/>
      <c r="AS144" s="89"/>
      <c r="AT144" s="55"/>
      <c r="CB144" s="56"/>
      <c r="CC144" s="54"/>
    </row>
    <row r="145" spans="2:81">
      <c r="B145" s="52" t="str">
        <f>IF(F145&lt;&gt;"",SUBTOTAL(3,$F$5:F145),"")</f>
        <v/>
      </c>
      <c r="C145" s="52"/>
      <c r="D145" s="53"/>
      <c r="E145" s="53"/>
      <c r="F145" s="54"/>
      <c r="G145" s="106"/>
      <c r="H145" s="100"/>
      <c r="I145" s="106"/>
      <c r="J145" s="101"/>
      <c r="K145" s="87" t="s">
        <v>255</v>
      </c>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8"/>
      <c r="AK145" s="88"/>
      <c r="AL145" s="88"/>
      <c r="AM145" s="88"/>
      <c r="AN145" s="88"/>
      <c r="AO145" s="88"/>
      <c r="AP145" s="88"/>
      <c r="AQ145" s="88"/>
      <c r="AR145" s="88"/>
      <c r="AS145" s="89"/>
      <c r="AT145" s="55"/>
      <c r="CB145" s="56"/>
      <c r="CC145" s="54"/>
    </row>
    <row r="146" spans="2:81">
      <c r="B146" s="52" t="str">
        <f>IF(F146&lt;&gt;"",SUBTOTAL(3,$F$5:F146),"")</f>
        <v/>
      </c>
      <c r="C146" s="52"/>
      <c r="D146" s="53"/>
      <c r="E146" s="53"/>
      <c r="F146" s="54"/>
      <c r="G146" s="106"/>
      <c r="H146" s="100"/>
      <c r="I146" s="106"/>
      <c r="J146" s="101"/>
      <c r="K146" s="87" t="s">
        <v>256</v>
      </c>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8"/>
      <c r="AK146" s="88"/>
      <c r="AL146" s="88"/>
      <c r="AM146" s="88"/>
      <c r="AN146" s="88"/>
      <c r="AO146" s="88"/>
      <c r="AP146" s="88"/>
      <c r="AQ146" s="88"/>
      <c r="AR146" s="88"/>
      <c r="AS146" s="89"/>
      <c r="AT146" s="55"/>
      <c r="CB146" s="56"/>
      <c r="CC146" s="54"/>
    </row>
    <row r="147" spans="2:81">
      <c r="B147" s="52" t="str">
        <f>IF(F147&lt;&gt;"",SUBTOTAL(3,$F$5:F147),"")</f>
        <v/>
      </c>
      <c r="C147" s="52"/>
      <c r="D147" s="53"/>
      <c r="E147" s="53"/>
      <c r="F147" s="54"/>
      <c r="G147" s="106"/>
      <c r="H147" s="100"/>
      <c r="I147" s="106"/>
      <c r="J147" s="101"/>
      <c r="K147" s="87" t="s">
        <v>257</v>
      </c>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8"/>
      <c r="AK147" s="88"/>
      <c r="AL147" s="88"/>
      <c r="AM147" s="88"/>
      <c r="AN147" s="88"/>
      <c r="AO147" s="88"/>
      <c r="AP147" s="88"/>
      <c r="AQ147" s="88"/>
      <c r="AR147" s="88"/>
      <c r="AS147" s="89"/>
      <c r="AT147" s="55"/>
      <c r="CB147" s="56"/>
      <c r="CC147" s="54"/>
    </row>
    <row r="148" spans="2:81">
      <c r="B148" s="52" t="str">
        <f>IF(F148&lt;&gt;"",SUBTOTAL(3,$F$5:F148),"")</f>
        <v/>
      </c>
      <c r="C148" s="52"/>
      <c r="D148" s="53"/>
      <c r="E148" s="53"/>
      <c r="F148" s="54"/>
      <c r="G148" s="106"/>
      <c r="H148" s="100"/>
      <c r="I148" s="106"/>
      <c r="J148" s="101"/>
      <c r="K148" s="87" t="s">
        <v>258</v>
      </c>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8"/>
      <c r="AK148" s="88"/>
      <c r="AL148" s="88"/>
      <c r="AM148" s="88"/>
      <c r="AN148" s="88"/>
      <c r="AO148" s="88"/>
      <c r="AP148" s="88"/>
      <c r="AQ148" s="88"/>
      <c r="AR148" s="88"/>
      <c r="AS148" s="89"/>
      <c r="AT148" s="55"/>
      <c r="CB148" s="56"/>
      <c r="CC148" s="54"/>
    </row>
    <row r="149" spans="2:81">
      <c r="B149" s="52" t="str">
        <f>IF(F149&lt;&gt;"",SUBTOTAL(3,$F$5:F149),"")</f>
        <v/>
      </c>
      <c r="C149" s="52"/>
      <c r="D149" s="53"/>
      <c r="E149" s="53"/>
      <c r="F149" s="54"/>
      <c r="G149" s="106"/>
      <c r="H149" s="100"/>
      <c r="I149" s="106"/>
      <c r="J149" s="101"/>
      <c r="K149" s="87" t="s">
        <v>259</v>
      </c>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8"/>
      <c r="AK149" s="88"/>
      <c r="AL149" s="88"/>
      <c r="AM149" s="88"/>
      <c r="AN149" s="88"/>
      <c r="AO149" s="88"/>
      <c r="AP149" s="88"/>
      <c r="AQ149" s="88"/>
      <c r="AR149" s="88"/>
      <c r="AS149" s="89"/>
      <c r="AT149" s="55"/>
      <c r="CB149" s="56"/>
      <c r="CC149" s="54"/>
    </row>
    <row r="150" spans="2:81">
      <c r="B150" s="52" t="str">
        <f>IF(F150&lt;&gt;"",SUBTOTAL(3,$F$5:F150),"")</f>
        <v/>
      </c>
      <c r="C150" s="52"/>
      <c r="D150" s="53"/>
      <c r="E150" s="53"/>
      <c r="F150" s="54"/>
      <c r="G150" s="106"/>
      <c r="H150" s="100"/>
      <c r="I150" s="106"/>
      <c r="J150" s="101"/>
      <c r="K150" s="87" t="s">
        <v>260</v>
      </c>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8"/>
      <c r="AK150" s="88"/>
      <c r="AL150" s="88"/>
      <c r="AM150" s="88"/>
      <c r="AN150" s="88"/>
      <c r="AO150" s="88"/>
      <c r="AP150" s="88"/>
      <c r="AQ150" s="88"/>
      <c r="AR150" s="88"/>
      <c r="AS150" s="89"/>
      <c r="AT150" s="55"/>
      <c r="CB150" s="56"/>
      <c r="CC150" s="54"/>
    </row>
    <row r="151" spans="2:81">
      <c r="B151" s="52" t="str">
        <f>IF(F151&lt;&gt;"",SUBTOTAL(3,$F$5:F151),"")</f>
        <v/>
      </c>
      <c r="C151" s="52"/>
      <c r="D151" s="53"/>
      <c r="E151" s="53"/>
      <c r="F151" s="54"/>
      <c r="G151" s="106"/>
      <c r="H151" s="100"/>
      <c r="I151" s="106"/>
      <c r="J151" s="101"/>
      <c r="K151" s="87" t="s">
        <v>261</v>
      </c>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8"/>
      <c r="AK151" s="88"/>
      <c r="AL151" s="88"/>
      <c r="AM151" s="88"/>
      <c r="AN151" s="88"/>
      <c r="AO151" s="88"/>
      <c r="AP151" s="88"/>
      <c r="AQ151" s="88"/>
      <c r="AR151" s="88"/>
      <c r="AS151" s="89"/>
      <c r="AT151" s="55"/>
      <c r="CB151" s="56"/>
      <c r="CC151" s="54"/>
    </row>
    <row r="152" spans="2:81">
      <c r="B152" s="52" t="str">
        <f>IF(F152&lt;&gt;"",SUBTOTAL(3,$F$5:F152),"")</f>
        <v/>
      </c>
      <c r="C152" s="52"/>
      <c r="D152" s="53"/>
      <c r="E152" s="53"/>
      <c r="F152" s="54"/>
      <c r="G152" s="106"/>
      <c r="H152" s="100"/>
      <c r="I152" s="106"/>
      <c r="J152" s="101"/>
      <c r="K152" s="87"/>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8"/>
      <c r="AK152" s="88"/>
      <c r="AL152" s="88"/>
      <c r="AM152" s="88"/>
      <c r="AN152" s="88"/>
      <c r="AO152" s="88"/>
      <c r="AP152" s="88"/>
      <c r="AQ152" s="88"/>
      <c r="AR152" s="88"/>
      <c r="AS152" s="89"/>
      <c r="AT152" s="55"/>
      <c r="CB152" s="56"/>
      <c r="CC152" s="54"/>
    </row>
    <row r="153" spans="2:81">
      <c r="B153" s="113">
        <f>IF(F153&lt;&gt;"",SUBTOTAL(3,$F$5:F153),"")</f>
        <v>35</v>
      </c>
      <c r="C153" s="113"/>
      <c r="D153" s="114" t="s">
        <v>138</v>
      </c>
      <c r="E153" s="114" t="s">
        <v>134</v>
      </c>
      <c r="F153" s="119" t="s">
        <v>213</v>
      </c>
      <c r="G153" s="118">
        <v>44053</v>
      </c>
      <c r="H153" s="117">
        <v>0.3</v>
      </c>
      <c r="I153" s="118"/>
      <c r="J153" s="117"/>
      <c r="K153" s="55" t="s">
        <v>262</v>
      </c>
      <c r="AS153" s="56"/>
      <c r="AT153" s="55" t="s">
        <v>340</v>
      </c>
      <c r="CB153" s="56"/>
      <c r="CC153" s="54"/>
    </row>
    <row r="154" spans="2:81">
      <c r="B154" s="113" t="str">
        <f>IF(F154&lt;&gt;"",SUBTOTAL(3,$F$5:F154),"")</f>
        <v/>
      </c>
      <c r="C154" s="113"/>
      <c r="D154" s="114"/>
      <c r="E154" s="114"/>
      <c r="F154" s="119"/>
      <c r="G154" s="118"/>
      <c r="H154" s="117"/>
      <c r="I154" s="118"/>
      <c r="J154" s="111"/>
      <c r="K154" s="55" t="s">
        <v>341</v>
      </c>
      <c r="AS154" s="56"/>
      <c r="AT154" s="55" t="s">
        <v>263</v>
      </c>
      <c r="CB154" s="56"/>
      <c r="CC154" s="54"/>
    </row>
    <row r="155" spans="2:81">
      <c r="B155" s="113" t="str">
        <f>IF(F155&lt;&gt;"",SUBTOTAL(3,$F$5:F155),"")</f>
        <v/>
      </c>
      <c r="C155" s="113"/>
      <c r="D155" s="114"/>
      <c r="E155" s="114"/>
      <c r="F155" s="119"/>
      <c r="G155" s="118"/>
      <c r="H155" s="117"/>
      <c r="I155" s="118"/>
      <c r="J155" s="111"/>
      <c r="K155" s="55" t="s">
        <v>342</v>
      </c>
      <c r="AS155" s="56"/>
      <c r="AT155" s="55"/>
      <c r="CB155" s="56"/>
      <c r="CC155" s="54"/>
    </row>
    <row r="156" spans="2:81">
      <c r="B156" s="113" t="str">
        <f>IF(F156&lt;&gt;"",SUBTOTAL(3,$F$5:F156),"")</f>
        <v/>
      </c>
      <c r="C156" s="113"/>
      <c r="D156" s="114"/>
      <c r="E156" s="114"/>
      <c r="F156" s="119"/>
      <c r="G156" s="118"/>
      <c r="H156" s="117"/>
      <c r="I156" s="118"/>
      <c r="J156" s="111"/>
      <c r="K156" s="55"/>
      <c r="AS156" s="56"/>
      <c r="AT156" s="55"/>
      <c r="CB156" s="56"/>
      <c r="CC156" s="54"/>
    </row>
    <row r="157" spans="2:81">
      <c r="B157" s="52">
        <f>IF(F157&lt;&gt;"",SUBTOTAL(3,$F$5:F157),"")</f>
        <v>36</v>
      </c>
      <c r="C157" s="52"/>
      <c r="D157" s="53" t="s">
        <v>138</v>
      </c>
      <c r="E157" s="53" t="s">
        <v>134</v>
      </c>
      <c r="F157" s="54" t="s">
        <v>212</v>
      </c>
      <c r="G157" s="106">
        <v>44045</v>
      </c>
      <c r="H157" s="100">
        <v>1</v>
      </c>
      <c r="I157" s="106"/>
      <c r="J157" s="100"/>
      <c r="K157" s="55" t="s">
        <v>264</v>
      </c>
      <c r="AS157" s="56"/>
      <c r="AT157" s="55" t="s">
        <v>266</v>
      </c>
      <c r="CB157" s="56"/>
      <c r="CC157" s="54"/>
    </row>
    <row r="158" spans="2:81">
      <c r="B158" s="52" t="str">
        <f>IF(F158&lt;&gt;"",SUBTOTAL(3,$F$5:F158),"")</f>
        <v/>
      </c>
      <c r="C158" s="52"/>
      <c r="D158" s="53"/>
      <c r="E158" s="53"/>
      <c r="F158" s="54"/>
      <c r="G158" s="106"/>
      <c r="H158" s="100"/>
      <c r="I158" s="106"/>
      <c r="J158" s="101"/>
      <c r="K158" s="55" t="s">
        <v>265</v>
      </c>
      <c r="AS158" s="56"/>
      <c r="AT158" s="55" t="s">
        <v>512</v>
      </c>
      <c r="CB158" s="56"/>
      <c r="CC158" s="54"/>
    </row>
    <row r="159" spans="2:81">
      <c r="B159" s="52" t="str">
        <f>IF(F159&lt;&gt;"",SUBTOTAL(3,$F$5:F159),"")</f>
        <v/>
      </c>
      <c r="C159" s="52"/>
      <c r="D159" s="53"/>
      <c r="E159" s="53"/>
      <c r="F159" s="54"/>
      <c r="G159" s="106"/>
      <c r="H159" s="100"/>
      <c r="I159" s="106"/>
      <c r="J159" s="101"/>
      <c r="K159" s="55"/>
      <c r="AS159" s="56"/>
      <c r="AT159" s="55" t="s">
        <v>267</v>
      </c>
      <c r="CB159" s="56"/>
      <c r="CC159" s="54"/>
    </row>
    <row r="160" spans="2:81">
      <c r="B160" s="52" t="str">
        <f>IF(F160&lt;&gt;"",SUBTOTAL(3,$F$5:F160),"")</f>
        <v/>
      </c>
      <c r="C160" s="52"/>
      <c r="D160" s="53"/>
      <c r="E160" s="53"/>
      <c r="F160" s="54"/>
      <c r="G160" s="106"/>
      <c r="H160" s="100"/>
      <c r="I160" s="106"/>
      <c r="J160" s="101"/>
      <c r="K160" s="55"/>
      <c r="AS160" s="56"/>
      <c r="AT160" s="55" t="s">
        <v>268</v>
      </c>
      <c r="CB160" s="56"/>
      <c r="CC160" s="54"/>
    </row>
    <row r="161" spans="2:81">
      <c r="B161" s="52" t="str">
        <f>IF(F161&lt;&gt;"",SUBTOTAL(3,$F$5:F161),"")</f>
        <v/>
      </c>
      <c r="C161" s="52"/>
      <c r="D161" s="53"/>
      <c r="E161" s="53"/>
      <c r="F161" s="54"/>
      <c r="G161" s="106"/>
      <c r="H161" s="100"/>
      <c r="I161" s="106"/>
      <c r="J161" s="101"/>
      <c r="K161" s="55"/>
      <c r="AS161" s="56"/>
      <c r="AT161" s="55" t="s">
        <v>269</v>
      </c>
      <c r="CB161" s="56"/>
      <c r="CC161" s="54"/>
    </row>
    <row r="162" spans="2:81">
      <c r="B162" s="52" t="str">
        <f>IF(F162&lt;&gt;"",SUBTOTAL(3,$F$5:F162),"")</f>
        <v/>
      </c>
      <c r="C162" s="52"/>
      <c r="D162" s="53"/>
      <c r="E162" s="53"/>
      <c r="F162" s="54"/>
      <c r="G162" s="106"/>
      <c r="H162" s="100"/>
      <c r="I162" s="106"/>
      <c r="J162" s="101"/>
      <c r="K162" s="55"/>
      <c r="AS162" s="56"/>
      <c r="AT162" s="55" t="s">
        <v>270</v>
      </c>
      <c r="CB162" s="56"/>
      <c r="CC162" s="54"/>
    </row>
    <row r="163" spans="2:81">
      <c r="B163" s="113">
        <f>IF(F163&lt;&gt;"",SUBTOTAL(3,$F$5:F163),"")</f>
        <v>37</v>
      </c>
      <c r="C163" s="113"/>
      <c r="D163" s="114" t="s">
        <v>138</v>
      </c>
      <c r="E163" s="114" t="s">
        <v>134</v>
      </c>
      <c r="F163" s="119" t="s">
        <v>209</v>
      </c>
      <c r="G163" s="118">
        <v>44045</v>
      </c>
      <c r="H163" s="117">
        <v>0.8</v>
      </c>
      <c r="I163" s="118"/>
      <c r="J163" s="117"/>
      <c r="K163" s="55" t="s">
        <v>271</v>
      </c>
      <c r="AS163" s="56"/>
      <c r="AT163" s="55" t="s">
        <v>276</v>
      </c>
      <c r="CB163" s="56"/>
      <c r="CC163" s="54"/>
    </row>
    <row r="164" spans="2:81">
      <c r="B164" s="113" t="str">
        <f>IF(F164&lt;&gt;"",SUBTOTAL(3,$F$5:F164),"")</f>
        <v/>
      </c>
      <c r="C164" s="113"/>
      <c r="D164" s="114"/>
      <c r="E164" s="114"/>
      <c r="F164" s="119"/>
      <c r="G164" s="118"/>
      <c r="H164" s="117"/>
      <c r="I164" s="118"/>
      <c r="J164" s="111"/>
      <c r="K164" s="55" t="s">
        <v>272</v>
      </c>
      <c r="AS164" s="56"/>
      <c r="AT164" s="55" t="s">
        <v>277</v>
      </c>
      <c r="CB164" s="56"/>
      <c r="CC164" s="54"/>
    </row>
    <row r="165" spans="2:81">
      <c r="B165" s="113" t="str">
        <f>IF(F165&lt;&gt;"",SUBTOTAL(3,$F$5:F165),"")</f>
        <v/>
      </c>
      <c r="C165" s="113"/>
      <c r="D165" s="114"/>
      <c r="E165" s="114"/>
      <c r="F165" s="119"/>
      <c r="G165" s="118"/>
      <c r="H165" s="117"/>
      <c r="I165" s="118"/>
      <c r="J165" s="111"/>
      <c r="K165" s="55" t="s">
        <v>273</v>
      </c>
      <c r="AS165" s="56"/>
      <c r="AT165" s="55" t="s">
        <v>278</v>
      </c>
      <c r="CB165" s="56"/>
      <c r="CC165" s="54"/>
    </row>
    <row r="166" spans="2:81">
      <c r="B166" s="113" t="str">
        <f>IF(F166&lt;&gt;"",SUBTOTAL(3,$F$5:F166),"")</f>
        <v/>
      </c>
      <c r="C166" s="113"/>
      <c r="D166" s="114"/>
      <c r="E166" s="114"/>
      <c r="F166" s="119"/>
      <c r="G166" s="118"/>
      <c r="H166" s="117"/>
      <c r="I166" s="118"/>
      <c r="J166" s="111"/>
      <c r="K166" s="55" t="s">
        <v>274</v>
      </c>
      <c r="AS166" s="56"/>
      <c r="AT166" s="55" t="s">
        <v>281</v>
      </c>
      <c r="CB166" s="56"/>
      <c r="CC166" s="54"/>
    </row>
    <row r="167" spans="2:81">
      <c r="B167" s="113" t="str">
        <f>IF(F167&lt;&gt;"",SUBTOTAL(3,$F$5:F167),"")</f>
        <v/>
      </c>
      <c r="C167" s="113"/>
      <c r="D167" s="114"/>
      <c r="E167" s="114"/>
      <c r="F167" s="119"/>
      <c r="G167" s="118"/>
      <c r="H167" s="117"/>
      <c r="I167" s="118"/>
      <c r="J167" s="111"/>
      <c r="K167" s="55" t="s">
        <v>275</v>
      </c>
      <c r="AS167" s="56"/>
      <c r="AT167" s="55" t="s">
        <v>282</v>
      </c>
      <c r="CB167" s="56"/>
      <c r="CC167" s="54"/>
    </row>
    <row r="168" spans="2:81">
      <c r="B168" s="113" t="str">
        <f>IF(F168&lt;&gt;"",SUBTOTAL(3,$F$5:F168),"")</f>
        <v/>
      </c>
      <c r="C168" s="113"/>
      <c r="D168" s="114"/>
      <c r="E168" s="114"/>
      <c r="F168" s="119"/>
      <c r="G168" s="118"/>
      <c r="H168" s="117"/>
      <c r="I168" s="118"/>
      <c r="J168" s="111"/>
      <c r="K168" s="59" t="s">
        <v>210</v>
      </c>
      <c r="AS168" s="56"/>
      <c r="AT168" s="55" t="s">
        <v>279</v>
      </c>
      <c r="CB168" s="56"/>
      <c r="CC168" s="54"/>
    </row>
    <row r="169" spans="2:81">
      <c r="B169" s="113" t="str">
        <f>IF(F169&lt;&gt;"",SUBTOTAL(3,$F$5:F169),"")</f>
        <v/>
      </c>
      <c r="C169" s="113"/>
      <c r="D169" s="114"/>
      <c r="E169" s="114"/>
      <c r="F169" s="119"/>
      <c r="G169" s="118"/>
      <c r="H169" s="117"/>
      <c r="I169" s="118"/>
      <c r="J169" s="111"/>
      <c r="K169" s="55"/>
      <c r="AS169" s="56"/>
      <c r="AT169" s="55" t="s">
        <v>280</v>
      </c>
      <c r="CB169" s="56"/>
      <c r="CC169" s="54"/>
    </row>
    <row r="170" spans="2:81">
      <c r="B170" s="113" t="str">
        <f>IF(F170&lt;&gt;"",SUBTOTAL(3,$F$5:F170),"")</f>
        <v/>
      </c>
      <c r="C170" s="113"/>
      <c r="D170" s="114"/>
      <c r="E170" s="114"/>
      <c r="F170" s="119"/>
      <c r="G170" s="118"/>
      <c r="H170" s="117"/>
      <c r="I170" s="118"/>
      <c r="J170" s="111"/>
      <c r="K170" s="55"/>
      <c r="AS170" s="56"/>
      <c r="AT170" s="55"/>
      <c r="CB170" s="56"/>
      <c r="CC170" s="54"/>
    </row>
    <row r="171" spans="2:81">
      <c r="B171" s="52">
        <f>IF(F171&lt;&gt;"",SUBTOTAL(3,$F$5:F171),"")</f>
        <v>38</v>
      </c>
      <c r="C171" s="52"/>
      <c r="D171" s="53" t="s">
        <v>138</v>
      </c>
      <c r="E171" s="53" t="s">
        <v>134</v>
      </c>
      <c r="F171" s="54" t="s">
        <v>208</v>
      </c>
      <c r="G171" s="106">
        <v>44045</v>
      </c>
      <c r="H171" s="100">
        <v>1</v>
      </c>
      <c r="I171" s="106"/>
      <c r="J171" s="100"/>
      <c r="K171" s="55" t="s">
        <v>283</v>
      </c>
      <c r="AS171" s="56"/>
      <c r="AT171" s="55"/>
      <c r="CB171" s="56"/>
      <c r="CC171" s="54"/>
    </row>
    <row r="172" spans="2:81">
      <c r="B172" s="52" t="str">
        <f>IF(F172&lt;&gt;"",SUBTOTAL(3,$F$5:F172),"")</f>
        <v/>
      </c>
      <c r="C172" s="52"/>
      <c r="D172" s="53"/>
      <c r="E172" s="53"/>
      <c r="F172" s="54"/>
      <c r="G172" s="106"/>
      <c r="H172" s="100"/>
      <c r="I172" s="106"/>
      <c r="J172" s="101"/>
      <c r="K172" s="55" t="s">
        <v>284</v>
      </c>
      <c r="AS172" s="56"/>
      <c r="AT172" s="55"/>
      <c r="CB172" s="56"/>
      <c r="CC172" s="54"/>
    </row>
    <row r="173" spans="2:81">
      <c r="B173" s="52" t="str">
        <f>IF(F173&lt;&gt;"",SUBTOTAL(3,$F$5:F173),"")</f>
        <v/>
      </c>
      <c r="C173" s="52"/>
      <c r="D173" s="53"/>
      <c r="E173" s="53"/>
      <c r="F173" s="54"/>
      <c r="G173" s="106"/>
      <c r="H173" s="100"/>
      <c r="I173" s="106"/>
      <c r="J173" s="101"/>
      <c r="K173" s="55" t="s">
        <v>524</v>
      </c>
      <c r="AS173" s="56"/>
      <c r="AT173" s="55"/>
      <c r="CB173" s="56"/>
      <c r="CC173" s="54"/>
    </row>
    <row r="174" spans="2:81">
      <c r="B174" s="52" t="str">
        <f>IF(F174&lt;&gt;"",SUBTOTAL(3,$F$5:F174),"")</f>
        <v/>
      </c>
      <c r="C174" s="52"/>
      <c r="D174" s="53"/>
      <c r="E174" s="53"/>
      <c r="F174" s="54"/>
      <c r="G174" s="106"/>
      <c r="H174" s="100"/>
      <c r="I174" s="106"/>
      <c r="J174" s="101"/>
      <c r="K174" s="55" t="s">
        <v>525</v>
      </c>
      <c r="AS174" s="56"/>
      <c r="AT174" s="55"/>
      <c r="CB174" s="56"/>
      <c r="CC174" s="54"/>
    </row>
    <row r="175" spans="2:81">
      <c r="B175" s="52" t="str">
        <f>IF(F175&lt;&gt;"",SUBTOTAL(3,$F$5:F175),"")</f>
        <v/>
      </c>
      <c r="C175" s="52"/>
      <c r="D175" s="53"/>
      <c r="E175" s="53"/>
      <c r="F175" s="54"/>
      <c r="G175" s="106"/>
      <c r="H175" s="100"/>
      <c r="I175" s="106"/>
      <c r="J175" s="101"/>
      <c r="K175" s="55" t="s">
        <v>285</v>
      </c>
      <c r="AS175" s="56"/>
      <c r="AT175" s="55"/>
      <c r="CB175" s="56"/>
      <c r="CC175" s="54"/>
    </row>
    <row r="176" spans="2:81">
      <c r="B176" s="52" t="str">
        <f>IF(F176&lt;&gt;"",SUBTOTAL(3,$F$5:F176),"")</f>
        <v/>
      </c>
      <c r="C176" s="52"/>
      <c r="D176" s="53"/>
      <c r="E176" s="53"/>
      <c r="F176" s="54"/>
      <c r="G176" s="106"/>
      <c r="H176" s="100"/>
      <c r="I176" s="106"/>
      <c r="J176" s="101"/>
      <c r="K176" s="55"/>
      <c r="AS176" s="56"/>
      <c r="AT176" s="55"/>
      <c r="CB176" s="56"/>
      <c r="CC176" s="54"/>
    </row>
    <row r="177" spans="2:81">
      <c r="B177" s="52">
        <f>IF(F177&lt;&gt;"",SUBTOTAL(3,$F$5:F177),"")</f>
        <v>39</v>
      </c>
      <c r="C177" s="52"/>
      <c r="D177" s="53" t="s">
        <v>138</v>
      </c>
      <c r="E177" s="53" t="s">
        <v>134</v>
      </c>
      <c r="F177" s="54" t="s">
        <v>207</v>
      </c>
      <c r="G177" s="106">
        <v>44044</v>
      </c>
      <c r="H177" s="100">
        <v>1</v>
      </c>
      <c r="I177" s="106"/>
      <c r="J177" s="100"/>
      <c r="K177" s="55" t="s">
        <v>447</v>
      </c>
      <c r="AS177" s="56"/>
      <c r="AT177" s="55" t="s">
        <v>266</v>
      </c>
      <c r="CB177" s="56"/>
      <c r="CC177" s="54"/>
    </row>
    <row r="178" spans="2:81">
      <c r="B178" s="52" t="str">
        <f>IF(F178&lt;&gt;"",SUBTOTAL(3,$F$5:F178),"")</f>
        <v/>
      </c>
      <c r="C178" s="52"/>
      <c r="D178" s="53"/>
      <c r="E178" s="53"/>
      <c r="F178" s="54"/>
      <c r="G178" s="106"/>
      <c r="H178" s="100"/>
      <c r="I178" s="106"/>
      <c r="J178" s="101"/>
      <c r="K178" s="55" t="s">
        <v>448</v>
      </c>
      <c r="AS178" s="56"/>
      <c r="AT178" s="55" t="s">
        <v>343</v>
      </c>
      <c r="CB178" s="56"/>
      <c r="CC178" s="54"/>
    </row>
    <row r="179" spans="2:81">
      <c r="B179" s="52" t="str">
        <f>IF(F179&lt;&gt;"",SUBTOTAL(3,$F$5:F179),"")</f>
        <v/>
      </c>
      <c r="C179" s="52"/>
      <c r="D179" s="53"/>
      <c r="E179" s="53"/>
      <c r="F179" s="54"/>
      <c r="G179" s="106"/>
      <c r="H179" s="100"/>
      <c r="I179" s="106"/>
      <c r="J179" s="101"/>
      <c r="K179" s="55"/>
      <c r="AS179" s="56"/>
      <c r="AT179" s="55" t="s">
        <v>344</v>
      </c>
      <c r="CB179" s="56"/>
      <c r="CC179" s="54"/>
    </row>
    <row r="180" spans="2:81">
      <c r="B180" s="52" t="str">
        <f>IF(F180&lt;&gt;"",SUBTOTAL(3,$F$5:F180),"")</f>
        <v/>
      </c>
      <c r="C180" s="52"/>
      <c r="D180" s="53"/>
      <c r="E180" s="53"/>
      <c r="F180" s="54"/>
      <c r="G180" s="106"/>
      <c r="H180" s="100"/>
      <c r="I180" s="106"/>
      <c r="J180" s="101"/>
      <c r="K180" s="55"/>
      <c r="AS180" s="56"/>
      <c r="AT180" s="55" t="s">
        <v>345</v>
      </c>
      <c r="CB180" s="56"/>
      <c r="CC180" s="54"/>
    </row>
    <row r="181" spans="2:81">
      <c r="B181" s="52" t="str">
        <f>IF(F181&lt;&gt;"",SUBTOTAL(3,$F$5:F181),"")</f>
        <v/>
      </c>
      <c r="C181" s="52"/>
      <c r="D181" s="53"/>
      <c r="E181" s="53"/>
      <c r="F181" s="54"/>
      <c r="G181" s="106"/>
      <c r="H181" s="100"/>
      <c r="I181" s="106"/>
      <c r="J181" s="101"/>
      <c r="K181" s="55"/>
      <c r="AS181" s="56"/>
      <c r="AT181" s="55" t="s">
        <v>346</v>
      </c>
      <c r="CB181" s="56"/>
      <c r="CC181" s="54"/>
    </row>
    <row r="182" spans="2:81">
      <c r="B182" s="52" t="str">
        <f>IF(F182&lt;&gt;"",SUBTOTAL(3,$F$5:F182),"")</f>
        <v/>
      </c>
      <c r="C182" s="52"/>
      <c r="D182" s="53"/>
      <c r="E182" s="53"/>
      <c r="F182" s="54"/>
      <c r="G182" s="106"/>
      <c r="H182" s="100"/>
      <c r="I182" s="106"/>
      <c r="J182" s="101"/>
      <c r="K182" s="55"/>
      <c r="AS182" s="56"/>
      <c r="AT182" s="55" t="s">
        <v>268</v>
      </c>
      <c r="CB182" s="56"/>
      <c r="CC182" s="54"/>
    </row>
    <row r="183" spans="2:81">
      <c r="B183" s="52" t="str">
        <f>IF(F183&lt;&gt;"",SUBTOTAL(3,$F$5:F183),"")</f>
        <v/>
      </c>
      <c r="C183" s="52"/>
      <c r="D183" s="53"/>
      <c r="E183" s="53"/>
      <c r="F183" s="54"/>
      <c r="G183" s="106"/>
      <c r="H183" s="100"/>
      <c r="I183" s="106"/>
      <c r="J183" s="101"/>
      <c r="K183" s="55"/>
      <c r="AS183" s="56"/>
      <c r="AT183" s="55" t="s">
        <v>286</v>
      </c>
      <c r="CB183" s="56"/>
      <c r="CC183" s="54"/>
    </row>
    <row r="184" spans="2:81">
      <c r="B184" s="52" t="str">
        <f>IF(F184&lt;&gt;"",SUBTOTAL(3,$F$5:F184),"")</f>
        <v/>
      </c>
      <c r="C184" s="52"/>
      <c r="D184" s="53"/>
      <c r="E184" s="53"/>
      <c r="F184" s="54"/>
      <c r="G184" s="106"/>
      <c r="H184" s="100"/>
      <c r="I184" s="106"/>
      <c r="J184" s="101"/>
      <c r="K184" s="55"/>
      <c r="AS184" s="56"/>
      <c r="AT184" s="55" t="s">
        <v>287</v>
      </c>
      <c r="CB184" s="56"/>
      <c r="CC184" s="54"/>
    </row>
    <row r="185" spans="2:81">
      <c r="B185" s="52" t="str">
        <f>IF(F185&lt;&gt;"",SUBTOTAL(3,$F$5:F185),"")</f>
        <v/>
      </c>
      <c r="C185" s="52"/>
      <c r="D185" s="53"/>
      <c r="E185" s="53"/>
      <c r="F185" s="54"/>
      <c r="G185" s="106"/>
      <c r="H185" s="100"/>
      <c r="I185" s="106"/>
      <c r="J185" s="101"/>
      <c r="K185" s="55"/>
      <c r="AS185" s="56"/>
      <c r="AT185" s="55" t="s">
        <v>288</v>
      </c>
      <c r="CB185" s="56"/>
      <c r="CC185" s="54"/>
    </row>
    <row r="186" spans="2:81">
      <c r="B186" s="52" t="str">
        <f>IF(F186&lt;&gt;"",SUBTOTAL(3,$F$5:F186),"")</f>
        <v/>
      </c>
      <c r="C186" s="52"/>
      <c r="D186" s="53"/>
      <c r="E186" s="53"/>
      <c r="F186" s="54"/>
      <c r="G186" s="106"/>
      <c r="H186" s="100"/>
      <c r="I186" s="106"/>
      <c r="J186" s="101"/>
      <c r="K186" s="55"/>
      <c r="AS186" s="56"/>
      <c r="AT186" s="55"/>
      <c r="CB186" s="56"/>
      <c r="CC186" s="54"/>
    </row>
    <row r="187" spans="2:81">
      <c r="B187" s="52" t="str">
        <f>IF(F187&lt;&gt;"",SUBTOTAL(3,$F$5:F187),"")</f>
        <v/>
      </c>
      <c r="C187" s="52"/>
      <c r="D187" s="53"/>
      <c r="E187" s="53"/>
      <c r="F187" s="54"/>
      <c r="G187" s="106"/>
      <c r="H187" s="100"/>
      <c r="I187" s="106"/>
      <c r="J187" s="101"/>
      <c r="K187" s="55"/>
      <c r="AS187" s="56"/>
      <c r="AT187" s="55"/>
      <c r="CB187" s="56"/>
      <c r="CC187" s="54"/>
    </row>
    <row r="188" spans="2:81">
      <c r="B188" s="52">
        <f>IF(F188&lt;&gt;"",SUBTOTAL(3,$F$5:F188),"")</f>
        <v>40</v>
      </c>
      <c r="C188" s="52"/>
      <c r="D188" s="53" t="s">
        <v>138</v>
      </c>
      <c r="E188" s="53" t="s">
        <v>134</v>
      </c>
      <c r="F188" s="54" t="s">
        <v>206</v>
      </c>
      <c r="G188" s="106">
        <v>44038</v>
      </c>
      <c r="H188" s="100">
        <v>1</v>
      </c>
      <c r="I188" s="106"/>
      <c r="J188" s="100"/>
      <c r="K188" s="55" t="s">
        <v>289</v>
      </c>
      <c r="AS188" s="56"/>
      <c r="AT188" s="55" t="s">
        <v>266</v>
      </c>
      <c r="CB188" s="56"/>
      <c r="CC188" s="54"/>
    </row>
    <row r="189" spans="2:81">
      <c r="B189" s="52" t="str">
        <f>IF(F189&lt;&gt;"",SUBTOTAL(3,$F$5:F189),"")</f>
        <v/>
      </c>
      <c r="C189" s="52"/>
      <c r="D189" s="53"/>
      <c r="E189" s="53"/>
      <c r="F189" s="54"/>
      <c r="G189" s="106"/>
      <c r="H189" s="100"/>
      <c r="I189" s="106"/>
      <c r="J189" s="101"/>
      <c r="K189" s="55" t="s">
        <v>290</v>
      </c>
      <c r="AS189" s="56"/>
      <c r="AT189" s="55" t="s">
        <v>347</v>
      </c>
      <c r="CB189" s="56"/>
      <c r="CC189" s="54"/>
    </row>
    <row r="190" spans="2:81">
      <c r="B190" s="52" t="str">
        <f>IF(F190&lt;&gt;"",SUBTOTAL(3,$F$5:F190),"")</f>
        <v/>
      </c>
      <c r="C190" s="52"/>
      <c r="D190" s="53"/>
      <c r="E190" s="53"/>
      <c r="F190" s="54"/>
      <c r="G190" s="106"/>
      <c r="H190" s="100"/>
      <c r="I190" s="106"/>
      <c r="J190" s="101"/>
      <c r="K190" s="55" t="s">
        <v>324</v>
      </c>
      <c r="AS190" s="56"/>
      <c r="AT190" s="55"/>
      <c r="CB190" s="56"/>
      <c r="CC190" s="54"/>
    </row>
    <row r="191" spans="2:81">
      <c r="B191" s="52" t="str">
        <f>IF(F191&lt;&gt;"",SUBTOTAL(3,$F$5:F191),"")</f>
        <v/>
      </c>
      <c r="C191" s="52"/>
      <c r="D191" s="53"/>
      <c r="E191" s="53"/>
      <c r="F191" s="54"/>
      <c r="G191" s="106"/>
      <c r="H191" s="100"/>
      <c r="I191" s="106"/>
      <c r="J191" s="101"/>
      <c r="K191" s="55" t="s">
        <v>325</v>
      </c>
      <c r="AS191" s="56"/>
      <c r="AT191" s="55"/>
      <c r="CB191" s="56"/>
      <c r="CC191" s="54"/>
    </row>
    <row r="192" spans="2:81">
      <c r="B192" s="52" t="str">
        <f>IF(F192&lt;&gt;"",SUBTOTAL(3,$F$5:F192),"")</f>
        <v/>
      </c>
      <c r="C192" s="52"/>
      <c r="D192" s="53"/>
      <c r="E192" s="53"/>
      <c r="F192" s="54"/>
      <c r="G192" s="106"/>
      <c r="H192" s="100"/>
      <c r="I192" s="106"/>
      <c r="J192" s="101"/>
      <c r="K192" s="55" t="s">
        <v>291</v>
      </c>
      <c r="AS192" s="56"/>
      <c r="AT192" s="55"/>
      <c r="CB192" s="56"/>
      <c r="CC192" s="54"/>
    </row>
    <row r="193" spans="2:81">
      <c r="B193" s="52" t="str">
        <f>IF(F193&lt;&gt;"",SUBTOTAL(3,$F$5:F193),"")</f>
        <v/>
      </c>
      <c r="C193" s="52"/>
      <c r="D193" s="53"/>
      <c r="E193" s="53"/>
      <c r="F193" s="54"/>
      <c r="G193" s="106"/>
      <c r="H193" s="100"/>
      <c r="I193" s="106"/>
      <c r="J193" s="101"/>
      <c r="K193" s="55" t="s">
        <v>292</v>
      </c>
      <c r="AS193" s="56"/>
      <c r="AT193" s="55"/>
      <c r="CB193" s="56"/>
      <c r="CC193" s="54"/>
    </row>
    <row r="194" spans="2:81">
      <c r="B194" s="52" t="str">
        <f>IF(F194&lt;&gt;"",SUBTOTAL(3,$F$5:F194),"")</f>
        <v/>
      </c>
      <c r="C194" s="52"/>
      <c r="D194" s="53"/>
      <c r="E194" s="53"/>
      <c r="F194" s="54"/>
      <c r="G194" s="106"/>
      <c r="H194" s="100"/>
      <c r="I194" s="106"/>
      <c r="J194" s="101"/>
      <c r="K194" s="55"/>
      <c r="AS194" s="56"/>
      <c r="AT194" s="55"/>
      <c r="CB194" s="56"/>
      <c r="CC194" s="54"/>
    </row>
    <row r="195" spans="2:81">
      <c r="B195" s="52">
        <f>IF(F195&lt;&gt;"",SUBTOTAL(3,$F$5:F195),"")</f>
        <v>41</v>
      </c>
      <c r="C195" s="52"/>
      <c r="D195" s="53" t="s">
        <v>138</v>
      </c>
      <c r="E195" s="53" t="s">
        <v>134</v>
      </c>
      <c r="F195" s="54" t="s">
        <v>205</v>
      </c>
      <c r="G195" s="106">
        <v>44038</v>
      </c>
      <c r="H195" s="100">
        <v>1</v>
      </c>
      <c r="I195" s="106"/>
      <c r="J195" s="100"/>
      <c r="K195" s="55" t="s">
        <v>348</v>
      </c>
      <c r="AS195" s="56"/>
      <c r="AT195" s="55" t="s">
        <v>266</v>
      </c>
      <c r="CB195" s="56"/>
      <c r="CC195" s="57"/>
    </row>
    <row r="196" spans="2:81">
      <c r="B196" s="52" t="str">
        <f>IF(F196&lt;&gt;"",SUBTOTAL(3,$F$5:F196),"")</f>
        <v/>
      </c>
      <c r="C196" s="52"/>
      <c r="D196" s="53"/>
      <c r="E196" s="53"/>
      <c r="F196" s="54"/>
      <c r="G196" s="106"/>
      <c r="H196" s="100"/>
      <c r="I196" s="106"/>
      <c r="J196" s="101"/>
      <c r="K196" s="55" t="s">
        <v>349</v>
      </c>
      <c r="AS196" s="56"/>
      <c r="AT196" s="55" t="s">
        <v>293</v>
      </c>
      <c r="CB196" s="56"/>
      <c r="CC196" s="57"/>
    </row>
    <row r="197" spans="2:81">
      <c r="B197" s="52" t="str">
        <f>IF(F197&lt;&gt;"",SUBTOTAL(3,$F$5:F197),"")</f>
        <v/>
      </c>
      <c r="C197" s="52"/>
      <c r="D197" s="53"/>
      <c r="E197" s="53"/>
      <c r="F197" s="54"/>
      <c r="G197" s="106"/>
      <c r="H197" s="100"/>
      <c r="I197" s="106"/>
      <c r="J197" s="101"/>
      <c r="K197" s="55"/>
      <c r="AS197" s="56"/>
      <c r="AT197" s="55" t="s">
        <v>350</v>
      </c>
      <c r="CB197" s="56"/>
      <c r="CC197" s="57"/>
    </row>
    <row r="198" spans="2:81">
      <c r="B198" s="52" t="str">
        <f>IF(F198&lt;&gt;"",SUBTOTAL(3,$F$5:F198),"")</f>
        <v/>
      </c>
      <c r="C198" s="52"/>
      <c r="D198" s="53"/>
      <c r="E198" s="53"/>
      <c r="F198" s="54"/>
      <c r="G198" s="106"/>
      <c r="H198" s="100"/>
      <c r="I198" s="106"/>
      <c r="J198" s="101"/>
      <c r="K198" s="55"/>
      <c r="AS198" s="56"/>
      <c r="AT198" s="55" t="s">
        <v>351</v>
      </c>
      <c r="CB198" s="56"/>
      <c r="CC198" s="57"/>
    </row>
    <row r="199" spans="2:81">
      <c r="B199" s="52" t="str">
        <f>IF(F199&lt;&gt;"",SUBTOTAL(3,$F$5:F199),"")</f>
        <v/>
      </c>
      <c r="C199" s="52"/>
      <c r="D199" s="53"/>
      <c r="E199" s="53"/>
      <c r="F199" s="54"/>
      <c r="G199" s="106"/>
      <c r="H199" s="100"/>
      <c r="I199" s="106"/>
      <c r="J199" s="101"/>
      <c r="K199" s="55"/>
      <c r="AS199" s="56"/>
      <c r="AT199" s="55" t="s">
        <v>352</v>
      </c>
      <c r="CB199" s="56"/>
      <c r="CC199" s="57"/>
    </row>
    <row r="200" spans="2:81">
      <c r="B200" s="52" t="str">
        <f>IF(F200&lt;&gt;"",SUBTOTAL(3,$F$5:F200),"")</f>
        <v/>
      </c>
      <c r="C200" s="52"/>
      <c r="D200" s="53"/>
      <c r="E200" s="53"/>
      <c r="F200" s="54"/>
      <c r="G200" s="106"/>
      <c r="H200" s="100"/>
      <c r="I200" s="106"/>
      <c r="J200" s="101"/>
      <c r="K200" s="55"/>
      <c r="AS200" s="56"/>
      <c r="AT200" s="55"/>
      <c r="CB200" s="56"/>
      <c r="CC200" s="57"/>
    </row>
    <row r="201" spans="2:81">
      <c r="B201" s="52">
        <f>IF(F201&lt;&gt;"",SUBTOTAL(3,$F$5:F201),"")</f>
        <v>42</v>
      </c>
      <c r="C201" s="52"/>
      <c r="D201" s="53" t="s">
        <v>138</v>
      </c>
      <c r="E201" s="53" t="s">
        <v>134</v>
      </c>
      <c r="F201" s="54" t="s">
        <v>158</v>
      </c>
      <c r="G201" s="106">
        <v>43960</v>
      </c>
      <c r="H201" s="100">
        <v>1</v>
      </c>
      <c r="I201" s="106"/>
      <c r="J201" s="100"/>
      <c r="K201" s="55" t="s">
        <v>294</v>
      </c>
      <c r="AS201" s="56"/>
      <c r="AT201" s="55" t="s">
        <v>266</v>
      </c>
      <c r="CB201" s="56"/>
      <c r="CC201" s="57"/>
    </row>
    <row r="202" spans="2:81">
      <c r="B202" s="52" t="str">
        <f>IF(F202&lt;&gt;"",SUBTOTAL(3,$F$5:F202),"")</f>
        <v/>
      </c>
      <c r="C202" s="52"/>
      <c r="D202" s="53"/>
      <c r="E202" s="53"/>
      <c r="F202" s="54"/>
      <c r="G202" s="106"/>
      <c r="H202" s="100"/>
      <c r="I202" s="106"/>
      <c r="J202" s="101"/>
      <c r="K202" s="55" t="s">
        <v>295</v>
      </c>
      <c r="AS202" s="56"/>
      <c r="AT202" s="55" t="s">
        <v>353</v>
      </c>
      <c r="CB202" s="56"/>
      <c r="CC202" s="57"/>
    </row>
    <row r="203" spans="2:81">
      <c r="B203" s="52" t="str">
        <f>IF(F203&lt;&gt;"",SUBTOTAL(3,$F$5:F203),"")</f>
        <v/>
      </c>
      <c r="C203" s="52"/>
      <c r="D203" s="53"/>
      <c r="E203" s="53"/>
      <c r="F203" s="54"/>
      <c r="G203" s="106"/>
      <c r="H203" s="100"/>
      <c r="I203" s="106"/>
      <c r="J203" s="101"/>
      <c r="K203" s="55"/>
      <c r="AS203" s="56"/>
      <c r="AT203" s="55"/>
      <c r="CB203" s="56"/>
      <c r="CC203" s="57"/>
    </row>
    <row r="204" spans="2:81" ht="15.75">
      <c r="B204" s="113">
        <f>IF(F204&lt;&gt;"",SUBTOTAL(3,$F$5:F204),"")</f>
        <v>43</v>
      </c>
      <c r="C204" s="113"/>
      <c r="D204" s="114" t="s">
        <v>138</v>
      </c>
      <c r="E204" s="114" t="s">
        <v>134</v>
      </c>
      <c r="F204" s="119" t="s">
        <v>159</v>
      </c>
      <c r="G204" s="118">
        <v>44036</v>
      </c>
      <c r="H204" s="117">
        <v>0.3</v>
      </c>
      <c r="I204" s="118"/>
      <c r="J204" s="117"/>
      <c r="K204" s="55" t="s">
        <v>553</v>
      </c>
      <c r="AS204" s="56"/>
      <c r="AT204" s="51" t="s">
        <v>331</v>
      </c>
      <c r="CB204" s="56"/>
      <c r="CC204" s="54"/>
    </row>
    <row r="205" spans="2:81">
      <c r="B205" s="113" t="str">
        <f>IF(F205&lt;&gt;"",SUBTOTAL(3,$F$5:F205),"")</f>
        <v/>
      </c>
      <c r="C205" s="113"/>
      <c r="D205" s="114"/>
      <c r="E205" s="114"/>
      <c r="F205" s="119"/>
      <c r="G205" s="118"/>
      <c r="H205" s="117"/>
      <c r="I205" s="118"/>
      <c r="J205" s="111"/>
      <c r="K205" s="55" t="s">
        <v>329</v>
      </c>
      <c r="AS205" s="56"/>
      <c r="AT205" s="51" t="s">
        <v>266</v>
      </c>
      <c r="CB205" s="56"/>
      <c r="CC205" s="54"/>
    </row>
    <row r="206" spans="2:81">
      <c r="B206" s="113" t="str">
        <f>IF(F206&lt;&gt;"",SUBTOTAL(3,$F$5:F206),"")</f>
        <v/>
      </c>
      <c r="C206" s="113"/>
      <c r="D206" s="114"/>
      <c r="E206" s="114"/>
      <c r="F206" s="119"/>
      <c r="G206" s="118"/>
      <c r="H206" s="117"/>
      <c r="I206" s="118"/>
      <c r="J206" s="111"/>
      <c r="K206" s="55" t="s">
        <v>330</v>
      </c>
      <c r="AS206" s="56"/>
      <c r="AT206" s="51" t="s">
        <v>297</v>
      </c>
      <c r="CB206" s="56"/>
      <c r="CC206" s="54"/>
    </row>
    <row r="207" spans="2:81">
      <c r="B207" s="113" t="str">
        <f>IF(F207&lt;&gt;"",SUBTOTAL(3,$F$5:F207),"")</f>
        <v/>
      </c>
      <c r="C207" s="113"/>
      <c r="D207" s="114"/>
      <c r="E207" s="114"/>
      <c r="F207" s="119"/>
      <c r="G207" s="118"/>
      <c r="H207" s="117"/>
      <c r="I207" s="118"/>
      <c r="J207" s="111"/>
      <c r="K207" s="55" t="s">
        <v>326</v>
      </c>
      <c r="AS207" s="56"/>
      <c r="CB207" s="56"/>
      <c r="CC207" s="54"/>
    </row>
    <row r="208" spans="2:81">
      <c r="B208" s="113" t="str">
        <f>IF(F208&lt;&gt;"",SUBTOTAL(3,$F$5:F208),"")</f>
        <v/>
      </c>
      <c r="C208" s="113"/>
      <c r="D208" s="114"/>
      <c r="E208" s="114"/>
      <c r="F208" s="119"/>
      <c r="G208" s="118"/>
      <c r="H208" s="117"/>
      <c r="I208" s="118"/>
      <c r="J208" s="111"/>
      <c r="K208" s="55" t="s">
        <v>296</v>
      </c>
      <c r="AS208" s="56"/>
      <c r="CB208" s="56"/>
      <c r="CC208" s="54"/>
    </row>
    <row r="209" spans="2:81">
      <c r="B209" s="113" t="str">
        <f>IF(F209&lt;&gt;"",SUBTOTAL(3,$F$5:F209),"")</f>
        <v/>
      </c>
      <c r="C209" s="113"/>
      <c r="D209" s="114"/>
      <c r="E209" s="114"/>
      <c r="F209" s="119"/>
      <c r="G209" s="118"/>
      <c r="H209" s="117"/>
      <c r="I209" s="118"/>
      <c r="J209" s="111"/>
      <c r="K209" s="55"/>
      <c r="AS209" s="56"/>
      <c r="CB209" s="56"/>
      <c r="CC209" s="54"/>
    </row>
    <row r="210" spans="2:81">
      <c r="B210" s="113">
        <f>IF(F210&lt;&gt;"",SUBTOTAL(3,$F$5:F210),"")</f>
        <v>44</v>
      </c>
      <c r="C210" s="113"/>
      <c r="D210" s="114" t="s">
        <v>138</v>
      </c>
      <c r="E210" s="114" t="s">
        <v>134</v>
      </c>
      <c r="F210" s="119" t="s">
        <v>160</v>
      </c>
      <c r="G210" s="118">
        <v>44013</v>
      </c>
      <c r="H210" s="117">
        <v>0.5</v>
      </c>
      <c r="I210" s="118"/>
      <c r="J210" s="117"/>
      <c r="K210" s="55" t="s">
        <v>510</v>
      </c>
      <c r="AS210" s="56"/>
      <c r="AT210" s="55"/>
      <c r="CB210" s="56"/>
      <c r="CC210" s="54"/>
    </row>
    <row r="211" spans="2:81">
      <c r="B211" s="113" t="str">
        <f>IF(F211&lt;&gt;"",SUBTOTAL(3,$F$5:F211),"")</f>
        <v/>
      </c>
      <c r="C211" s="113"/>
      <c r="D211" s="114"/>
      <c r="E211" s="114"/>
      <c r="F211" s="119"/>
      <c r="G211" s="118"/>
      <c r="H211" s="117"/>
      <c r="I211" s="118"/>
      <c r="J211" s="111"/>
      <c r="K211" s="55" t="s">
        <v>507</v>
      </c>
      <c r="AS211" s="56"/>
      <c r="AT211" s="55"/>
      <c r="CB211" s="56"/>
      <c r="CC211" s="54"/>
    </row>
    <row r="212" spans="2:81">
      <c r="B212" s="113" t="str">
        <f>IF(F212&lt;&gt;"",SUBTOTAL(3,$F$5:F212),"")</f>
        <v/>
      </c>
      <c r="C212" s="113"/>
      <c r="D212" s="114"/>
      <c r="E212" s="114"/>
      <c r="F212" s="119"/>
      <c r="G212" s="118"/>
      <c r="H212" s="117"/>
      <c r="I212" s="118"/>
      <c r="J212" s="111"/>
      <c r="K212" s="55" t="s">
        <v>511</v>
      </c>
      <c r="AS212" s="56"/>
      <c r="AT212" s="55"/>
      <c r="CB212" s="56"/>
      <c r="CC212" s="54"/>
    </row>
    <row r="213" spans="2:81">
      <c r="B213" s="113" t="str">
        <f>IF(F213&lt;&gt;"",SUBTOTAL(3,$F$5:F213),"")</f>
        <v/>
      </c>
      <c r="C213" s="113"/>
      <c r="D213" s="114"/>
      <c r="E213" s="114"/>
      <c r="F213" s="119"/>
      <c r="G213" s="118"/>
      <c r="H213" s="117"/>
      <c r="I213" s="118"/>
      <c r="J213" s="111"/>
      <c r="K213" s="55" t="s">
        <v>509</v>
      </c>
      <c r="AS213" s="56"/>
      <c r="AT213" s="55"/>
      <c r="CB213" s="56"/>
      <c r="CC213" s="54"/>
    </row>
    <row r="214" spans="2:81">
      <c r="B214" s="113" t="str">
        <f>IF(F214&lt;&gt;"",SUBTOTAL(3,$F$5:F214),"")</f>
        <v/>
      </c>
      <c r="C214" s="113"/>
      <c r="D214" s="114"/>
      <c r="E214" s="114"/>
      <c r="F214" s="119"/>
      <c r="G214" s="118"/>
      <c r="H214" s="117"/>
      <c r="I214" s="118"/>
      <c r="J214" s="111"/>
      <c r="K214" s="55" t="s">
        <v>503</v>
      </c>
      <c r="AS214" s="56"/>
      <c r="AT214" s="55"/>
      <c r="CB214" s="56"/>
      <c r="CC214" s="54"/>
    </row>
    <row r="215" spans="2:81">
      <c r="B215" s="113" t="str">
        <f>IF(F215&lt;&gt;"",SUBTOTAL(3,$F$5:F215),"")</f>
        <v/>
      </c>
      <c r="C215" s="113"/>
      <c r="D215" s="114"/>
      <c r="E215" s="114"/>
      <c r="F215" s="119"/>
      <c r="G215" s="118"/>
      <c r="H215" s="117"/>
      <c r="I215" s="118"/>
      <c r="J215" s="111"/>
      <c r="K215" s="55"/>
      <c r="AS215" s="56"/>
      <c r="AT215" s="55"/>
      <c r="CB215" s="56"/>
      <c r="CC215" s="54"/>
    </row>
    <row r="216" spans="2:81" ht="15.75">
      <c r="B216" s="52">
        <f>IF(F216&lt;&gt;"",SUBTOTAL(3,$F$5:F216),"")</f>
        <v>45</v>
      </c>
      <c r="C216" s="52"/>
      <c r="D216" s="53" t="s">
        <v>138</v>
      </c>
      <c r="E216" s="53" t="s">
        <v>134</v>
      </c>
      <c r="F216" s="54" t="s">
        <v>500</v>
      </c>
      <c r="G216" s="106">
        <v>44013</v>
      </c>
      <c r="H216" s="100">
        <v>1</v>
      </c>
      <c r="I216" s="106"/>
      <c r="J216" s="100"/>
      <c r="K216" s="55" t="s">
        <v>504</v>
      </c>
      <c r="AS216" s="56"/>
      <c r="AT216" s="55"/>
      <c r="CB216" s="56"/>
      <c r="CC216" s="54"/>
    </row>
    <row r="217" spans="2:81">
      <c r="B217" s="52" t="str">
        <f>IF(F217&lt;&gt;"",SUBTOTAL(3,$F$5:F217),"")</f>
        <v/>
      </c>
      <c r="C217" s="52"/>
      <c r="D217" s="53"/>
      <c r="E217" s="53"/>
      <c r="F217" s="54"/>
      <c r="G217" s="106"/>
      <c r="H217" s="100"/>
      <c r="I217" s="106"/>
      <c r="J217" s="101"/>
      <c r="K217" s="55" t="s">
        <v>501</v>
      </c>
      <c r="AS217" s="56"/>
      <c r="AT217" s="55"/>
      <c r="CB217" s="56"/>
      <c r="CC217" s="54"/>
    </row>
    <row r="218" spans="2:81">
      <c r="B218" s="52" t="str">
        <f>IF(F218&lt;&gt;"",SUBTOTAL(3,$F$5:F218),"")</f>
        <v/>
      </c>
      <c r="C218" s="52"/>
      <c r="D218" s="53"/>
      <c r="E218" s="53"/>
      <c r="F218" s="54"/>
      <c r="G218" s="106"/>
      <c r="H218" s="100"/>
      <c r="I218" s="106"/>
      <c r="J218" s="101"/>
      <c r="K218" s="55" t="s">
        <v>508</v>
      </c>
      <c r="AS218" s="56"/>
      <c r="AT218" s="55"/>
      <c r="CB218" s="56"/>
      <c r="CC218" s="54"/>
    </row>
    <row r="219" spans="2:81">
      <c r="B219" s="52" t="str">
        <f>IF(F219&lt;&gt;"",SUBTOTAL(3,$F$5:F219),"")</f>
        <v/>
      </c>
      <c r="C219" s="52"/>
      <c r="D219" s="53"/>
      <c r="E219" s="53"/>
      <c r="F219" s="54"/>
      <c r="G219" s="106"/>
      <c r="H219" s="100"/>
      <c r="I219" s="106"/>
      <c r="J219" s="101"/>
      <c r="K219" s="55" t="s">
        <v>505</v>
      </c>
      <c r="AS219" s="56"/>
      <c r="AT219" s="55"/>
      <c r="CB219" s="56"/>
      <c r="CC219" s="54"/>
    </row>
    <row r="220" spans="2:81" ht="15.75">
      <c r="B220" s="52" t="str">
        <f>IF(F220&lt;&gt;"",SUBTOTAL(3,$F$5:F220),"")</f>
        <v/>
      </c>
      <c r="C220" s="52"/>
      <c r="D220" s="53"/>
      <c r="E220" s="53"/>
      <c r="F220" s="54"/>
      <c r="G220" s="106"/>
      <c r="H220" s="100"/>
      <c r="I220" s="106"/>
      <c r="J220" s="101"/>
      <c r="K220" s="55" t="s">
        <v>506</v>
      </c>
      <c r="AS220" s="56"/>
      <c r="AT220" s="55"/>
      <c r="CB220" s="56"/>
      <c r="CC220" s="54"/>
    </row>
    <row r="221" spans="2:81">
      <c r="B221" s="52" t="str">
        <f>IF(F221&lt;&gt;"",SUBTOTAL(3,$F$5:F221),"")</f>
        <v/>
      </c>
      <c r="C221" s="52"/>
      <c r="D221" s="53"/>
      <c r="E221" s="53"/>
      <c r="F221" s="54"/>
      <c r="G221" s="106"/>
      <c r="H221" s="100"/>
      <c r="I221" s="106"/>
      <c r="J221" s="101"/>
      <c r="K221" s="55" t="s">
        <v>502</v>
      </c>
      <c r="AS221" s="56"/>
      <c r="AT221" s="55"/>
      <c r="CB221" s="56"/>
      <c r="CC221" s="54"/>
    </row>
    <row r="222" spans="2:81">
      <c r="B222" s="52" t="str">
        <f>IF(F222&lt;&gt;"",SUBTOTAL(3,$F$5:F222),"")</f>
        <v/>
      </c>
      <c r="C222" s="52"/>
      <c r="D222" s="53"/>
      <c r="E222" s="53"/>
      <c r="F222" s="54"/>
      <c r="G222" s="106"/>
      <c r="H222" s="100"/>
      <c r="I222" s="106"/>
      <c r="J222" s="101"/>
      <c r="K222" s="55" t="s">
        <v>503</v>
      </c>
      <c r="AS222" s="56"/>
      <c r="AT222" s="55"/>
      <c r="CB222" s="56"/>
      <c r="CC222" s="54"/>
    </row>
    <row r="223" spans="2:81">
      <c r="B223" s="52" t="str">
        <f>IF(F223&lt;&gt;"",SUBTOTAL(3,$F$5:F223),"")</f>
        <v/>
      </c>
      <c r="C223" s="52"/>
      <c r="D223" s="53"/>
      <c r="E223" s="53"/>
      <c r="F223" s="54"/>
      <c r="G223" s="106"/>
      <c r="H223" s="100"/>
      <c r="I223" s="106"/>
      <c r="J223" s="101"/>
      <c r="K223" s="55"/>
      <c r="AS223" s="56"/>
      <c r="AT223" s="55"/>
      <c r="CB223" s="56"/>
      <c r="CC223" s="54"/>
    </row>
    <row r="224" spans="2:81">
      <c r="B224" s="52">
        <f>IF(F224&lt;&gt;"",SUBTOTAL(3,$F$5:F224),"")</f>
        <v>46</v>
      </c>
      <c r="C224" s="52"/>
      <c r="D224" s="53" t="s">
        <v>138</v>
      </c>
      <c r="E224" s="53" t="s">
        <v>134</v>
      </c>
      <c r="F224" s="54" t="s">
        <v>161</v>
      </c>
      <c r="G224" s="106">
        <v>44010</v>
      </c>
      <c r="H224" s="100">
        <v>1</v>
      </c>
      <c r="I224" s="106"/>
      <c r="J224" s="100"/>
      <c r="K224" s="55" t="s">
        <v>498</v>
      </c>
      <c r="AS224" s="56"/>
      <c r="AT224" s="55"/>
      <c r="CB224" s="56"/>
      <c r="CC224" s="54"/>
    </row>
    <row r="225" spans="2:81">
      <c r="B225" s="52" t="str">
        <f>IF(F225&lt;&gt;"",SUBTOTAL(3,$F$5:F225),"")</f>
        <v/>
      </c>
      <c r="C225" s="52"/>
      <c r="D225" s="53"/>
      <c r="E225" s="53"/>
      <c r="F225" s="54"/>
      <c r="G225" s="106"/>
      <c r="H225" s="100"/>
      <c r="I225" s="106"/>
      <c r="J225" s="101"/>
      <c r="K225" s="55" t="s">
        <v>499</v>
      </c>
      <c r="AS225" s="56"/>
      <c r="AT225" s="55"/>
      <c r="CB225" s="56"/>
      <c r="CC225" s="54"/>
    </row>
    <row r="226" spans="2:81">
      <c r="B226" s="52" t="str">
        <f>IF(F226&lt;&gt;"",SUBTOTAL(3,$F$5:F226),"")</f>
        <v/>
      </c>
      <c r="C226" s="52"/>
      <c r="D226" s="53"/>
      <c r="E226" s="53"/>
      <c r="F226" s="54"/>
      <c r="G226" s="106"/>
      <c r="H226" s="100"/>
      <c r="I226" s="106"/>
      <c r="J226" s="101"/>
      <c r="K226" s="55"/>
      <c r="AS226" s="56"/>
      <c r="AT226" s="55"/>
      <c r="CB226" s="56"/>
      <c r="CC226" s="54"/>
    </row>
    <row r="227" spans="2:81">
      <c r="B227" s="52">
        <f>IF(F227&lt;&gt;"",SUBTOTAL(3,$F$5:F227),"")</f>
        <v>47</v>
      </c>
      <c r="C227" s="52"/>
      <c r="D227" s="53" t="s">
        <v>138</v>
      </c>
      <c r="E227" s="53" t="s">
        <v>134</v>
      </c>
      <c r="F227" s="54" t="s">
        <v>162</v>
      </c>
      <c r="G227" s="106">
        <v>44007</v>
      </c>
      <c r="H227" s="100">
        <v>1</v>
      </c>
      <c r="I227" s="106"/>
      <c r="J227" s="100"/>
      <c r="K227" s="55" t="s">
        <v>496</v>
      </c>
      <c r="AS227" s="56"/>
      <c r="AT227" s="55"/>
      <c r="CB227" s="56"/>
      <c r="CC227" s="54"/>
    </row>
    <row r="228" spans="2:81">
      <c r="B228" s="52" t="str">
        <f>IF(F228&lt;&gt;"",SUBTOTAL(3,$F$5:F228),"")</f>
        <v/>
      </c>
      <c r="C228" s="52"/>
      <c r="D228" s="53"/>
      <c r="E228" s="53"/>
      <c r="F228" s="54"/>
      <c r="G228" s="106"/>
      <c r="H228" s="100"/>
      <c r="I228" s="106"/>
      <c r="J228" s="101"/>
      <c r="K228" s="55" t="s">
        <v>600</v>
      </c>
      <c r="AS228" s="56"/>
      <c r="AT228" s="55"/>
      <c r="CB228" s="56"/>
      <c r="CC228" s="54"/>
    </row>
    <row r="229" spans="2:81">
      <c r="B229" s="52" t="str">
        <f>IF(F229&lt;&gt;"",SUBTOTAL(3,$F$5:F229),"")</f>
        <v/>
      </c>
      <c r="C229" s="52"/>
      <c r="D229" s="53"/>
      <c r="E229" s="53"/>
      <c r="F229" s="54"/>
      <c r="G229" s="106"/>
      <c r="H229" s="100"/>
      <c r="I229" s="106"/>
      <c r="J229" s="101"/>
      <c r="K229" s="55" t="s">
        <v>601</v>
      </c>
      <c r="AS229" s="56"/>
      <c r="AT229" s="55"/>
      <c r="CB229" s="56"/>
      <c r="CC229" s="54"/>
    </row>
    <row r="230" spans="2:81">
      <c r="B230" s="52" t="str">
        <f>IF(F230&lt;&gt;"",SUBTOTAL(3,$F$5:F230),"")</f>
        <v/>
      </c>
      <c r="C230" s="52"/>
      <c r="D230" s="53"/>
      <c r="E230" s="53"/>
      <c r="F230" s="54"/>
      <c r="G230" s="106"/>
      <c r="H230" s="100"/>
      <c r="I230" s="106"/>
      <c r="J230" s="101"/>
      <c r="K230" s="55" t="s">
        <v>602</v>
      </c>
      <c r="AS230" s="56"/>
      <c r="AT230" s="55"/>
      <c r="CB230" s="56"/>
      <c r="CC230" s="54"/>
    </row>
    <row r="231" spans="2:81">
      <c r="B231" s="52" t="str">
        <f>IF(F231&lt;&gt;"",SUBTOTAL(3,$F$5:F231),"")</f>
        <v/>
      </c>
      <c r="C231" s="52"/>
      <c r="D231" s="53"/>
      <c r="E231" s="53"/>
      <c r="F231" s="54"/>
      <c r="G231" s="106"/>
      <c r="H231" s="100"/>
      <c r="I231" s="106"/>
      <c r="J231" s="101"/>
      <c r="K231" s="55" t="s">
        <v>497</v>
      </c>
      <c r="AS231" s="56"/>
      <c r="AT231" s="55"/>
      <c r="CB231" s="56"/>
      <c r="CC231" s="54"/>
    </row>
    <row r="232" spans="2:81">
      <c r="B232" s="52" t="str">
        <f>IF(F232&lt;&gt;"",SUBTOTAL(3,$F$5:F232),"")</f>
        <v/>
      </c>
      <c r="C232" s="52"/>
      <c r="D232" s="53"/>
      <c r="E232" s="53"/>
      <c r="F232" s="54"/>
      <c r="G232" s="106"/>
      <c r="H232" s="100"/>
      <c r="I232" s="106"/>
      <c r="J232" s="101"/>
      <c r="K232" s="55"/>
      <c r="AS232" s="56"/>
      <c r="AT232" s="55"/>
      <c r="CB232" s="56"/>
      <c r="CC232" s="54"/>
    </row>
    <row r="233" spans="2:81">
      <c r="B233" s="113">
        <f>IF(F233&lt;&gt;"",SUBTOTAL(3,$F$5:F233),"")</f>
        <v>48</v>
      </c>
      <c r="C233" s="113"/>
      <c r="D233" s="114" t="s">
        <v>138</v>
      </c>
      <c r="E233" s="114" t="s">
        <v>134</v>
      </c>
      <c r="F233" s="119" t="s">
        <v>163</v>
      </c>
      <c r="G233" s="118">
        <v>44006</v>
      </c>
      <c r="H233" s="117">
        <v>0.5</v>
      </c>
      <c r="I233" s="118"/>
      <c r="J233" s="117"/>
      <c r="K233" s="55" t="s">
        <v>495</v>
      </c>
      <c r="AS233" s="56"/>
      <c r="AT233" s="55"/>
      <c r="CB233" s="56"/>
      <c r="CC233" s="54"/>
    </row>
    <row r="234" spans="2:81">
      <c r="B234" s="113" t="str">
        <f>IF(F234&lt;&gt;"",SUBTOTAL(3,$F$5:F234),"")</f>
        <v/>
      </c>
      <c r="C234" s="113"/>
      <c r="D234" s="114"/>
      <c r="E234" s="114"/>
      <c r="F234" s="119"/>
      <c r="G234" s="118"/>
      <c r="H234" s="117"/>
      <c r="I234" s="118"/>
      <c r="J234" s="111"/>
      <c r="K234" s="55" t="s">
        <v>493</v>
      </c>
      <c r="AS234" s="56"/>
      <c r="AT234" s="55"/>
      <c r="CB234" s="56"/>
      <c r="CC234" s="54"/>
    </row>
    <row r="235" spans="2:81">
      <c r="B235" s="113" t="str">
        <f>IF(F235&lt;&gt;"",SUBTOTAL(3,$F$5:F235),"")</f>
        <v/>
      </c>
      <c r="C235" s="113"/>
      <c r="D235" s="114"/>
      <c r="E235" s="114"/>
      <c r="F235" s="119"/>
      <c r="G235" s="118"/>
      <c r="H235" s="117"/>
      <c r="I235" s="118"/>
      <c r="J235" s="111"/>
      <c r="K235" s="55" t="s">
        <v>494</v>
      </c>
      <c r="AS235" s="56"/>
      <c r="AT235" s="55"/>
      <c r="CB235" s="56"/>
      <c r="CC235" s="54"/>
    </row>
    <row r="236" spans="2:81">
      <c r="B236" s="113" t="str">
        <f>IF(F236&lt;&gt;"",SUBTOTAL(3,$F$5:F236),"")</f>
        <v/>
      </c>
      <c r="C236" s="113"/>
      <c r="D236" s="114"/>
      <c r="E236" s="114"/>
      <c r="F236" s="119"/>
      <c r="G236" s="118"/>
      <c r="H236" s="117"/>
      <c r="I236" s="118"/>
      <c r="J236" s="111"/>
      <c r="K236" s="55"/>
      <c r="AS236" s="56"/>
      <c r="AT236" s="55"/>
      <c r="CB236" s="56"/>
      <c r="CC236" s="54"/>
    </row>
    <row r="237" spans="2:81">
      <c r="B237" s="52">
        <f>IF(F237&lt;&gt;"",SUBTOTAL(3,$F$5:F237),"")</f>
        <v>49</v>
      </c>
      <c r="C237" s="52"/>
      <c r="D237" s="53" t="s">
        <v>138</v>
      </c>
      <c r="E237" s="53" t="s">
        <v>134</v>
      </c>
      <c r="F237" s="54" t="s">
        <v>164</v>
      </c>
      <c r="G237" s="106">
        <v>44003</v>
      </c>
      <c r="H237" s="100">
        <v>1</v>
      </c>
      <c r="I237" s="106"/>
      <c r="J237" s="100"/>
      <c r="K237" s="55" t="s">
        <v>491</v>
      </c>
      <c r="AS237" s="56"/>
      <c r="AT237" s="55"/>
      <c r="CB237" s="56"/>
      <c r="CC237" s="54"/>
    </row>
    <row r="238" spans="2:81" ht="17.25">
      <c r="B238" s="52" t="str">
        <f>IF(F238&lt;&gt;"",SUBTOTAL(3,$F$5:F238),"")</f>
        <v/>
      </c>
      <c r="C238" s="52"/>
      <c r="D238" s="53"/>
      <c r="E238" s="53"/>
      <c r="F238" s="54"/>
      <c r="G238" s="106"/>
      <c r="H238" s="100"/>
      <c r="I238" s="106"/>
      <c r="J238" s="101"/>
      <c r="K238" s="55" t="s">
        <v>492</v>
      </c>
      <c r="AS238" s="56"/>
      <c r="AT238" s="55"/>
      <c r="CB238" s="56"/>
      <c r="CC238" s="54"/>
    </row>
    <row r="239" spans="2:81">
      <c r="B239" s="52" t="str">
        <f>IF(F239&lt;&gt;"",SUBTOTAL(3,$F$5:F239),"")</f>
        <v/>
      </c>
      <c r="C239" s="52"/>
      <c r="D239" s="53"/>
      <c r="E239" s="53"/>
      <c r="F239" s="54"/>
      <c r="G239" s="106"/>
      <c r="H239" s="100"/>
      <c r="I239" s="106"/>
      <c r="J239" s="101"/>
      <c r="K239" s="55"/>
      <c r="AS239" s="56"/>
      <c r="AT239" s="55"/>
      <c r="CB239" s="56"/>
      <c r="CC239" s="54"/>
    </row>
    <row r="240" spans="2:81">
      <c r="B240" s="52">
        <f>IF(F240&lt;&gt;"",SUBTOTAL(3,$F$5:F240),"")</f>
        <v>50</v>
      </c>
      <c r="C240" s="52"/>
      <c r="D240" s="53" t="s">
        <v>138</v>
      </c>
      <c r="E240" s="53" t="s">
        <v>134</v>
      </c>
      <c r="F240" s="54" t="s">
        <v>165</v>
      </c>
      <c r="G240" s="106">
        <v>44000</v>
      </c>
      <c r="H240" s="100">
        <v>1</v>
      </c>
      <c r="I240" s="106"/>
      <c r="J240" s="100"/>
      <c r="K240" s="55" t="s">
        <v>486</v>
      </c>
      <c r="AS240" s="56"/>
      <c r="AT240" s="55"/>
      <c r="CB240" s="56"/>
      <c r="CC240" s="54"/>
    </row>
    <row r="241" spans="2:81">
      <c r="B241" s="52" t="str">
        <f>IF(F241&lt;&gt;"",SUBTOTAL(3,$F$5:F241),"")</f>
        <v/>
      </c>
      <c r="C241" s="52"/>
      <c r="D241" s="53"/>
      <c r="E241" s="53"/>
      <c r="F241" s="54"/>
      <c r="G241" s="106"/>
      <c r="H241" s="100"/>
      <c r="I241" s="106"/>
      <c r="J241" s="101"/>
      <c r="K241" s="55" t="s">
        <v>487</v>
      </c>
      <c r="AS241" s="56"/>
      <c r="AT241" s="55"/>
      <c r="CB241" s="56"/>
      <c r="CC241" s="54"/>
    </row>
    <row r="242" spans="2:81">
      <c r="B242" s="52" t="str">
        <f>IF(F242&lt;&gt;"",SUBTOTAL(3,$F$5:F242),"")</f>
        <v/>
      </c>
      <c r="C242" s="52"/>
      <c r="D242" s="53"/>
      <c r="E242" s="53"/>
      <c r="F242" s="54"/>
      <c r="G242" s="106"/>
      <c r="H242" s="100"/>
      <c r="I242" s="106"/>
      <c r="J242" s="101"/>
      <c r="K242" s="55" t="s">
        <v>488</v>
      </c>
      <c r="AS242" s="56"/>
      <c r="AT242" s="55"/>
      <c r="CB242" s="56"/>
      <c r="CC242" s="54"/>
    </row>
    <row r="243" spans="2:81">
      <c r="B243" s="52" t="str">
        <f>IF(F243&lt;&gt;"",SUBTOTAL(3,$F$5:F243),"")</f>
        <v/>
      </c>
      <c r="C243" s="52"/>
      <c r="D243" s="53"/>
      <c r="E243" s="53"/>
      <c r="F243" s="54"/>
      <c r="G243" s="106"/>
      <c r="H243" s="100"/>
      <c r="I243" s="106"/>
      <c r="J243" s="101"/>
      <c r="K243" s="55" t="s">
        <v>489</v>
      </c>
      <c r="AS243" s="56"/>
      <c r="AT243" s="55"/>
      <c r="CB243" s="56"/>
      <c r="CC243" s="54"/>
    </row>
    <row r="244" spans="2:81">
      <c r="B244" s="52" t="str">
        <f>IF(F244&lt;&gt;"",SUBTOTAL(3,$F$5:F244),"")</f>
        <v/>
      </c>
      <c r="C244" s="52"/>
      <c r="D244" s="53"/>
      <c r="E244" s="53"/>
      <c r="F244" s="54"/>
      <c r="G244" s="106"/>
      <c r="H244" s="100"/>
      <c r="I244" s="106"/>
      <c r="J244" s="101"/>
      <c r="K244" s="55" t="s">
        <v>490</v>
      </c>
      <c r="AS244" s="56"/>
      <c r="AT244" s="55"/>
      <c r="CB244" s="56"/>
      <c r="CC244" s="54"/>
    </row>
    <row r="245" spans="2:81">
      <c r="B245" s="52" t="str">
        <f>IF(F245&lt;&gt;"",SUBTOTAL(3,$F$5:F245),"")</f>
        <v/>
      </c>
      <c r="C245" s="52"/>
      <c r="D245" s="53"/>
      <c r="E245" s="53"/>
      <c r="F245" s="54"/>
      <c r="G245" s="106"/>
      <c r="H245" s="100"/>
      <c r="I245" s="106"/>
      <c r="J245" s="101"/>
      <c r="K245" s="55"/>
      <c r="AS245" s="56"/>
      <c r="AT245" s="55"/>
      <c r="CB245" s="56"/>
      <c r="CC245" s="54"/>
    </row>
    <row r="246" spans="2:81">
      <c r="B246" s="52">
        <f>IF(F246&lt;&gt;"",SUBTOTAL(3,$F$5:F246),"")</f>
        <v>51</v>
      </c>
      <c r="C246" s="52"/>
      <c r="D246" s="53" t="s">
        <v>138</v>
      </c>
      <c r="E246" s="53" t="s">
        <v>134</v>
      </c>
      <c r="F246" s="54" t="s">
        <v>166</v>
      </c>
      <c r="G246" s="106">
        <v>43996</v>
      </c>
      <c r="H246" s="100">
        <v>1</v>
      </c>
      <c r="I246" s="106"/>
      <c r="J246" s="100"/>
      <c r="K246" s="55" t="s">
        <v>483</v>
      </c>
      <c r="AS246" s="56"/>
      <c r="AT246" s="55"/>
      <c r="CB246" s="56"/>
      <c r="CC246" s="54"/>
    </row>
    <row r="247" spans="2:81">
      <c r="B247" s="52" t="str">
        <f>IF(F247&lt;&gt;"",SUBTOTAL(3,$F$5:F247),"")</f>
        <v/>
      </c>
      <c r="C247" s="52"/>
      <c r="D247" s="53"/>
      <c r="E247" s="53"/>
      <c r="F247" s="54"/>
      <c r="G247" s="106"/>
      <c r="H247" s="100"/>
      <c r="I247" s="106"/>
      <c r="J247" s="101"/>
      <c r="K247" s="55" t="s">
        <v>484</v>
      </c>
      <c r="AS247" s="56"/>
      <c r="AT247" s="55"/>
      <c r="CB247" s="56"/>
      <c r="CC247" s="54"/>
    </row>
    <row r="248" spans="2:81">
      <c r="B248" s="52" t="str">
        <f>IF(F248&lt;&gt;"",SUBTOTAL(3,$F$5:F248),"")</f>
        <v/>
      </c>
      <c r="C248" s="52"/>
      <c r="D248" s="53"/>
      <c r="E248" s="53"/>
      <c r="F248" s="54"/>
      <c r="G248" s="106"/>
      <c r="H248" s="100"/>
      <c r="I248" s="106"/>
      <c r="J248" s="101"/>
      <c r="K248" s="55" t="s">
        <v>485</v>
      </c>
      <c r="AS248" s="56"/>
      <c r="AT248" s="55"/>
      <c r="CB248" s="56"/>
      <c r="CC248" s="54"/>
    </row>
    <row r="249" spans="2:81">
      <c r="B249" s="52" t="str">
        <f>IF(F249&lt;&gt;"",SUBTOTAL(3,$F$5:F249),"")</f>
        <v/>
      </c>
      <c r="C249" s="52"/>
      <c r="D249" s="53"/>
      <c r="E249" s="53"/>
      <c r="F249" s="54"/>
      <c r="G249" s="106"/>
      <c r="H249" s="100"/>
      <c r="I249" s="106"/>
      <c r="J249" s="101"/>
      <c r="K249" s="55"/>
      <c r="AS249" s="56"/>
      <c r="AT249" s="55"/>
      <c r="CB249" s="56"/>
      <c r="CC249" s="54"/>
    </row>
    <row r="250" spans="2:81">
      <c r="B250" s="52">
        <f>IF(F250&lt;&gt;"",SUBTOTAL(3,$F$5:F250),"")</f>
        <v>52</v>
      </c>
      <c r="C250" s="52"/>
      <c r="D250" s="53" t="s">
        <v>138</v>
      </c>
      <c r="E250" s="53" t="s">
        <v>134</v>
      </c>
      <c r="F250" s="54" t="s">
        <v>167</v>
      </c>
      <c r="G250" s="106">
        <v>43996</v>
      </c>
      <c r="H250" s="100">
        <v>1</v>
      </c>
      <c r="I250" s="106"/>
      <c r="J250" s="100"/>
      <c r="K250" s="55" t="s">
        <v>479</v>
      </c>
      <c r="AS250" s="56"/>
      <c r="AT250" s="55"/>
      <c r="CB250" s="56"/>
      <c r="CC250" s="54"/>
    </row>
    <row r="251" spans="2:81">
      <c r="B251" s="52" t="str">
        <f>IF(F251&lt;&gt;"",SUBTOTAL(3,$F$5:F251),"")</f>
        <v/>
      </c>
      <c r="C251" s="52"/>
      <c r="D251" s="53"/>
      <c r="E251" s="53"/>
      <c r="F251" s="54"/>
      <c r="G251" s="106"/>
      <c r="H251" s="100"/>
      <c r="I251" s="106"/>
      <c r="J251" s="101"/>
      <c r="K251" s="55" t="s">
        <v>480</v>
      </c>
      <c r="AS251" s="56"/>
      <c r="AT251" s="55"/>
      <c r="CB251" s="56"/>
      <c r="CC251" s="54"/>
    </row>
    <row r="252" spans="2:81" ht="15.75">
      <c r="B252" s="52" t="str">
        <f>IF(F252&lt;&gt;"",SUBTOTAL(3,$F$5:F252),"")</f>
        <v/>
      </c>
      <c r="C252" s="52"/>
      <c r="D252" s="53"/>
      <c r="E252" s="53"/>
      <c r="F252" s="54"/>
      <c r="G252" s="106"/>
      <c r="H252" s="100"/>
      <c r="I252" s="106"/>
      <c r="J252" s="101"/>
      <c r="K252" s="55" t="s">
        <v>481</v>
      </c>
      <c r="AS252" s="56"/>
      <c r="AT252" s="55"/>
      <c r="CB252" s="56"/>
      <c r="CC252" s="54"/>
    </row>
    <row r="253" spans="2:81">
      <c r="B253" s="52" t="str">
        <f>IF(F253&lt;&gt;"",SUBTOTAL(3,$F$5:F253),"")</f>
        <v/>
      </c>
      <c r="C253" s="52"/>
      <c r="D253" s="53"/>
      <c r="E253" s="53"/>
      <c r="F253" s="54"/>
      <c r="G253" s="106"/>
      <c r="H253" s="100"/>
      <c r="I253" s="106"/>
      <c r="J253" s="101"/>
      <c r="K253" s="55" t="s">
        <v>482</v>
      </c>
      <c r="AS253" s="56"/>
      <c r="AT253" s="55"/>
      <c r="CB253" s="56"/>
      <c r="CC253" s="54"/>
    </row>
    <row r="254" spans="2:81">
      <c r="B254" s="52" t="str">
        <f>IF(F254&lt;&gt;"",SUBTOTAL(3,$F$5:F254),"")</f>
        <v/>
      </c>
      <c r="C254" s="52"/>
      <c r="D254" s="53"/>
      <c r="E254" s="53"/>
      <c r="F254" s="54"/>
      <c r="G254" s="106"/>
      <c r="H254" s="100"/>
      <c r="I254" s="106"/>
      <c r="J254" s="101"/>
      <c r="K254" s="55"/>
      <c r="AS254" s="56"/>
      <c r="AT254" s="55"/>
      <c r="CB254" s="56"/>
      <c r="CC254" s="54"/>
    </row>
    <row r="255" spans="2:81">
      <c r="B255" s="52">
        <f>IF(F255&lt;&gt;"",SUBTOTAL(3,$F$5:F255),"")</f>
        <v>53</v>
      </c>
      <c r="C255" s="52"/>
      <c r="D255" s="53" t="s">
        <v>138</v>
      </c>
      <c r="E255" s="53" t="s">
        <v>134</v>
      </c>
      <c r="F255" s="54" t="s">
        <v>168</v>
      </c>
      <c r="G255" s="106">
        <v>43996</v>
      </c>
      <c r="H255" s="100">
        <v>1</v>
      </c>
      <c r="I255" s="106"/>
      <c r="J255" s="100"/>
      <c r="K255" s="55" t="s">
        <v>475</v>
      </c>
      <c r="AS255" s="56"/>
      <c r="AT255" s="55"/>
      <c r="CB255" s="56"/>
      <c r="CC255" s="54"/>
    </row>
    <row r="256" spans="2:81">
      <c r="B256" s="52" t="str">
        <f>IF(F256&lt;&gt;"",SUBTOTAL(3,$F$5:F256),"")</f>
        <v/>
      </c>
      <c r="C256" s="52"/>
      <c r="D256" s="53"/>
      <c r="E256" s="53"/>
      <c r="F256" s="54"/>
      <c r="G256" s="106"/>
      <c r="H256" s="100"/>
      <c r="I256" s="106"/>
      <c r="J256" s="101"/>
      <c r="K256" s="55" t="s">
        <v>478</v>
      </c>
      <c r="AS256" s="56"/>
      <c r="AT256" s="55"/>
      <c r="CB256" s="56"/>
      <c r="CC256" s="54"/>
    </row>
    <row r="257" spans="2:81">
      <c r="B257" s="52" t="str">
        <f>IF(F257&lt;&gt;"",SUBTOTAL(3,$F$5:F257),"")</f>
        <v/>
      </c>
      <c r="C257" s="52"/>
      <c r="D257" s="53"/>
      <c r="E257" s="53"/>
      <c r="F257" s="54"/>
      <c r="G257" s="106"/>
      <c r="H257" s="100"/>
      <c r="I257" s="106"/>
      <c r="J257" s="101"/>
      <c r="K257" s="55" t="s">
        <v>477</v>
      </c>
      <c r="AS257" s="56"/>
      <c r="AT257" s="55"/>
      <c r="CB257" s="56"/>
      <c r="CC257" s="54"/>
    </row>
    <row r="258" spans="2:81">
      <c r="B258" s="52" t="str">
        <f>IF(F258&lt;&gt;"",SUBTOTAL(3,$F$5:F258),"")</f>
        <v/>
      </c>
      <c r="C258" s="52"/>
      <c r="D258" s="53"/>
      <c r="E258" s="53"/>
      <c r="F258" s="54"/>
      <c r="G258" s="106"/>
      <c r="H258" s="100"/>
      <c r="I258" s="106"/>
      <c r="J258" s="101"/>
      <c r="K258" s="55" t="s">
        <v>476</v>
      </c>
      <c r="AS258" s="56"/>
      <c r="AT258" s="55"/>
      <c r="CB258" s="56"/>
      <c r="CC258" s="54"/>
    </row>
    <row r="259" spans="2:81">
      <c r="B259" s="52" t="str">
        <f>IF(F259&lt;&gt;"",SUBTOTAL(3,$F$5:F259),"")</f>
        <v/>
      </c>
      <c r="C259" s="52"/>
      <c r="D259" s="53"/>
      <c r="E259" s="53"/>
      <c r="F259" s="54"/>
      <c r="G259" s="106"/>
      <c r="H259" s="100"/>
      <c r="I259" s="106"/>
      <c r="J259" s="101"/>
      <c r="K259" s="55"/>
      <c r="AS259" s="56"/>
      <c r="AT259" s="55"/>
      <c r="CB259" s="56"/>
      <c r="CC259" s="54"/>
    </row>
    <row r="260" spans="2:81">
      <c r="B260" s="52">
        <f>IF(F260&lt;&gt;"",SUBTOTAL(3,$F$5:F260),"")</f>
        <v>54</v>
      </c>
      <c r="C260" s="52"/>
      <c r="D260" s="53" t="s">
        <v>138</v>
      </c>
      <c r="E260" s="53" t="s">
        <v>134</v>
      </c>
      <c r="F260" s="54" t="s">
        <v>169</v>
      </c>
      <c r="G260" s="106">
        <v>43995</v>
      </c>
      <c r="H260" s="100">
        <v>1</v>
      </c>
      <c r="I260" s="106"/>
      <c r="J260" s="100"/>
      <c r="K260" s="55" t="s">
        <v>471</v>
      </c>
      <c r="AS260" s="56"/>
      <c r="AT260" s="55"/>
      <c r="CB260" s="56"/>
      <c r="CC260" s="54"/>
    </row>
    <row r="261" spans="2:81">
      <c r="B261" s="52" t="str">
        <f>IF(F261&lt;&gt;"",SUBTOTAL(3,$F$5:F261),"")</f>
        <v/>
      </c>
      <c r="C261" s="52"/>
      <c r="D261" s="53"/>
      <c r="E261" s="53"/>
      <c r="F261" s="54"/>
      <c r="G261" s="106"/>
      <c r="H261" s="100"/>
      <c r="I261" s="106"/>
      <c r="J261" s="101"/>
      <c r="K261" s="55" t="s">
        <v>472</v>
      </c>
      <c r="AS261" s="56"/>
      <c r="AT261" s="55"/>
      <c r="CB261" s="56"/>
      <c r="CC261" s="54"/>
    </row>
    <row r="262" spans="2:81">
      <c r="B262" s="52" t="str">
        <f>IF(F262&lt;&gt;"",SUBTOTAL(3,$F$5:F262),"")</f>
        <v/>
      </c>
      <c r="C262" s="52"/>
      <c r="D262" s="53"/>
      <c r="E262" s="53"/>
      <c r="F262" s="54"/>
      <c r="G262" s="106"/>
      <c r="H262" s="100"/>
      <c r="I262" s="106"/>
      <c r="J262" s="101"/>
      <c r="K262" s="55" t="s">
        <v>473</v>
      </c>
      <c r="AS262" s="56"/>
      <c r="AT262" s="55"/>
      <c r="CB262" s="56"/>
      <c r="CC262" s="54"/>
    </row>
    <row r="263" spans="2:81">
      <c r="B263" s="52" t="str">
        <f>IF(F263&lt;&gt;"",SUBTOTAL(3,$F$5:F263),"")</f>
        <v/>
      </c>
      <c r="C263" s="52"/>
      <c r="D263" s="53"/>
      <c r="E263" s="53"/>
      <c r="F263" s="54"/>
      <c r="G263" s="106"/>
      <c r="H263" s="100"/>
      <c r="I263" s="106"/>
      <c r="J263" s="101"/>
      <c r="K263" s="55" t="s">
        <v>474</v>
      </c>
      <c r="AS263" s="56"/>
      <c r="AT263" s="55"/>
      <c r="CB263" s="56"/>
      <c r="CC263" s="54"/>
    </row>
    <row r="264" spans="2:81">
      <c r="B264" s="52" t="str">
        <f>IF(F264&lt;&gt;"",SUBTOTAL(3,$F$5:F264),"")</f>
        <v/>
      </c>
      <c r="C264" s="52"/>
      <c r="D264" s="53"/>
      <c r="E264" s="53"/>
      <c r="F264" s="54"/>
      <c r="G264" s="106"/>
      <c r="H264" s="100"/>
      <c r="I264" s="106"/>
      <c r="J264" s="101"/>
      <c r="K264" s="55"/>
      <c r="AS264" s="56"/>
      <c r="AT264" s="55"/>
      <c r="CB264" s="56"/>
      <c r="CC264" s="54"/>
    </row>
    <row r="265" spans="2:81">
      <c r="B265" s="52">
        <f>IF(F265&lt;&gt;"",SUBTOTAL(3,$F$5:F265),"")</f>
        <v>55</v>
      </c>
      <c r="C265" s="52"/>
      <c r="D265" s="53" t="s">
        <v>138</v>
      </c>
      <c r="E265" s="53" t="s">
        <v>134</v>
      </c>
      <c r="F265" s="54" t="s">
        <v>170</v>
      </c>
      <c r="G265" s="106">
        <v>43995</v>
      </c>
      <c r="H265" s="100">
        <v>1</v>
      </c>
      <c r="I265" s="106"/>
      <c r="J265" s="100"/>
      <c r="K265" s="55" t="s">
        <v>395</v>
      </c>
      <c r="AS265" s="56"/>
      <c r="AT265" s="55"/>
      <c r="CB265" s="56"/>
      <c r="CC265" s="54"/>
    </row>
    <row r="266" spans="2:81">
      <c r="B266" s="52" t="str">
        <f>IF(F266&lt;&gt;"",SUBTOTAL(3,$F$5:F266),"")</f>
        <v/>
      </c>
      <c r="C266" s="52"/>
      <c r="D266" s="53"/>
      <c r="E266" s="53"/>
      <c r="F266" s="54"/>
      <c r="G266" s="106"/>
      <c r="H266" s="100"/>
      <c r="I266" s="106"/>
      <c r="J266" s="101"/>
      <c r="K266" s="55" t="s">
        <v>393</v>
      </c>
      <c r="AS266" s="56"/>
      <c r="AT266" s="55"/>
      <c r="CB266" s="56"/>
      <c r="CC266" s="54"/>
    </row>
    <row r="267" spans="2:81">
      <c r="B267" s="52" t="str">
        <f>IF(F267&lt;&gt;"",SUBTOTAL(3,$F$5:F267),"")</f>
        <v/>
      </c>
      <c r="C267" s="52"/>
      <c r="D267" s="53"/>
      <c r="E267" s="53"/>
      <c r="F267" s="54"/>
      <c r="G267" s="106"/>
      <c r="H267" s="100"/>
      <c r="I267" s="106"/>
      <c r="J267" s="101"/>
      <c r="K267" s="55" t="s">
        <v>394</v>
      </c>
      <c r="AS267" s="56"/>
      <c r="AT267" s="55"/>
      <c r="CB267" s="56"/>
      <c r="CC267" s="54"/>
    </row>
    <row r="268" spans="2:81">
      <c r="B268" s="52" t="str">
        <f>IF(F268&lt;&gt;"",SUBTOTAL(3,$F$5:F268),"")</f>
        <v/>
      </c>
      <c r="C268" s="52"/>
      <c r="D268" s="53"/>
      <c r="E268" s="53"/>
      <c r="F268" s="54"/>
      <c r="G268" s="106"/>
      <c r="H268" s="100"/>
      <c r="I268" s="106"/>
      <c r="J268" s="101"/>
      <c r="K268" s="55"/>
      <c r="AS268" s="56"/>
      <c r="AT268" s="55"/>
      <c r="CB268" s="56"/>
      <c r="CC268" s="54"/>
    </row>
    <row r="269" spans="2:81">
      <c r="B269" s="52">
        <f>IF(F269&lt;&gt;"",SUBTOTAL(3,$F$5:F269),"")</f>
        <v>56</v>
      </c>
      <c r="C269" s="52"/>
      <c r="D269" s="53" t="s">
        <v>138</v>
      </c>
      <c r="E269" s="53" t="s">
        <v>134</v>
      </c>
      <c r="F269" s="62" t="s">
        <v>171</v>
      </c>
      <c r="G269" s="106">
        <v>43982</v>
      </c>
      <c r="H269" s="100">
        <v>1</v>
      </c>
      <c r="I269" s="106"/>
      <c r="J269" s="100"/>
      <c r="K269" s="55" t="s">
        <v>410</v>
      </c>
      <c r="AS269" s="56"/>
      <c r="AT269" s="55"/>
      <c r="CB269" s="56"/>
      <c r="CC269" s="54"/>
    </row>
    <row r="270" spans="2:81">
      <c r="B270" s="52" t="str">
        <f>IF(F270&lt;&gt;"",SUBTOTAL(3,$F$5:F270),"")</f>
        <v/>
      </c>
      <c r="C270" s="52"/>
      <c r="D270" s="53"/>
      <c r="E270" s="53"/>
      <c r="F270" s="62"/>
      <c r="G270" s="106"/>
      <c r="H270" s="100"/>
      <c r="I270" s="106"/>
      <c r="J270" s="101"/>
      <c r="K270" s="55" t="s">
        <v>411</v>
      </c>
      <c r="AS270" s="56"/>
      <c r="AT270" s="55"/>
      <c r="CB270" s="56"/>
      <c r="CC270" s="54"/>
    </row>
    <row r="271" spans="2:81">
      <c r="B271" s="52" t="str">
        <f>IF(F271&lt;&gt;"",SUBTOTAL(3,$F$5:F271),"")</f>
        <v/>
      </c>
      <c r="C271" s="52"/>
      <c r="D271" s="53"/>
      <c r="E271" s="53"/>
      <c r="F271" s="62"/>
      <c r="G271" s="106"/>
      <c r="H271" s="100"/>
      <c r="I271" s="106"/>
      <c r="J271" s="101"/>
      <c r="K271" s="55" t="s">
        <v>412</v>
      </c>
      <c r="AS271" s="56"/>
      <c r="AT271" s="55"/>
      <c r="CB271" s="56"/>
      <c r="CC271" s="54"/>
    </row>
    <row r="272" spans="2:81">
      <c r="B272" s="52" t="str">
        <f>IF(F272&lt;&gt;"",SUBTOTAL(3,$F$5:F272),"")</f>
        <v/>
      </c>
      <c r="C272" s="52"/>
      <c r="D272" s="53"/>
      <c r="E272" s="53"/>
      <c r="F272" s="62"/>
      <c r="G272" s="106"/>
      <c r="H272" s="100"/>
      <c r="I272" s="106"/>
      <c r="J272" s="101"/>
      <c r="K272" s="55" t="s">
        <v>413</v>
      </c>
      <c r="AS272" s="56"/>
      <c r="AT272" s="55"/>
      <c r="CB272" s="56"/>
      <c r="CC272" s="54"/>
    </row>
    <row r="273" spans="2:81">
      <c r="B273" s="52" t="str">
        <f>IF(F273&lt;&gt;"",SUBTOTAL(3,$F$5:F273),"")</f>
        <v/>
      </c>
      <c r="C273" s="52"/>
      <c r="D273" s="53"/>
      <c r="E273" s="53"/>
      <c r="F273" s="62"/>
      <c r="G273" s="106"/>
      <c r="H273" s="100"/>
      <c r="I273" s="106"/>
      <c r="J273" s="101"/>
      <c r="K273" s="55"/>
      <c r="AS273" s="56"/>
      <c r="AT273" s="55"/>
      <c r="CB273" s="56"/>
      <c r="CC273" s="54"/>
    </row>
    <row r="274" spans="2:81" s="41" customFormat="1" ht="13.5" customHeight="1">
      <c r="B274" s="63">
        <f>IF(F274&lt;&gt;"",SUBTOTAL(3,$F$5:F274),"")</f>
        <v>57</v>
      </c>
      <c r="C274" s="63"/>
      <c r="D274" s="64" t="s">
        <v>138</v>
      </c>
      <c r="E274" s="64" t="s">
        <v>134</v>
      </c>
      <c r="F274" s="62" t="s">
        <v>172</v>
      </c>
      <c r="G274" s="106">
        <v>43995</v>
      </c>
      <c r="H274" s="100">
        <v>1</v>
      </c>
      <c r="I274" s="106"/>
      <c r="J274" s="100"/>
      <c r="K274" s="65" t="s">
        <v>383</v>
      </c>
      <c r="AS274" s="66"/>
      <c r="AT274" s="65"/>
      <c r="CB274" s="66"/>
      <c r="CC274" s="62"/>
    </row>
    <row r="275" spans="2:81" s="41" customFormat="1" ht="13.5" customHeight="1">
      <c r="B275" s="52" t="str">
        <f>IF(F275&lt;&gt;"",SUBTOTAL(3,$F$5:F275),"")</f>
        <v/>
      </c>
      <c r="C275" s="63"/>
      <c r="D275" s="64"/>
      <c r="E275" s="64"/>
      <c r="F275" s="62"/>
      <c r="G275" s="106"/>
      <c r="H275" s="100"/>
      <c r="I275" s="106"/>
      <c r="J275" s="101"/>
      <c r="K275" s="65" t="s">
        <v>384</v>
      </c>
      <c r="AS275" s="66"/>
      <c r="AT275" s="65"/>
      <c r="CB275" s="66"/>
      <c r="CC275" s="62"/>
    </row>
    <row r="276" spans="2:81" s="41" customFormat="1" ht="13.5" customHeight="1">
      <c r="B276" s="52" t="str">
        <f>IF(F276&lt;&gt;"",SUBTOTAL(3,$F$5:F276),"")</f>
        <v/>
      </c>
      <c r="C276" s="63"/>
      <c r="D276" s="64"/>
      <c r="E276" s="64"/>
      <c r="F276" s="62"/>
      <c r="G276" s="106"/>
      <c r="H276" s="100"/>
      <c r="I276" s="106"/>
      <c r="J276" s="101"/>
      <c r="K276" s="65"/>
      <c r="AS276" s="66"/>
      <c r="AT276" s="65"/>
      <c r="CB276" s="66"/>
      <c r="CC276" s="62"/>
    </row>
    <row r="277" spans="2:81" s="41" customFormat="1">
      <c r="B277" s="63">
        <f>IF(F277&lt;&gt;"",SUBTOTAL(3,$F$5:F277),"")</f>
        <v>58</v>
      </c>
      <c r="C277" s="63"/>
      <c r="D277" s="64" t="s">
        <v>138</v>
      </c>
      <c r="E277" s="64" t="s">
        <v>134</v>
      </c>
      <c r="F277" s="62" t="s">
        <v>173</v>
      </c>
      <c r="G277" s="106">
        <v>43955</v>
      </c>
      <c r="H277" s="100">
        <v>1</v>
      </c>
      <c r="I277" s="106"/>
      <c r="J277" s="100"/>
      <c r="K277" s="55" t="s">
        <v>427</v>
      </c>
      <c r="L277" s="51"/>
      <c r="M277" s="51"/>
      <c r="N277" s="51"/>
      <c r="O277" s="51"/>
      <c r="P277" s="51"/>
      <c r="Q277" s="51"/>
      <c r="R277" s="51"/>
      <c r="S277" s="51"/>
      <c r="T277" s="51"/>
      <c r="U277" s="51"/>
      <c r="V277" s="51"/>
      <c r="W277" s="51"/>
      <c r="X277" s="51"/>
      <c r="Y277" s="51"/>
      <c r="Z277" s="51"/>
      <c r="AA277" s="51"/>
      <c r="AB277" s="51"/>
      <c r="AC277" s="51"/>
      <c r="AD277" s="51"/>
      <c r="AE277" s="51"/>
      <c r="AF277" s="51"/>
      <c r="AG277" s="51"/>
      <c r="AH277" s="51"/>
      <c r="AI277" s="51"/>
      <c r="AJ277" s="51"/>
      <c r="AK277" s="51"/>
      <c r="AL277" s="51"/>
      <c r="AM277" s="51"/>
      <c r="AN277" s="51"/>
      <c r="AO277" s="51"/>
      <c r="AP277" s="51"/>
      <c r="AQ277" s="51"/>
      <c r="AR277" s="51"/>
      <c r="AS277" s="56"/>
      <c r="AT277" s="55"/>
      <c r="AU277" s="51"/>
      <c r="AV277" s="51"/>
      <c r="AW277" s="51"/>
      <c r="AX277" s="51"/>
      <c r="AY277" s="51"/>
      <c r="AZ277" s="51"/>
      <c r="BA277" s="51"/>
      <c r="BB277" s="51"/>
      <c r="BC277" s="51"/>
      <c r="BD277" s="51"/>
      <c r="BE277" s="51"/>
      <c r="BF277" s="51"/>
      <c r="BG277" s="51"/>
      <c r="BH277" s="51"/>
      <c r="BI277" s="51"/>
      <c r="BJ277" s="51"/>
      <c r="BK277" s="51"/>
      <c r="BL277" s="51"/>
      <c r="BM277" s="51"/>
      <c r="BN277" s="51"/>
      <c r="BO277" s="51"/>
      <c r="BP277" s="51"/>
      <c r="BQ277" s="51"/>
      <c r="BR277" s="51"/>
      <c r="BS277" s="51"/>
      <c r="BT277" s="51"/>
      <c r="BU277" s="51"/>
      <c r="BV277" s="51"/>
      <c r="BW277" s="51"/>
      <c r="BX277" s="51"/>
      <c r="BY277" s="51"/>
      <c r="BZ277" s="51"/>
      <c r="CA277" s="51"/>
      <c r="CB277" s="56"/>
      <c r="CC277" s="62"/>
    </row>
    <row r="278" spans="2:81" s="41" customFormat="1">
      <c r="B278" s="63" t="str">
        <f>IF(F278&lt;&gt;"",SUBTOTAL(3,$F$5:F278),"")</f>
        <v/>
      </c>
      <c r="C278" s="63"/>
      <c r="D278" s="64"/>
      <c r="E278" s="64"/>
      <c r="F278" s="62"/>
      <c r="G278" s="106"/>
      <c r="H278" s="100"/>
      <c r="I278" s="106"/>
      <c r="J278" s="101"/>
      <c r="K278" s="55" t="s">
        <v>428</v>
      </c>
      <c r="L278" s="51"/>
      <c r="M278" s="51"/>
      <c r="N278" s="51"/>
      <c r="O278" s="51"/>
      <c r="P278" s="51"/>
      <c r="Q278" s="51"/>
      <c r="R278" s="51"/>
      <c r="S278" s="51"/>
      <c r="T278" s="51"/>
      <c r="U278" s="51"/>
      <c r="V278" s="51"/>
      <c r="W278" s="51"/>
      <c r="X278" s="51"/>
      <c r="Y278" s="51"/>
      <c r="Z278" s="51"/>
      <c r="AA278" s="51"/>
      <c r="AB278" s="51"/>
      <c r="AC278" s="51"/>
      <c r="AD278" s="51"/>
      <c r="AE278" s="51"/>
      <c r="AF278" s="51"/>
      <c r="AG278" s="51"/>
      <c r="AH278" s="51"/>
      <c r="AI278" s="51"/>
      <c r="AJ278" s="51"/>
      <c r="AK278" s="51"/>
      <c r="AL278" s="51"/>
      <c r="AM278" s="51"/>
      <c r="AN278" s="51"/>
      <c r="AO278" s="51"/>
      <c r="AP278" s="51"/>
      <c r="AQ278" s="51"/>
      <c r="AR278" s="51"/>
      <c r="AS278" s="56"/>
      <c r="AT278" s="55"/>
      <c r="AU278" s="51"/>
      <c r="AV278" s="51"/>
      <c r="AW278" s="51"/>
      <c r="AX278" s="51"/>
      <c r="AY278" s="51"/>
      <c r="AZ278" s="51"/>
      <c r="BA278" s="51"/>
      <c r="BB278" s="51"/>
      <c r="BC278" s="51"/>
      <c r="BD278" s="51"/>
      <c r="BE278" s="51"/>
      <c r="BF278" s="51"/>
      <c r="BG278" s="51"/>
      <c r="BH278" s="51"/>
      <c r="BI278" s="51"/>
      <c r="BJ278" s="51"/>
      <c r="BK278" s="51"/>
      <c r="BL278" s="51"/>
      <c r="BM278" s="51"/>
      <c r="BN278" s="51"/>
      <c r="BO278" s="51"/>
      <c r="BP278" s="51"/>
      <c r="BQ278" s="51"/>
      <c r="BR278" s="51"/>
      <c r="BS278" s="51"/>
      <c r="BT278" s="51"/>
      <c r="BU278" s="51"/>
      <c r="BV278" s="51"/>
      <c r="BW278" s="51"/>
      <c r="BX278" s="51"/>
      <c r="BY278" s="51"/>
      <c r="BZ278" s="51"/>
      <c r="CA278" s="51"/>
      <c r="CB278" s="56"/>
      <c r="CC278" s="62"/>
    </row>
    <row r="279" spans="2:81" s="41" customFormat="1">
      <c r="B279" s="63" t="str">
        <f>IF(F279&lt;&gt;"",SUBTOTAL(3,$F$5:F279),"")</f>
        <v/>
      </c>
      <c r="C279" s="63"/>
      <c r="D279" s="64"/>
      <c r="E279" s="64"/>
      <c r="F279" s="62"/>
      <c r="G279" s="106"/>
      <c r="H279" s="100"/>
      <c r="I279" s="106"/>
      <c r="J279" s="101"/>
      <c r="K279" s="55"/>
      <c r="L279" s="51"/>
      <c r="M279" s="51"/>
      <c r="N279" s="51"/>
      <c r="O279" s="51"/>
      <c r="P279" s="51"/>
      <c r="Q279" s="51"/>
      <c r="R279" s="51"/>
      <c r="S279" s="51"/>
      <c r="T279" s="51"/>
      <c r="U279" s="51"/>
      <c r="V279" s="51"/>
      <c r="W279" s="51"/>
      <c r="X279" s="51"/>
      <c r="Y279" s="51"/>
      <c r="Z279" s="51"/>
      <c r="AA279" s="51"/>
      <c r="AB279" s="51"/>
      <c r="AC279" s="51"/>
      <c r="AD279" s="51"/>
      <c r="AE279" s="51"/>
      <c r="AF279" s="51"/>
      <c r="AG279" s="51"/>
      <c r="AH279" s="51"/>
      <c r="AI279" s="51"/>
      <c r="AJ279" s="51"/>
      <c r="AK279" s="51"/>
      <c r="AL279" s="51"/>
      <c r="AM279" s="51"/>
      <c r="AN279" s="51"/>
      <c r="AO279" s="51"/>
      <c r="AP279" s="51"/>
      <c r="AQ279" s="51"/>
      <c r="AR279" s="51"/>
      <c r="AS279" s="56"/>
      <c r="AT279" s="55"/>
      <c r="AU279" s="51"/>
      <c r="AV279" s="51"/>
      <c r="AW279" s="51"/>
      <c r="AX279" s="51"/>
      <c r="AY279" s="51"/>
      <c r="AZ279" s="51"/>
      <c r="BA279" s="51"/>
      <c r="BB279" s="51"/>
      <c r="BC279" s="51"/>
      <c r="BD279" s="51"/>
      <c r="BE279" s="51"/>
      <c r="BF279" s="51"/>
      <c r="BG279" s="51"/>
      <c r="BH279" s="51"/>
      <c r="BI279" s="51"/>
      <c r="BJ279" s="51"/>
      <c r="BK279" s="51"/>
      <c r="BL279" s="51"/>
      <c r="BM279" s="51"/>
      <c r="BN279" s="51"/>
      <c r="BO279" s="51"/>
      <c r="BP279" s="51"/>
      <c r="BQ279" s="51"/>
      <c r="BR279" s="51"/>
      <c r="BS279" s="51"/>
      <c r="BT279" s="51"/>
      <c r="BU279" s="51"/>
      <c r="BV279" s="51"/>
      <c r="BW279" s="51"/>
      <c r="BX279" s="51"/>
      <c r="BY279" s="51"/>
      <c r="BZ279" s="51"/>
      <c r="CA279" s="51"/>
      <c r="CB279" s="56"/>
      <c r="CC279" s="62"/>
    </row>
    <row r="280" spans="2:81" s="41" customFormat="1" ht="13.5" customHeight="1">
      <c r="B280" s="63">
        <f>IF(F280&lt;&gt;"",SUBTOTAL(3,$F$5:F280),"")</f>
        <v>59</v>
      </c>
      <c r="C280" s="63"/>
      <c r="D280" s="64" t="s">
        <v>138</v>
      </c>
      <c r="E280" s="64" t="s">
        <v>134</v>
      </c>
      <c r="F280" s="62" t="s">
        <v>174</v>
      </c>
      <c r="G280" s="106">
        <v>43967</v>
      </c>
      <c r="H280" s="100">
        <v>1</v>
      </c>
      <c r="I280" s="106"/>
      <c r="J280" s="103"/>
      <c r="K280" s="65" t="s">
        <v>371</v>
      </c>
      <c r="AS280" s="66"/>
      <c r="AT280" s="65"/>
      <c r="CB280" s="66"/>
      <c r="CC280" s="62"/>
    </row>
    <row r="281" spans="2:81" s="41" customFormat="1" ht="13.5" customHeight="1">
      <c r="B281" s="52" t="str">
        <f>IF(F281&lt;&gt;"",SUBTOTAL(3,$F$5:F281),"")</f>
        <v/>
      </c>
      <c r="C281" s="63"/>
      <c r="D281" s="64"/>
      <c r="E281" s="64"/>
      <c r="F281" s="62"/>
      <c r="G281" s="106"/>
      <c r="H281" s="100"/>
      <c r="I281" s="106"/>
      <c r="J281" s="101"/>
      <c r="K281" s="65" t="s">
        <v>372</v>
      </c>
      <c r="AS281" s="66"/>
      <c r="AT281" s="65"/>
      <c r="CB281" s="66"/>
      <c r="CC281" s="62"/>
    </row>
    <row r="282" spans="2:81" s="41" customFormat="1" ht="13.5" customHeight="1">
      <c r="B282" s="63">
        <f>IF(F282&lt;&gt;"",SUBTOTAL(3,$F$5:F282),"")</f>
        <v>60</v>
      </c>
      <c r="C282" s="63"/>
      <c r="D282" s="64" t="s">
        <v>138</v>
      </c>
      <c r="E282" s="64" t="s">
        <v>134</v>
      </c>
      <c r="F282" s="62" t="s">
        <v>175</v>
      </c>
      <c r="G282" s="106">
        <v>43870</v>
      </c>
      <c r="H282" s="100">
        <v>1</v>
      </c>
      <c r="I282" s="106"/>
      <c r="J282" s="100"/>
      <c r="K282" s="65" t="s">
        <v>368</v>
      </c>
      <c r="AS282" s="66"/>
      <c r="AT282" s="65"/>
      <c r="CB282" s="66"/>
      <c r="CC282" s="62"/>
    </row>
    <row r="283" spans="2:81" s="41" customFormat="1" ht="13.5" customHeight="1">
      <c r="B283" s="52" t="str">
        <f>IF(F283&lt;&gt;"",SUBTOTAL(3,$F$5:F283),"")</f>
        <v/>
      </c>
      <c r="C283" s="63"/>
      <c r="D283" s="64"/>
      <c r="E283" s="64"/>
      <c r="F283" s="62"/>
      <c r="G283" s="106"/>
      <c r="H283" s="100"/>
      <c r="I283" s="106"/>
      <c r="J283" s="102"/>
      <c r="K283" s="65" t="s">
        <v>369</v>
      </c>
      <c r="AS283" s="66"/>
      <c r="AT283" s="65"/>
      <c r="CB283" s="66"/>
      <c r="CC283" s="62"/>
    </row>
    <row r="284" spans="2:81" s="41" customFormat="1" ht="13.5" customHeight="1">
      <c r="B284" s="52" t="str">
        <f>IF(F284&lt;&gt;"",SUBTOTAL(3,$F$5:F284),"")</f>
        <v/>
      </c>
      <c r="C284" s="63"/>
      <c r="D284" s="64"/>
      <c r="E284" s="64"/>
      <c r="F284" s="62"/>
      <c r="G284" s="106"/>
      <c r="H284" s="100"/>
      <c r="I284" s="106"/>
      <c r="J284" s="102"/>
      <c r="K284" s="65" t="s">
        <v>370</v>
      </c>
      <c r="AS284" s="66"/>
      <c r="AT284" s="65"/>
      <c r="CB284" s="66"/>
      <c r="CC284" s="62"/>
    </row>
    <row r="285" spans="2:81" s="41" customFormat="1" ht="13.5" customHeight="1">
      <c r="B285" s="52" t="str">
        <f>IF(F285&lt;&gt;"",SUBTOTAL(3,$F$5:F285),"")</f>
        <v/>
      </c>
      <c r="C285" s="63"/>
      <c r="D285" s="64"/>
      <c r="E285" s="64"/>
      <c r="F285" s="62"/>
      <c r="G285" s="106"/>
      <c r="H285" s="100"/>
      <c r="I285" s="106"/>
      <c r="J285" s="102"/>
      <c r="K285" s="65"/>
      <c r="AS285" s="66"/>
      <c r="AT285" s="65"/>
      <c r="CB285" s="66"/>
      <c r="CC285" s="62"/>
    </row>
    <row r="286" spans="2:81" s="41" customFormat="1">
      <c r="B286" s="63">
        <f>IF(F286&lt;&gt;"",SUBTOTAL(3,$F$5:F286),"")</f>
        <v>61</v>
      </c>
      <c r="C286" s="63"/>
      <c r="D286" s="64" t="s">
        <v>138</v>
      </c>
      <c r="E286" s="64" t="s">
        <v>134</v>
      </c>
      <c r="F286" s="62" t="s">
        <v>176</v>
      </c>
      <c r="G286" s="106">
        <v>43869</v>
      </c>
      <c r="H286" s="100">
        <v>1</v>
      </c>
      <c r="I286" s="106"/>
      <c r="J286" s="100"/>
      <c r="K286" s="65" t="s">
        <v>435</v>
      </c>
      <c r="AS286" s="66"/>
      <c r="AT286" s="65"/>
      <c r="CB286" s="66"/>
      <c r="CC286" s="62"/>
    </row>
    <row r="287" spans="2:81" s="41" customFormat="1">
      <c r="B287" s="52" t="str">
        <f>IF(F287&lt;&gt;"",SUBTOTAL(3,$F$5:F287),"")</f>
        <v/>
      </c>
      <c r="C287" s="63"/>
      <c r="D287" s="64"/>
      <c r="E287" s="64"/>
      <c r="F287" s="62"/>
      <c r="G287" s="106"/>
      <c r="H287" s="100"/>
      <c r="I287" s="106"/>
      <c r="J287" s="101"/>
      <c r="K287" s="65"/>
      <c r="AS287" s="66"/>
      <c r="AT287" s="65"/>
      <c r="CB287" s="66"/>
      <c r="CC287" s="62"/>
    </row>
    <row r="288" spans="2:81" s="41" customFormat="1">
      <c r="B288" s="63">
        <f>IF(F288&lt;&gt;"",SUBTOTAL(3,$F$5:F288),"")</f>
        <v>62</v>
      </c>
      <c r="C288" s="63"/>
      <c r="D288" s="64" t="s">
        <v>138</v>
      </c>
      <c r="E288" s="64" t="s">
        <v>134</v>
      </c>
      <c r="F288" s="62" t="s">
        <v>88</v>
      </c>
      <c r="G288" s="106">
        <v>43961</v>
      </c>
      <c r="H288" s="100">
        <v>1</v>
      </c>
      <c r="I288" s="106"/>
      <c r="J288" s="100"/>
      <c r="K288" s="84" t="s">
        <v>425</v>
      </c>
      <c r="L288" s="85"/>
      <c r="M288" s="85"/>
      <c r="N288" s="85"/>
      <c r="O288" s="85"/>
      <c r="P288" s="85"/>
      <c r="Q288" s="85"/>
      <c r="R288" s="85"/>
      <c r="S288" s="85"/>
      <c r="T288" s="85"/>
      <c r="U288" s="85"/>
      <c r="V288" s="85"/>
      <c r="W288" s="85"/>
      <c r="X288" s="85"/>
      <c r="Y288" s="85"/>
      <c r="Z288" s="85"/>
      <c r="AA288" s="85"/>
      <c r="AB288" s="85"/>
      <c r="AC288" s="85"/>
      <c r="AD288" s="85"/>
      <c r="AE288" s="85"/>
      <c r="AF288" s="85"/>
      <c r="AG288" s="85"/>
      <c r="AH288" s="85"/>
      <c r="AI288" s="85"/>
      <c r="AJ288" s="85"/>
      <c r="AK288" s="85"/>
      <c r="AL288" s="85"/>
      <c r="AM288" s="85"/>
      <c r="AN288" s="85"/>
      <c r="AO288" s="85"/>
      <c r="AP288" s="85"/>
      <c r="AQ288" s="85"/>
      <c r="AR288" s="85"/>
      <c r="AS288" s="86"/>
      <c r="AT288" s="55"/>
      <c r="AU288" s="51"/>
      <c r="AV288" s="51"/>
      <c r="AW288" s="51"/>
      <c r="AX288" s="51"/>
      <c r="AY288" s="51"/>
      <c r="AZ288" s="51"/>
      <c r="BA288" s="51"/>
      <c r="BB288" s="51"/>
      <c r="BC288" s="51"/>
      <c r="BD288" s="51"/>
      <c r="BE288" s="51"/>
      <c r="BF288" s="51"/>
      <c r="BG288" s="51"/>
      <c r="BH288" s="51"/>
      <c r="BI288" s="51"/>
      <c r="BJ288" s="51"/>
      <c r="BK288" s="51"/>
      <c r="BL288" s="51"/>
      <c r="BM288" s="51"/>
      <c r="BN288" s="51"/>
      <c r="BO288" s="51"/>
      <c r="BP288" s="51"/>
      <c r="BQ288" s="51"/>
      <c r="BR288" s="51"/>
      <c r="BS288" s="51"/>
      <c r="BT288" s="51"/>
      <c r="BU288" s="51"/>
      <c r="BV288" s="51"/>
      <c r="BW288" s="51"/>
      <c r="BX288" s="51"/>
      <c r="BY288" s="51"/>
      <c r="BZ288" s="51"/>
      <c r="CA288" s="51"/>
      <c r="CB288" s="56"/>
      <c r="CC288" s="62"/>
    </row>
    <row r="289" spans="2:81" s="41" customFormat="1">
      <c r="B289" s="63" t="str">
        <f>IF(F289&lt;&gt;"",SUBTOTAL(3,$F$5:F289),"")</f>
        <v/>
      </c>
      <c r="C289" s="63"/>
      <c r="D289" s="64"/>
      <c r="E289" s="64"/>
      <c r="F289" s="62"/>
      <c r="G289" s="106"/>
      <c r="H289" s="100"/>
      <c r="I289" s="106"/>
      <c r="J289" s="101"/>
      <c r="K289" s="84" t="s">
        <v>426</v>
      </c>
      <c r="L289" s="85"/>
      <c r="M289" s="85"/>
      <c r="N289" s="85"/>
      <c r="O289" s="85"/>
      <c r="P289" s="85"/>
      <c r="Q289" s="85"/>
      <c r="R289" s="85"/>
      <c r="S289" s="85"/>
      <c r="T289" s="85"/>
      <c r="U289" s="85"/>
      <c r="V289" s="85"/>
      <c r="W289" s="85"/>
      <c r="X289" s="85"/>
      <c r="Y289" s="85"/>
      <c r="Z289" s="85"/>
      <c r="AA289" s="85"/>
      <c r="AB289" s="85"/>
      <c r="AC289" s="85"/>
      <c r="AD289" s="85"/>
      <c r="AE289" s="85"/>
      <c r="AF289" s="85"/>
      <c r="AG289" s="85"/>
      <c r="AH289" s="85"/>
      <c r="AI289" s="85"/>
      <c r="AJ289" s="85"/>
      <c r="AK289" s="85"/>
      <c r="AL289" s="85"/>
      <c r="AM289" s="85"/>
      <c r="AN289" s="85"/>
      <c r="AO289" s="85"/>
      <c r="AP289" s="85"/>
      <c r="AQ289" s="85"/>
      <c r="AR289" s="85"/>
      <c r="AS289" s="86"/>
      <c r="AT289" s="55"/>
      <c r="AU289" s="51"/>
      <c r="AV289" s="51"/>
      <c r="AW289" s="51"/>
      <c r="AX289" s="51"/>
      <c r="AY289" s="51"/>
      <c r="AZ289" s="51"/>
      <c r="BA289" s="51"/>
      <c r="BB289" s="51"/>
      <c r="BC289" s="51"/>
      <c r="BD289" s="51"/>
      <c r="BE289" s="51"/>
      <c r="BF289" s="51"/>
      <c r="BG289" s="51"/>
      <c r="BH289" s="51"/>
      <c r="BI289" s="51"/>
      <c r="BJ289" s="51"/>
      <c r="BK289" s="51"/>
      <c r="BL289" s="51"/>
      <c r="BM289" s="51"/>
      <c r="BN289" s="51"/>
      <c r="BO289" s="51"/>
      <c r="BP289" s="51"/>
      <c r="BQ289" s="51"/>
      <c r="BR289" s="51"/>
      <c r="BS289" s="51"/>
      <c r="BT289" s="51"/>
      <c r="BU289" s="51"/>
      <c r="BV289" s="51"/>
      <c r="BW289" s="51"/>
      <c r="BX289" s="51"/>
      <c r="BY289" s="51"/>
      <c r="BZ289" s="51"/>
      <c r="CA289" s="51"/>
      <c r="CB289" s="56"/>
      <c r="CC289" s="62"/>
    </row>
    <row r="290" spans="2:81" s="41" customFormat="1">
      <c r="B290" s="63" t="str">
        <f>IF(F290&lt;&gt;"",SUBTOTAL(3,$F$5:F290),"")</f>
        <v/>
      </c>
      <c r="C290" s="63"/>
      <c r="D290" s="64"/>
      <c r="E290" s="64"/>
      <c r="F290" s="62"/>
      <c r="G290" s="106"/>
      <c r="H290" s="100"/>
      <c r="I290" s="106"/>
      <c r="J290" s="101"/>
      <c r="K290" s="84"/>
      <c r="L290" s="85"/>
      <c r="M290" s="85"/>
      <c r="N290" s="85"/>
      <c r="O290" s="85"/>
      <c r="P290" s="85"/>
      <c r="Q290" s="85"/>
      <c r="R290" s="85"/>
      <c r="S290" s="85"/>
      <c r="T290" s="85"/>
      <c r="U290" s="85"/>
      <c r="V290" s="85"/>
      <c r="W290" s="85"/>
      <c r="X290" s="85"/>
      <c r="Y290" s="85"/>
      <c r="Z290" s="85"/>
      <c r="AA290" s="85"/>
      <c r="AB290" s="85"/>
      <c r="AC290" s="85"/>
      <c r="AD290" s="85"/>
      <c r="AE290" s="85"/>
      <c r="AF290" s="85"/>
      <c r="AG290" s="85"/>
      <c r="AH290" s="85"/>
      <c r="AI290" s="85"/>
      <c r="AJ290" s="85"/>
      <c r="AK290" s="85"/>
      <c r="AL290" s="85"/>
      <c r="AM290" s="85"/>
      <c r="AN290" s="85"/>
      <c r="AO290" s="85"/>
      <c r="AP290" s="85"/>
      <c r="AQ290" s="85"/>
      <c r="AR290" s="85"/>
      <c r="AS290" s="86"/>
      <c r="AT290" s="55"/>
      <c r="AU290" s="51"/>
      <c r="AV290" s="51"/>
      <c r="AW290" s="51"/>
      <c r="AX290" s="51"/>
      <c r="AY290" s="51"/>
      <c r="AZ290" s="51"/>
      <c r="BA290" s="51"/>
      <c r="BB290" s="51"/>
      <c r="BC290" s="51"/>
      <c r="BD290" s="51"/>
      <c r="BE290" s="51"/>
      <c r="BF290" s="51"/>
      <c r="BG290" s="51"/>
      <c r="BH290" s="51"/>
      <c r="BI290" s="51"/>
      <c r="BJ290" s="51"/>
      <c r="BK290" s="51"/>
      <c r="BL290" s="51"/>
      <c r="BM290" s="51"/>
      <c r="BN290" s="51"/>
      <c r="BO290" s="51"/>
      <c r="BP290" s="51"/>
      <c r="BQ290" s="51"/>
      <c r="BR290" s="51"/>
      <c r="BS290" s="51"/>
      <c r="BT290" s="51"/>
      <c r="BU290" s="51"/>
      <c r="BV290" s="51"/>
      <c r="BW290" s="51"/>
      <c r="BX290" s="51"/>
      <c r="BY290" s="51"/>
      <c r="BZ290" s="51"/>
      <c r="CA290" s="51"/>
      <c r="CB290" s="56"/>
      <c r="CC290" s="62"/>
    </row>
    <row r="291" spans="2:81" s="41" customFormat="1" ht="13.5" customHeight="1">
      <c r="B291" s="63">
        <f>IF(F291&lt;&gt;"",SUBTOTAL(3,$F$5:F291),"")</f>
        <v>63</v>
      </c>
      <c r="C291" s="63"/>
      <c r="D291" s="64" t="s">
        <v>138</v>
      </c>
      <c r="E291" s="64" t="s">
        <v>134</v>
      </c>
      <c r="F291" s="62" t="s">
        <v>177</v>
      </c>
      <c r="G291" s="106">
        <v>43961</v>
      </c>
      <c r="H291" s="100">
        <v>1</v>
      </c>
      <c r="I291" s="106"/>
      <c r="J291" s="100"/>
      <c r="K291" s="65" t="s">
        <v>414</v>
      </c>
      <c r="AS291" s="66"/>
      <c r="AT291" s="65"/>
      <c r="CB291" s="66"/>
      <c r="CC291" s="67" t="s">
        <v>12</v>
      </c>
    </row>
    <row r="292" spans="2:81" s="41" customFormat="1" ht="13.5" customHeight="1">
      <c r="B292" s="52" t="str">
        <f>IF(F292&lt;&gt;"",SUBTOTAL(3,$F$5:F292),"")</f>
        <v/>
      </c>
      <c r="C292" s="63"/>
      <c r="D292" s="64"/>
      <c r="E292" s="64"/>
      <c r="F292" s="62"/>
      <c r="G292" s="106"/>
      <c r="H292" s="100"/>
      <c r="I292" s="106"/>
      <c r="J292" s="101"/>
      <c r="K292" s="65" t="s">
        <v>415</v>
      </c>
      <c r="AS292" s="66"/>
      <c r="AT292" s="65"/>
      <c r="CB292" s="66"/>
      <c r="CC292" s="67"/>
    </row>
    <row r="293" spans="2:81" s="41" customFormat="1" ht="13.5" customHeight="1">
      <c r="B293" s="52" t="str">
        <f>IF(F293&lt;&gt;"",SUBTOTAL(3,$F$5:F293),"")</f>
        <v/>
      </c>
      <c r="C293" s="63"/>
      <c r="D293" s="64"/>
      <c r="E293" s="64"/>
      <c r="F293" s="62"/>
      <c r="G293" s="106"/>
      <c r="H293" s="100"/>
      <c r="I293" s="106"/>
      <c r="J293" s="101"/>
      <c r="K293" s="65" t="s">
        <v>416</v>
      </c>
      <c r="AS293" s="66"/>
      <c r="AT293" s="65"/>
      <c r="CB293" s="66"/>
      <c r="CC293" s="67"/>
    </row>
    <row r="294" spans="2:81" s="41" customFormat="1" ht="13.5" customHeight="1">
      <c r="B294" s="52" t="str">
        <f>IF(F294&lt;&gt;"",SUBTOTAL(3,$F$5:F294),"")</f>
        <v/>
      </c>
      <c r="C294" s="63"/>
      <c r="D294" s="64"/>
      <c r="E294" s="64"/>
      <c r="F294" s="62"/>
      <c r="G294" s="106"/>
      <c r="H294" s="100"/>
      <c r="I294" s="106"/>
      <c r="J294" s="101"/>
      <c r="K294" s="65"/>
      <c r="AS294" s="66"/>
      <c r="AT294" s="65"/>
      <c r="CB294" s="66"/>
      <c r="CC294" s="67"/>
    </row>
    <row r="295" spans="2:81" s="41" customFormat="1" ht="13.5" customHeight="1">
      <c r="B295" s="63">
        <f>IF(F295&lt;&gt;"",SUBTOTAL(3,$F$5:F295),"")</f>
        <v>64</v>
      </c>
      <c r="C295" s="63"/>
      <c r="D295" s="64" t="s">
        <v>138</v>
      </c>
      <c r="E295" s="64" t="s">
        <v>134</v>
      </c>
      <c r="F295" s="62" t="s">
        <v>178</v>
      </c>
      <c r="G295" s="106">
        <v>43995</v>
      </c>
      <c r="H295" s="100">
        <v>1</v>
      </c>
      <c r="I295" s="106"/>
      <c r="J295" s="100"/>
      <c r="K295" s="65" t="s">
        <v>385</v>
      </c>
      <c r="AS295" s="66"/>
      <c r="AT295" s="65"/>
      <c r="CB295" s="66"/>
      <c r="CC295" s="62"/>
    </row>
    <row r="296" spans="2:81" s="41" customFormat="1" ht="13.5" customHeight="1">
      <c r="B296" s="52" t="str">
        <f>IF(F296&lt;&gt;"",SUBTOTAL(3,$F$5:F296),"")</f>
        <v/>
      </c>
      <c r="C296" s="63"/>
      <c r="D296" s="64"/>
      <c r="E296" s="64"/>
      <c r="F296" s="62"/>
      <c r="G296" s="106"/>
      <c r="H296" s="100"/>
      <c r="I296" s="106"/>
      <c r="J296" s="101"/>
      <c r="K296" s="65" t="s">
        <v>386</v>
      </c>
      <c r="AS296" s="66"/>
      <c r="AT296" s="65"/>
      <c r="CB296" s="66"/>
      <c r="CC296" s="62"/>
    </row>
    <row r="297" spans="2:81" s="41" customFormat="1" ht="13.5" customHeight="1">
      <c r="B297" s="52" t="str">
        <f>IF(F297&lt;&gt;"",SUBTOTAL(3,$F$5:F297),"")</f>
        <v/>
      </c>
      <c r="C297" s="63"/>
      <c r="D297" s="64"/>
      <c r="E297" s="64"/>
      <c r="F297" s="62"/>
      <c r="G297" s="106"/>
      <c r="H297" s="100"/>
      <c r="I297" s="106"/>
      <c r="J297" s="101"/>
      <c r="K297" s="65" t="s">
        <v>387</v>
      </c>
      <c r="AS297" s="66"/>
      <c r="AT297" s="65"/>
      <c r="CB297" s="66"/>
      <c r="CC297" s="62"/>
    </row>
    <row r="298" spans="2:81" s="41" customFormat="1" ht="13.5" customHeight="1">
      <c r="B298" s="52" t="str">
        <f>IF(F298&lt;&gt;"",SUBTOTAL(3,$F$5:F298),"")</f>
        <v/>
      </c>
      <c r="C298" s="63"/>
      <c r="D298" s="64"/>
      <c r="E298" s="64"/>
      <c r="F298" s="62"/>
      <c r="G298" s="106"/>
      <c r="H298" s="100"/>
      <c r="I298" s="106"/>
      <c r="J298" s="101"/>
      <c r="K298" s="65"/>
      <c r="AS298" s="66"/>
      <c r="AT298" s="65"/>
      <c r="CB298" s="66"/>
      <c r="CC298" s="62"/>
    </row>
    <row r="299" spans="2:81" s="41" customFormat="1" ht="13.5" customHeight="1">
      <c r="B299" s="63">
        <f>IF(F299&lt;&gt;"",SUBTOTAL(3,$F$5:F299),"")</f>
        <v>65</v>
      </c>
      <c r="C299" s="63"/>
      <c r="D299" s="64" t="s">
        <v>138</v>
      </c>
      <c r="E299" s="64" t="s">
        <v>134</v>
      </c>
      <c r="F299" s="62" t="s">
        <v>179</v>
      </c>
      <c r="G299" s="106">
        <v>43961</v>
      </c>
      <c r="H299" s="100">
        <v>1</v>
      </c>
      <c r="I299" s="106"/>
      <c r="J299" s="100"/>
      <c r="K299" s="65" t="s">
        <v>417</v>
      </c>
      <c r="AS299" s="66"/>
      <c r="AT299" s="65"/>
      <c r="CB299" s="66"/>
      <c r="CC299" s="62"/>
    </row>
    <row r="300" spans="2:81" s="41" customFormat="1" ht="13.5" customHeight="1">
      <c r="B300" s="52" t="str">
        <f>IF(F300&lt;&gt;"",SUBTOTAL(3,$F$5:F300),"")</f>
        <v/>
      </c>
      <c r="C300" s="63"/>
      <c r="D300" s="64"/>
      <c r="E300" s="64"/>
      <c r="F300" s="62"/>
      <c r="G300" s="106"/>
      <c r="H300" s="100"/>
      <c r="I300" s="106"/>
      <c r="J300" s="101"/>
      <c r="K300" s="65" t="s">
        <v>418</v>
      </c>
      <c r="AS300" s="66"/>
      <c r="AT300" s="65"/>
      <c r="CB300" s="66"/>
      <c r="CC300" s="62"/>
    </row>
    <row r="301" spans="2:81" s="41" customFormat="1" ht="13.5" customHeight="1">
      <c r="B301" s="52" t="str">
        <f>IF(F301&lt;&gt;"",SUBTOTAL(3,$F$5:F301),"")</f>
        <v/>
      </c>
      <c r="C301" s="63"/>
      <c r="D301" s="64"/>
      <c r="E301" s="64"/>
      <c r="F301" s="62"/>
      <c r="G301" s="106"/>
      <c r="H301" s="100"/>
      <c r="I301" s="106"/>
      <c r="J301" s="101"/>
      <c r="K301" s="65"/>
      <c r="AS301" s="66"/>
      <c r="AT301" s="65"/>
      <c r="CB301" s="66"/>
      <c r="CC301" s="62"/>
    </row>
    <row r="302" spans="2:81" s="41" customFormat="1" ht="13.5" customHeight="1">
      <c r="B302" s="63">
        <f>IF(F302&lt;&gt;"",SUBTOTAL(3,$F$5:F302),"")</f>
        <v>66</v>
      </c>
      <c r="C302" s="63"/>
      <c r="D302" s="64" t="s">
        <v>138</v>
      </c>
      <c r="E302" s="64" t="s">
        <v>134</v>
      </c>
      <c r="F302" s="62" t="s">
        <v>180</v>
      </c>
      <c r="G302" s="106">
        <v>43995</v>
      </c>
      <c r="H302" s="100"/>
      <c r="I302" s="106"/>
      <c r="J302" s="100"/>
      <c r="K302" s="65" t="s">
        <v>612</v>
      </c>
      <c r="AS302" s="66"/>
      <c r="AT302" s="65"/>
      <c r="CB302" s="66"/>
      <c r="CC302" s="62"/>
    </row>
    <row r="303" spans="2:81" s="41" customFormat="1" ht="13.5" customHeight="1">
      <c r="B303" s="52" t="str">
        <f>IF(F303&lt;&gt;"",SUBTOTAL(3,$F$5:F303),"")</f>
        <v/>
      </c>
      <c r="C303" s="63"/>
      <c r="D303" s="64"/>
      <c r="E303" s="64"/>
      <c r="F303" s="62"/>
      <c r="G303" s="106"/>
      <c r="H303" s="100"/>
      <c r="I303" s="106"/>
      <c r="J303" s="102"/>
      <c r="K303" s="65" t="s">
        <v>613</v>
      </c>
      <c r="AS303" s="66"/>
      <c r="AT303" s="65"/>
      <c r="CB303" s="66"/>
      <c r="CC303" s="62"/>
    </row>
    <row r="304" spans="2:81" s="41" customFormat="1" ht="13.5" customHeight="1">
      <c r="B304" s="52" t="str">
        <f>IF(F304&lt;&gt;"",SUBTOTAL(3,$F$5:F304),"")</f>
        <v/>
      </c>
      <c r="C304" s="63"/>
      <c r="D304" s="64"/>
      <c r="E304" s="64"/>
      <c r="F304" s="62"/>
      <c r="G304" s="106"/>
      <c r="H304" s="100"/>
      <c r="I304" s="106"/>
      <c r="J304" s="102"/>
      <c r="K304" s="65" t="s">
        <v>615</v>
      </c>
      <c r="AS304" s="66"/>
      <c r="AT304" s="65"/>
      <c r="CB304" s="66"/>
      <c r="CC304" s="62"/>
    </row>
    <row r="305" spans="2:81" s="41" customFormat="1" ht="13.5" customHeight="1">
      <c r="B305" s="52" t="str">
        <f>IF(F305&lt;&gt;"",SUBTOTAL(3,$F$5:F305),"")</f>
        <v/>
      </c>
      <c r="C305" s="63"/>
      <c r="D305" s="64"/>
      <c r="E305" s="64"/>
      <c r="F305" s="62"/>
      <c r="G305" s="106"/>
      <c r="H305" s="100"/>
      <c r="I305" s="106"/>
      <c r="J305" s="102"/>
      <c r="K305" s="65" t="s">
        <v>616</v>
      </c>
      <c r="AS305" s="66"/>
      <c r="AT305" s="65"/>
      <c r="CB305" s="66"/>
      <c r="CC305" s="62"/>
    </row>
    <row r="306" spans="2:81" s="41" customFormat="1" ht="13.5" customHeight="1">
      <c r="B306" s="52" t="str">
        <f>IF(F306&lt;&gt;"",SUBTOTAL(3,$F$5:F306),"")</f>
        <v/>
      </c>
      <c r="C306" s="63"/>
      <c r="D306" s="64"/>
      <c r="E306" s="64"/>
      <c r="F306" s="62"/>
      <c r="G306" s="106"/>
      <c r="H306" s="100"/>
      <c r="I306" s="106"/>
      <c r="J306" s="102"/>
      <c r="K306" s="65" t="s">
        <v>614</v>
      </c>
      <c r="AS306" s="66"/>
      <c r="AT306" s="65"/>
      <c r="CB306" s="66"/>
      <c r="CC306" s="62"/>
    </row>
    <row r="307" spans="2:81" s="41" customFormat="1" ht="13.5" customHeight="1">
      <c r="B307" s="52" t="str">
        <f>IF(F307&lt;&gt;"",SUBTOTAL(3,$F$5:F307),"")</f>
        <v/>
      </c>
      <c r="C307" s="63"/>
      <c r="D307" s="64"/>
      <c r="E307" s="64"/>
      <c r="F307" s="62"/>
      <c r="G307" s="106"/>
      <c r="H307" s="100"/>
      <c r="I307" s="106"/>
      <c r="J307" s="102"/>
      <c r="K307" s="65"/>
      <c r="AS307" s="66"/>
      <c r="AT307" s="65"/>
      <c r="CB307" s="66"/>
      <c r="CC307" s="62"/>
    </row>
    <row r="308" spans="2:81" s="41" customFormat="1" ht="13.5" customHeight="1">
      <c r="B308" s="63">
        <f>IF(F308&lt;&gt;"",SUBTOTAL(3,$F$5:F308),"")</f>
        <v>67</v>
      </c>
      <c r="C308" s="63"/>
      <c r="D308" s="64" t="s">
        <v>138</v>
      </c>
      <c r="E308" s="64" t="s">
        <v>134</v>
      </c>
      <c r="F308" s="62" t="s">
        <v>181</v>
      </c>
      <c r="G308" s="106">
        <v>44006</v>
      </c>
      <c r="H308" s="100"/>
      <c r="I308" s="106"/>
      <c r="J308" s="100"/>
      <c r="K308" s="65" t="s">
        <v>419</v>
      </c>
      <c r="AS308" s="66"/>
      <c r="AT308" s="65"/>
      <c r="CB308" s="66"/>
      <c r="CC308" s="67" t="s">
        <v>12</v>
      </c>
    </row>
    <row r="309" spans="2:81" s="41" customFormat="1" ht="13.5" customHeight="1">
      <c r="B309" s="52" t="str">
        <f>IF(F309&lt;&gt;"",SUBTOTAL(3,$F$5:F309),"")</f>
        <v/>
      </c>
      <c r="C309" s="63"/>
      <c r="D309" s="64"/>
      <c r="E309" s="64"/>
      <c r="F309" s="62"/>
      <c r="G309" s="106"/>
      <c r="H309" s="100"/>
      <c r="I309" s="106"/>
      <c r="J309" s="102"/>
      <c r="K309" s="65" t="s">
        <v>420</v>
      </c>
      <c r="AS309" s="66"/>
      <c r="AT309" s="65"/>
      <c r="CB309" s="66"/>
      <c r="CC309" s="67"/>
    </row>
    <row r="310" spans="2:81" s="41" customFormat="1" ht="13.5" customHeight="1">
      <c r="B310" s="52" t="str">
        <f>IF(F310&lt;&gt;"",SUBTOTAL(3,$F$5:F310),"")</f>
        <v/>
      </c>
      <c r="C310" s="63"/>
      <c r="D310" s="64"/>
      <c r="E310" s="64"/>
      <c r="F310" s="62"/>
      <c r="G310" s="106"/>
      <c r="H310" s="100"/>
      <c r="I310" s="106"/>
      <c r="J310" s="102"/>
      <c r="K310" s="65"/>
      <c r="AS310" s="66"/>
      <c r="AT310" s="65"/>
      <c r="CB310" s="66"/>
      <c r="CC310" s="67"/>
    </row>
    <row r="311" spans="2:81" s="41" customFormat="1" ht="13.5" customHeight="1">
      <c r="B311" s="63">
        <f>IF(F311&lt;&gt;"",SUBTOTAL(3,$F$5:F311),"")</f>
        <v>68</v>
      </c>
      <c r="C311" s="63"/>
      <c r="D311" s="64" t="s">
        <v>138</v>
      </c>
      <c r="E311" s="64" t="s">
        <v>134</v>
      </c>
      <c r="F311" s="62" t="s">
        <v>14</v>
      </c>
      <c r="G311" s="106">
        <v>43995</v>
      </c>
      <c r="H311" s="100">
        <v>1</v>
      </c>
      <c r="I311" s="106"/>
      <c r="J311" s="100"/>
      <c r="K311" s="65" t="s">
        <v>373</v>
      </c>
      <c r="AS311" s="66"/>
      <c r="AT311" s="65"/>
      <c r="CB311" s="66"/>
      <c r="CC311" s="67"/>
    </row>
    <row r="312" spans="2:81" s="41" customFormat="1" ht="13.5" customHeight="1">
      <c r="B312" s="52" t="str">
        <f>IF(F312&lt;&gt;"",SUBTOTAL(3,$F$5:F312),"")</f>
        <v/>
      </c>
      <c r="C312" s="63"/>
      <c r="D312" s="64"/>
      <c r="E312" s="64"/>
      <c r="F312" s="62"/>
      <c r="G312" s="106"/>
      <c r="H312" s="100"/>
      <c r="I312" s="106"/>
      <c r="J312" s="101"/>
      <c r="K312" s="65" t="s">
        <v>374</v>
      </c>
      <c r="AS312" s="66"/>
      <c r="AT312" s="65"/>
      <c r="CB312" s="66"/>
      <c r="CC312" s="67"/>
    </row>
    <row r="313" spans="2:81" s="41" customFormat="1" ht="13.5" customHeight="1">
      <c r="B313" s="52" t="str">
        <f>IF(F313&lt;&gt;"",SUBTOTAL(3,$F$5:F313),"")</f>
        <v/>
      </c>
      <c r="C313" s="63"/>
      <c r="D313" s="64"/>
      <c r="E313" s="64"/>
      <c r="F313" s="62"/>
      <c r="G313" s="106"/>
      <c r="H313" s="100"/>
      <c r="I313" s="106"/>
      <c r="J313" s="101"/>
      <c r="K313" s="65"/>
      <c r="AS313" s="66"/>
      <c r="AT313" s="65"/>
      <c r="CB313" s="66"/>
      <c r="CC313" s="67"/>
    </row>
    <row r="314" spans="2:81" s="41" customFormat="1" ht="13.5" customHeight="1">
      <c r="B314" s="63">
        <f>IF(F314&lt;&gt;"",SUBTOTAL(3,$F$5:F314),"")</f>
        <v>69</v>
      </c>
      <c r="C314" s="63"/>
      <c r="D314" s="64" t="s">
        <v>138</v>
      </c>
      <c r="E314" s="64" t="s">
        <v>134</v>
      </c>
      <c r="F314" s="62" t="s">
        <v>182</v>
      </c>
      <c r="G314" s="106">
        <v>43871</v>
      </c>
      <c r="H314" s="100">
        <v>1</v>
      </c>
      <c r="I314" s="106"/>
      <c r="J314" s="100"/>
      <c r="K314" s="65" t="s">
        <v>381</v>
      </c>
      <c r="AS314" s="66"/>
      <c r="AT314" s="65"/>
      <c r="CB314" s="66"/>
      <c r="CC314" s="67" t="s">
        <v>12</v>
      </c>
    </row>
    <row r="315" spans="2:81" s="41" customFormat="1" ht="13.5" customHeight="1">
      <c r="B315" s="52" t="str">
        <f>IF(F315&lt;&gt;"",SUBTOTAL(3,$F$5:F315),"")</f>
        <v/>
      </c>
      <c r="C315" s="63"/>
      <c r="D315" s="64"/>
      <c r="E315" s="64"/>
      <c r="F315" s="62"/>
      <c r="G315" s="106"/>
      <c r="H315" s="100"/>
      <c r="I315" s="106"/>
      <c r="J315" s="101"/>
      <c r="K315" s="65" t="s">
        <v>382</v>
      </c>
      <c r="AS315" s="66"/>
      <c r="AT315" s="65"/>
      <c r="CB315" s="66"/>
      <c r="CC315" s="67"/>
    </row>
    <row r="316" spans="2:81" s="41" customFormat="1" ht="13.5" customHeight="1">
      <c r="B316" s="52" t="str">
        <f>IF(F316&lt;&gt;"",SUBTOTAL(3,$F$5:F316),"")</f>
        <v/>
      </c>
      <c r="C316" s="63"/>
      <c r="D316" s="64"/>
      <c r="E316" s="64"/>
      <c r="F316" s="62"/>
      <c r="G316" s="106"/>
      <c r="H316" s="100"/>
      <c r="I316" s="106"/>
      <c r="J316" s="101"/>
      <c r="K316" s="65"/>
      <c r="AS316" s="66"/>
      <c r="AT316" s="65"/>
      <c r="CB316" s="66"/>
      <c r="CC316" s="67"/>
    </row>
    <row r="317" spans="2:81" s="41" customFormat="1" ht="13.5" customHeight="1">
      <c r="B317" s="63">
        <f>IF(F317&lt;&gt;"",SUBTOTAL(3,$F$5:F317),"")</f>
        <v>70</v>
      </c>
      <c r="C317" s="63"/>
      <c r="D317" s="64" t="s">
        <v>138</v>
      </c>
      <c r="E317" s="64" t="s">
        <v>134</v>
      </c>
      <c r="F317" s="62" t="s">
        <v>183</v>
      </c>
      <c r="G317" s="106">
        <v>43936</v>
      </c>
      <c r="H317" s="100">
        <v>1</v>
      </c>
      <c r="I317" s="106"/>
      <c r="J317" s="100"/>
      <c r="K317" s="65" t="s">
        <v>377</v>
      </c>
      <c r="AS317" s="66"/>
      <c r="AT317" s="65"/>
      <c r="CB317" s="66"/>
      <c r="CC317" s="62"/>
    </row>
    <row r="318" spans="2:81" s="41" customFormat="1" ht="13.5" customHeight="1">
      <c r="B318" s="52" t="str">
        <f>IF(F318&lt;&gt;"",SUBTOTAL(3,$F$5:F318),"")</f>
        <v/>
      </c>
      <c r="C318" s="63"/>
      <c r="D318" s="64"/>
      <c r="E318" s="64"/>
      <c r="F318" s="62"/>
      <c r="G318" s="106"/>
      <c r="H318" s="100"/>
      <c r="I318" s="106"/>
      <c r="J318" s="101"/>
      <c r="K318" s="65" t="s">
        <v>378</v>
      </c>
      <c r="AS318" s="66"/>
      <c r="AT318" s="65"/>
      <c r="CB318" s="66"/>
      <c r="CC318" s="62"/>
    </row>
    <row r="319" spans="2:81" s="41" customFormat="1" ht="13.5" customHeight="1">
      <c r="B319" s="52" t="str">
        <f>IF(F319&lt;&gt;"",SUBTOTAL(3,$F$5:F319),"")</f>
        <v/>
      </c>
      <c r="C319" s="63"/>
      <c r="D319" s="64"/>
      <c r="E319" s="64"/>
      <c r="F319" s="62"/>
      <c r="G319" s="106"/>
      <c r="H319" s="100"/>
      <c r="I319" s="106"/>
      <c r="J319" s="101"/>
      <c r="K319" s="65" t="s">
        <v>379</v>
      </c>
      <c r="AS319" s="66"/>
      <c r="AT319" s="65"/>
      <c r="CB319" s="66"/>
      <c r="CC319" s="62"/>
    </row>
    <row r="320" spans="2:81" s="41" customFormat="1" ht="13.5" customHeight="1">
      <c r="B320" s="52" t="str">
        <f>IF(F320&lt;&gt;"",SUBTOTAL(3,$F$5:F320),"")</f>
        <v/>
      </c>
      <c r="C320" s="63"/>
      <c r="D320" s="64"/>
      <c r="E320" s="64"/>
      <c r="F320" s="62"/>
      <c r="G320" s="106"/>
      <c r="H320" s="100"/>
      <c r="I320" s="106"/>
      <c r="J320" s="101"/>
      <c r="K320" s="65" t="s">
        <v>380</v>
      </c>
      <c r="AS320" s="66"/>
      <c r="AT320" s="65"/>
      <c r="CB320" s="66"/>
      <c r="CC320" s="62"/>
    </row>
    <row r="321" spans="2:81" s="41" customFormat="1" ht="13.5" customHeight="1">
      <c r="B321" s="52" t="str">
        <f>IF(F321&lt;&gt;"",SUBTOTAL(3,$F$5:F321),"")</f>
        <v/>
      </c>
      <c r="C321" s="63"/>
      <c r="D321" s="64"/>
      <c r="E321" s="64"/>
      <c r="F321" s="62"/>
      <c r="G321" s="106"/>
      <c r="H321" s="100"/>
      <c r="I321" s="106"/>
      <c r="J321" s="101"/>
      <c r="K321" s="65"/>
      <c r="AS321" s="66"/>
      <c r="AT321" s="65"/>
      <c r="CB321" s="66"/>
      <c r="CC321" s="62"/>
    </row>
    <row r="322" spans="2:81" s="41" customFormat="1" ht="13.5" customHeight="1">
      <c r="B322" s="63">
        <f>IF(F322&lt;&gt;"",SUBTOTAL(3,$F$5:F322),"")</f>
        <v>71</v>
      </c>
      <c r="C322" s="63"/>
      <c r="D322" s="64" t="s">
        <v>138</v>
      </c>
      <c r="E322" s="64" t="s">
        <v>134</v>
      </c>
      <c r="F322" s="62" t="s">
        <v>184</v>
      </c>
      <c r="G322" s="106">
        <v>43935</v>
      </c>
      <c r="H322" s="100">
        <v>1</v>
      </c>
      <c r="I322" s="106"/>
      <c r="J322" s="100"/>
      <c r="K322" s="65" t="s">
        <v>376</v>
      </c>
      <c r="AS322" s="66"/>
      <c r="AT322" s="65"/>
      <c r="CB322" s="66"/>
      <c r="CC322" s="62"/>
    </row>
    <row r="323" spans="2:81" s="41" customFormat="1" ht="13.5" customHeight="1">
      <c r="B323" s="52" t="str">
        <f>IF(F323&lt;&gt;"",SUBTOTAL(3,$F$5:F323),"")</f>
        <v/>
      </c>
      <c r="C323" s="63"/>
      <c r="D323" s="64"/>
      <c r="E323" s="64"/>
      <c r="F323" s="62"/>
      <c r="G323" s="106"/>
      <c r="H323" s="100"/>
      <c r="I323" s="106"/>
      <c r="J323" s="101"/>
      <c r="K323" s="65" t="s">
        <v>375</v>
      </c>
      <c r="AS323" s="66"/>
      <c r="AT323" s="65"/>
      <c r="CB323" s="66"/>
      <c r="CC323" s="62"/>
    </row>
    <row r="324" spans="2:81" s="41" customFormat="1" ht="13.5" customHeight="1">
      <c r="B324" s="52" t="str">
        <f>IF(F324&lt;&gt;"",SUBTOTAL(3,$F$5:F324),"")</f>
        <v/>
      </c>
      <c r="C324" s="63"/>
      <c r="D324" s="64"/>
      <c r="E324" s="64"/>
      <c r="F324" s="62"/>
      <c r="G324" s="106"/>
      <c r="H324" s="100"/>
      <c r="I324" s="106"/>
      <c r="J324" s="101"/>
      <c r="K324" s="65"/>
      <c r="AS324" s="66"/>
      <c r="AT324" s="65"/>
      <c r="CB324" s="66"/>
      <c r="CC324" s="62"/>
    </row>
    <row r="325" spans="2:81" s="41" customFormat="1" ht="13.5" customHeight="1">
      <c r="B325" s="63">
        <f>IF(F325&lt;&gt;"",SUBTOTAL(3,$F$5:F325),"")</f>
        <v>72</v>
      </c>
      <c r="C325" s="63"/>
      <c r="D325" s="64" t="s">
        <v>138</v>
      </c>
      <c r="E325" s="64" t="s">
        <v>134</v>
      </c>
      <c r="F325" s="62" t="s">
        <v>185</v>
      </c>
      <c r="G325" s="106">
        <v>43919</v>
      </c>
      <c r="H325" s="100">
        <v>1</v>
      </c>
      <c r="I325" s="106"/>
      <c r="J325" s="100"/>
      <c r="K325" s="65" t="s">
        <v>467</v>
      </c>
      <c r="AS325" s="66"/>
      <c r="AT325" s="65"/>
      <c r="CB325" s="66"/>
      <c r="CC325" s="62"/>
    </row>
    <row r="326" spans="2:81" s="41" customFormat="1" ht="13.5" customHeight="1">
      <c r="B326" s="52" t="str">
        <f>IF(F326&lt;&gt;"",SUBTOTAL(3,$F$5:F326),"")</f>
        <v/>
      </c>
      <c r="C326" s="63"/>
      <c r="D326" s="64"/>
      <c r="E326" s="64"/>
      <c r="F326" s="62"/>
      <c r="G326" s="106"/>
      <c r="H326" s="100"/>
      <c r="I326" s="106"/>
      <c r="J326" s="101"/>
      <c r="K326" s="65" t="s">
        <v>469</v>
      </c>
      <c r="AS326" s="66"/>
      <c r="AT326" s="65"/>
      <c r="CB326" s="66"/>
      <c r="CC326" s="62"/>
    </row>
    <row r="327" spans="2:81" s="41" customFormat="1" ht="13.5" customHeight="1">
      <c r="B327" s="52" t="str">
        <f>IF(F327&lt;&gt;"",SUBTOTAL(3,$F$5:F327),"")</f>
        <v/>
      </c>
      <c r="C327" s="63"/>
      <c r="D327" s="64"/>
      <c r="E327" s="64"/>
      <c r="F327" s="62"/>
      <c r="G327" s="106"/>
      <c r="H327" s="100"/>
      <c r="I327" s="106"/>
      <c r="J327" s="101"/>
      <c r="K327" s="65" t="s">
        <v>468</v>
      </c>
      <c r="AS327" s="66"/>
      <c r="AT327" s="65"/>
      <c r="CB327" s="66"/>
      <c r="CC327" s="62"/>
    </row>
    <row r="328" spans="2:81" s="41" customFormat="1" ht="13.5" customHeight="1">
      <c r="B328" s="52" t="str">
        <f>IF(F328&lt;&gt;"",SUBTOTAL(3,$F$5:F328),"")</f>
        <v/>
      </c>
      <c r="C328" s="63"/>
      <c r="D328" s="64"/>
      <c r="E328" s="64"/>
      <c r="F328" s="62"/>
      <c r="G328" s="106"/>
      <c r="H328" s="100"/>
      <c r="I328" s="106"/>
      <c r="J328" s="101"/>
      <c r="K328" s="65" t="s">
        <v>470</v>
      </c>
      <c r="AS328" s="66"/>
      <c r="AT328" s="65"/>
      <c r="CB328" s="66"/>
      <c r="CC328" s="62"/>
    </row>
    <row r="329" spans="2:81" s="41" customFormat="1" ht="13.5" customHeight="1">
      <c r="B329" s="52" t="str">
        <f>IF(F329&lt;&gt;"",SUBTOTAL(3,$F$5:F329),"")</f>
        <v/>
      </c>
      <c r="C329" s="63"/>
      <c r="D329" s="64"/>
      <c r="E329" s="64"/>
      <c r="F329" s="62"/>
      <c r="G329" s="106"/>
      <c r="H329" s="100"/>
      <c r="I329" s="106"/>
      <c r="J329" s="101"/>
      <c r="K329" s="65"/>
      <c r="AS329" s="66"/>
      <c r="AT329" s="65"/>
      <c r="CB329" s="66"/>
      <c r="CC329" s="62"/>
    </row>
    <row r="330" spans="2:81" s="41" customFormat="1" ht="13.5" customHeight="1">
      <c r="B330" s="63">
        <f>IF(F330&lt;&gt;"",SUBTOTAL(3,$F$5:F330),"")</f>
        <v>73</v>
      </c>
      <c r="C330" s="63"/>
      <c r="D330" s="64" t="s">
        <v>138</v>
      </c>
      <c r="E330" s="64" t="s">
        <v>134</v>
      </c>
      <c r="F330" s="62" t="s">
        <v>186</v>
      </c>
      <c r="G330" s="106">
        <v>43995</v>
      </c>
      <c r="H330" s="100">
        <v>1</v>
      </c>
      <c r="I330" s="106"/>
      <c r="J330" s="100"/>
      <c r="K330" s="65" t="s">
        <v>388</v>
      </c>
      <c r="AS330" s="66"/>
      <c r="AT330" s="65"/>
      <c r="CB330" s="66"/>
      <c r="CC330" s="62"/>
    </row>
    <row r="331" spans="2:81" s="41" customFormat="1" ht="13.5" customHeight="1">
      <c r="B331" s="52" t="str">
        <f>IF(F331&lt;&gt;"",SUBTOTAL(3,$F$5:F331),"")</f>
        <v/>
      </c>
      <c r="C331" s="63"/>
      <c r="D331" s="64"/>
      <c r="E331" s="64"/>
      <c r="F331" s="62"/>
      <c r="G331" s="106"/>
      <c r="H331" s="100"/>
      <c r="I331" s="106"/>
      <c r="J331" s="101"/>
      <c r="K331" s="65"/>
      <c r="AS331" s="66"/>
      <c r="AT331" s="65"/>
      <c r="CB331" s="66"/>
      <c r="CC331" s="62"/>
    </row>
    <row r="332" spans="2:81" s="41" customFormat="1" ht="13.5" customHeight="1">
      <c r="B332" s="63">
        <f>IF(F332&lt;&gt;"",SUBTOTAL(3,$F$5:F332),"")</f>
        <v>74</v>
      </c>
      <c r="C332" s="63"/>
      <c r="D332" s="64" t="s">
        <v>138</v>
      </c>
      <c r="E332" s="64" t="s">
        <v>134</v>
      </c>
      <c r="F332" s="62" t="s">
        <v>187</v>
      </c>
      <c r="G332" s="106">
        <v>43975</v>
      </c>
      <c r="H332" s="100">
        <v>1</v>
      </c>
      <c r="I332" s="106"/>
      <c r="J332" s="100"/>
      <c r="K332" s="65" t="s">
        <v>465</v>
      </c>
      <c r="AS332" s="66"/>
      <c r="AT332" s="65"/>
      <c r="CB332" s="66"/>
      <c r="CC332" s="62"/>
    </row>
    <row r="333" spans="2:81" s="41" customFormat="1" ht="13.5" customHeight="1">
      <c r="B333" s="52" t="str">
        <f>IF(F333&lt;&gt;"",SUBTOTAL(3,$F$5:F333),"")</f>
        <v/>
      </c>
      <c r="C333" s="63"/>
      <c r="D333" s="64"/>
      <c r="E333" s="64"/>
      <c r="F333" s="62"/>
      <c r="G333" s="106"/>
      <c r="H333" s="100"/>
      <c r="I333" s="106"/>
      <c r="J333" s="101"/>
      <c r="K333" s="65" t="s">
        <v>466</v>
      </c>
      <c r="AS333" s="66"/>
      <c r="AT333" s="65"/>
      <c r="CB333" s="66"/>
      <c r="CC333" s="62"/>
    </row>
    <row r="334" spans="2:81" s="41" customFormat="1" ht="13.5" customHeight="1">
      <c r="B334" s="52" t="str">
        <f>IF(F334&lt;&gt;"",SUBTOTAL(3,$F$5:F334),"")</f>
        <v/>
      </c>
      <c r="C334" s="63"/>
      <c r="D334" s="64"/>
      <c r="E334" s="64"/>
      <c r="F334" s="62"/>
      <c r="G334" s="106"/>
      <c r="H334" s="100"/>
      <c r="I334" s="106"/>
      <c r="J334" s="101"/>
      <c r="K334" s="65"/>
      <c r="AS334" s="66"/>
      <c r="AT334" s="65"/>
      <c r="CB334" s="66"/>
      <c r="CC334" s="62"/>
    </row>
    <row r="335" spans="2:81" s="41" customFormat="1" ht="13.5" customHeight="1">
      <c r="B335" s="63">
        <f>IF(F335&lt;&gt;"",SUBTOTAL(3,$F$5:F335),"")</f>
        <v>75</v>
      </c>
      <c r="C335" s="63"/>
      <c r="D335" s="64" t="s">
        <v>138</v>
      </c>
      <c r="E335" s="64" t="s">
        <v>134</v>
      </c>
      <c r="F335" s="62" t="s">
        <v>188</v>
      </c>
      <c r="G335" s="106">
        <v>43975</v>
      </c>
      <c r="H335" s="100">
        <v>1</v>
      </c>
      <c r="I335" s="106"/>
      <c r="J335" s="100"/>
      <c r="K335" s="65" t="s">
        <v>464</v>
      </c>
      <c r="AS335" s="66"/>
      <c r="AT335" s="65"/>
      <c r="CB335" s="66"/>
      <c r="CC335" s="62"/>
    </row>
    <row r="336" spans="2:81" s="41" customFormat="1" ht="13.5" customHeight="1">
      <c r="B336" s="52" t="str">
        <f>IF(F336&lt;&gt;"",SUBTOTAL(3,$F$5:F336),"")</f>
        <v/>
      </c>
      <c r="C336" s="63"/>
      <c r="D336" s="64"/>
      <c r="E336" s="64"/>
      <c r="F336" s="62"/>
      <c r="G336" s="106"/>
      <c r="H336" s="100"/>
      <c r="I336" s="106"/>
      <c r="J336" s="101"/>
      <c r="K336" s="65" t="s">
        <v>463</v>
      </c>
      <c r="AS336" s="66"/>
      <c r="AT336" s="65"/>
      <c r="CB336" s="66"/>
      <c r="CC336" s="62"/>
    </row>
    <row r="337" spans="2:81" s="41" customFormat="1" ht="13.5" customHeight="1">
      <c r="B337" s="52" t="str">
        <f>IF(F337&lt;&gt;"",SUBTOTAL(3,$F$5:F337),"")</f>
        <v/>
      </c>
      <c r="C337" s="63"/>
      <c r="D337" s="64"/>
      <c r="E337" s="64"/>
      <c r="F337" s="62"/>
      <c r="G337" s="106"/>
      <c r="H337" s="100"/>
      <c r="I337" s="106"/>
      <c r="J337" s="101"/>
      <c r="K337" s="65" t="s">
        <v>462</v>
      </c>
      <c r="AS337" s="66"/>
      <c r="AT337" s="65"/>
      <c r="CB337" s="66"/>
      <c r="CC337" s="62"/>
    </row>
    <row r="338" spans="2:81" s="41" customFormat="1" ht="13.5" customHeight="1">
      <c r="B338" s="52" t="str">
        <f>IF(F338&lt;&gt;"",SUBTOTAL(3,$F$5:F338),"")</f>
        <v/>
      </c>
      <c r="C338" s="63"/>
      <c r="D338" s="64"/>
      <c r="E338" s="64"/>
      <c r="F338" s="62"/>
      <c r="G338" s="106"/>
      <c r="H338" s="100"/>
      <c r="I338" s="106"/>
      <c r="J338" s="101"/>
      <c r="K338" s="90" t="str">
        <f>HYPERLINK("C:\Users\roshi_000.000\MyImp\MyOwn\Develop\C++\At_Coder\◆C++_Language解説◆.xlsm#'C++ Language解説'!浮動小数点の誤差","◆C++_Languge解説◆.xlsm#'C++ Language解説'!浮動小数点の誤差")</f>
        <v>◆C++_Languge解説◆.xlsm#'C++ Language解説'!浮動小数点の誤差</v>
      </c>
      <c r="AS338" s="66"/>
      <c r="AT338" s="65"/>
      <c r="CB338" s="66"/>
      <c r="CC338" s="62"/>
    </row>
    <row r="339" spans="2:81" s="41" customFormat="1" ht="13.5" customHeight="1">
      <c r="B339" s="52" t="str">
        <f>IF(F339&lt;&gt;"",SUBTOTAL(3,$F$5:F339),"")</f>
        <v/>
      </c>
      <c r="C339" s="63"/>
      <c r="D339" s="64"/>
      <c r="E339" s="64"/>
      <c r="F339" s="62"/>
      <c r="G339" s="106"/>
      <c r="H339" s="100"/>
      <c r="I339" s="106"/>
      <c r="J339" s="101"/>
      <c r="K339" s="65"/>
      <c r="AS339" s="66"/>
      <c r="AT339" s="65"/>
      <c r="CB339" s="66"/>
      <c r="CC339" s="62"/>
    </row>
    <row r="340" spans="2:81" s="41" customFormat="1" ht="13.5" customHeight="1">
      <c r="B340" s="63">
        <f>IF(F340&lt;&gt;"",SUBTOTAL(3,$F$5:F340),"")</f>
        <v>76</v>
      </c>
      <c r="C340" s="63"/>
      <c r="D340" s="64" t="s">
        <v>138</v>
      </c>
      <c r="E340" s="64" t="s">
        <v>134</v>
      </c>
      <c r="F340" s="62" t="s">
        <v>189</v>
      </c>
      <c r="G340" s="106">
        <v>43975</v>
      </c>
      <c r="H340" s="100">
        <v>1</v>
      </c>
      <c r="I340" s="106"/>
      <c r="J340" s="100"/>
      <c r="K340" s="65" t="s">
        <v>452</v>
      </c>
      <c r="AS340" s="66"/>
      <c r="AT340" s="65"/>
      <c r="CB340" s="66"/>
      <c r="CC340" s="62"/>
    </row>
    <row r="341" spans="2:81" s="41" customFormat="1" ht="13.5" customHeight="1">
      <c r="B341" s="52" t="str">
        <f>IF(F341&lt;&gt;"",SUBTOTAL(3,$F$5:F341),"")</f>
        <v/>
      </c>
      <c r="C341" s="63"/>
      <c r="D341" s="64"/>
      <c r="E341" s="64"/>
      <c r="F341" s="62"/>
      <c r="G341" s="106"/>
      <c r="H341" s="100"/>
      <c r="I341" s="106"/>
      <c r="J341" s="101"/>
      <c r="K341" s="65" t="s">
        <v>460</v>
      </c>
      <c r="AS341" s="66"/>
      <c r="AT341" s="65"/>
      <c r="CB341" s="66"/>
      <c r="CC341" s="62"/>
    </row>
    <row r="342" spans="2:81" s="41" customFormat="1" ht="13.5" customHeight="1">
      <c r="B342" s="52" t="str">
        <f>IF(F342&lt;&gt;"",SUBTOTAL(3,$F$5:F342),"")</f>
        <v/>
      </c>
      <c r="C342" s="63"/>
      <c r="D342" s="64"/>
      <c r="E342" s="64"/>
      <c r="F342" s="62"/>
      <c r="G342" s="106"/>
      <c r="H342" s="100"/>
      <c r="I342" s="106"/>
      <c r="J342" s="101"/>
      <c r="K342" s="65" t="s">
        <v>461</v>
      </c>
      <c r="AS342" s="66"/>
      <c r="AT342" s="65"/>
      <c r="CB342" s="66"/>
      <c r="CC342" s="62"/>
    </row>
    <row r="343" spans="2:81" s="41" customFormat="1" ht="13.5" customHeight="1">
      <c r="B343" s="52" t="str">
        <f>IF(F343&lt;&gt;"",SUBTOTAL(3,$F$5:F343),"")</f>
        <v/>
      </c>
      <c r="C343" s="63"/>
      <c r="D343" s="64"/>
      <c r="E343" s="64"/>
      <c r="F343" s="62"/>
      <c r="G343" s="106"/>
      <c r="H343" s="100"/>
      <c r="I343" s="106"/>
      <c r="J343" s="101"/>
      <c r="K343" s="65" t="s">
        <v>454</v>
      </c>
      <c r="AS343" s="66"/>
      <c r="AT343" s="65"/>
      <c r="CB343" s="66"/>
      <c r="CC343" s="62"/>
    </row>
    <row r="344" spans="2:81" s="41" customFormat="1" ht="13.5" customHeight="1">
      <c r="B344" s="52" t="str">
        <f>IF(F344&lt;&gt;"",SUBTOTAL(3,$F$5:F344),"")</f>
        <v/>
      </c>
      <c r="C344" s="63"/>
      <c r="D344" s="64"/>
      <c r="E344" s="64"/>
      <c r="F344" s="62"/>
      <c r="G344" s="106"/>
      <c r="H344" s="100"/>
      <c r="I344" s="106"/>
      <c r="J344" s="101"/>
      <c r="K344" s="65" t="s">
        <v>455</v>
      </c>
      <c r="AS344" s="66"/>
      <c r="AT344" s="65"/>
      <c r="CB344" s="66"/>
      <c r="CC344" s="62"/>
    </row>
    <row r="345" spans="2:81" s="41" customFormat="1" ht="13.5" customHeight="1">
      <c r="B345" s="52" t="str">
        <f>IF(F345&lt;&gt;"",SUBTOTAL(3,$F$5:F345),"")</f>
        <v/>
      </c>
      <c r="C345" s="63"/>
      <c r="D345" s="64"/>
      <c r="E345" s="64"/>
      <c r="F345" s="62"/>
      <c r="G345" s="106"/>
      <c r="H345" s="100"/>
      <c r="I345" s="106"/>
      <c r="J345" s="101"/>
      <c r="K345" s="65" t="s">
        <v>453</v>
      </c>
      <c r="AS345" s="66"/>
      <c r="AT345" s="65"/>
      <c r="CB345" s="66"/>
      <c r="CC345" s="62"/>
    </row>
    <row r="346" spans="2:81" s="41" customFormat="1" ht="13.5" customHeight="1">
      <c r="B346" s="52" t="str">
        <f>IF(F346&lt;&gt;"",SUBTOTAL(3,$F$5:F346),"")</f>
        <v/>
      </c>
      <c r="C346" s="63"/>
      <c r="D346" s="64"/>
      <c r="E346" s="64"/>
      <c r="F346" s="62"/>
      <c r="G346" s="106"/>
      <c r="H346" s="100"/>
      <c r="I346" s="106"/>
      <c r="J346" s="101"/>
      <c r="K346" s="65" t="s">
        <v>456</v>
      </c>
      <c r="AS346" s="66"/>
      <c r="AT346" s="65"/>
      <c r="CB346" s="66"/>
      <c r="CC346" s="62"/>
    </row>
    <row r="347" spans="2:81" s="41" customFormat="1" ht="13.5" customHeight="1">
      <c r="B347" s="52" t="str">
        <f>IF(F347&lt;&gt;"",SUBTOTAL(3,$F$5:F347),"")</f>
        <v/>
      </c>
      <c r="C347" s="63"/>
      <c r="D347" s="64"/>
      <c r="E347" s="64"/>
      <c r="F347" s="62"/>
      <c r="G347" s="106"/>
      <c r="H347" s="100"/>
      <c r="I347" s="106"/>
      <c r="J347" s="101"/>
      <c r="K347" s="65" t="s">
        <v>458</v>
      </c>
      <c r="AS347" s="66"/>
      <c r="AT347" s="65"/>
      <c r="CB347" s="66"/>
      <c r="CC347" s="62"/>
    </row>
    <row r="348" spans="2:81" s="41" customFormat="1" ht="13.5" customHeight="1">
      <c r="B348" s="52" t="str">
        <f>IF(F348&lt;&gt;"",SUBTOTAL(3,$F$5:F348),"")</f>
        <v/>
      </c>
      <c r="C348" s="63"/>
      <c r="D348" s="64"/>
      <c r="E348" s="64"/>
      <c r="F348" s="62"/>
      <c r="G348" s="106"/>
      <c r="H348" s="100"/>
      <c r="I348" s="106"/>
      <c r="J348" s="101"/>
      <c r="K348" s="65" t="s">
        <v>459</v>
      </c>
      <c r="AS348" s="66"/>
      <c r="AT348" s="65"/>
      <c r="CB348" s="66"/>
      <c r="CC348" s="62"/>
    </row>
    <row r="349" spans="2:81" s="41" customFormat="1" ht="13.5" customHeight="1">
      <c r="B349" s="52" t="str">
        <f>IF(F349&lt;&gt;"",SUBTOTAL(3,$F$5:F349),"")</f>
        <v/>
      </c>
      <c r="C349" s="63"/>
      <c r="D349" s="64"/>
      <c r="E349" s="64"/>
      <c r="F349" s="62"/>
      <c r="G349" s="106"/>
      <c r="H349" s="100"/>
      <c r="I349" s="106"/>
      <c r="J349" s="101"/>
      <c r="K349" s="65" t="s">
        <v>457</v>
      </c>
      <c r="AS349" s="66"/>
      <c r="AT349" s="65"/>
      <c r="CB349" s="66"/>
      <c r="CC349" s="62"/>
    </row>
    <row r="350" spans="2:81" s="41" customFormat="1" ht="13.5" customHeight="1">
      <c r="B350" s="52" t="str">
        <f>IF(F350&lt;&gt;"",SUBTOTAL(3,$F$5:F350),"")</f>
        <v/>
      </c>
      <c r="C350" s="63"/>
      <c r="D350" s="64"/>
      <c r="E350" s="64"/>
      <c r="F350" s="62"/>
      <c r="G350" s="106"/>
      <c r="H350" s="100"/>
      <c r="I350" s="106"/>
      <c r="J350" s="101"/>
      <c r="K350" s="65"/>
      <c r="AS350" s="66"/>
      <c r="AT350" s="65"/>
      <c r="CB350" s="66"/>
      <c r="CC350" s="62"/>
    </row>
    <row r="351" spans="2:81" s="41" customFormat="1" ht="13.5" customHeight="1">
      <c r="B351" s="63">
        <f>IF(F351&lt;&gt;"",SUBTOTAL(3,$F$5:F351),"")</f>
        <v>77</v>
      </c>
      <c r="C351" s="63"/>
      <c r="D351" s="64" t="s">
        <v>138</v>
      </c>
      <c r="E351" s="64" t="s">
        <v>134</v>
      </c>
      <c r="F351" s="62" t="s">
        <v>190</v>
      </c>
      <c r="G351" s="106">
        <v>43975</v>
      </c>
      <c r="H351" s="100">
        <v>1</v>
      </c>
      <c r="I351" s="106"/>
      <c r="J351" s="100"/>
      <c r="K351" s="65" t="s">
        <v>389</v>
      </c>
      <c r="AS351" s="66"/>
      <c r="AT351" s="65"/>
      <c r="CB351" s="66"/>
      <c r="CC351" s="62"/>
    </row>
    <row r="352" spans="2:81" s="41" customFormat="1" ht="13.5" customHeight="1">
      <c r="B352" s="52" t="str">
        <f>IF(F352&lt;&gt;"",SUBTOTAL(3,$F$5:F352),"")</f>
        <v/>
      </c>
      <c r="C352" s="63"/>
      <c r="D352" s="64"/>
      <c r="E352" s="64"/>
      <c r="F352" s="62"/>
      <c r="G352" s="106"/>
      <c r="H352" s="100"/>
      <c r="I352" s="106"/>
      <c r="J352" s="101"/>
      <c r="K352" s="65" t="s">
        <v>390</v>
      </c>
      <c r="AS352" s="66"/>
      <c r="AT352" s="65"/>
      <c r="CB352" s="66"/>
      <c r="CC352" s="62"/>
    </row>
    <row r="353" spans="2:81" s="41" customFormat="1" ht="13.5" customHeight="1">
      <c r="B353" s="52" t="str">
        <f>IF(F353&lt;&gt;"",SUBTOTAL(3,$F$5:F353),"")</f>
        <v/>
      </c>
      <c r="C353" s="63"/>
      <c r="D353" s="64"/>
      <c r="E353" s="64"/>
      <c r="F353" s="62"/>
      <c r="G353" s="106"/>
      <c r="H353" s="100"/>
      <c r="I353" s="106"/>
      <c r="J353" s="101"/>
      <c r="K353" s="65"/>
      <c r="AS353" s="66"/>
      <c r="AT353" s="65"/>
      <c r="CB353" s="66"/>
      <c r="CC353" s="62"/>
    </row>
    <row r="354" spans="2:81" s="41" customFormat="1" ht="13.5" customHeight="1">
      <c r="B354" s="63">
        <f>IF(F354&lt;&gt;"",SUBTOTAL(3,$F$5:F354),"")</f>
        <v>78</v>
      </c>
      <c r="C354" s="63"/>
      <c r="D354" s="64" t="s">
        <v>138</v>
      </c>
      <c r="E354" s="64" t="s">
        <v>134</v>
      </c>
      <c r="F354" s="62" t="s">
        <v>191</v>
      </c>
      <c r="G354" s="106">
        <v>43977</v>
      </c>
      <c r="H354" s="100">
        <v>1</v>
      </c>
      <c r="I354" s="106"/>
      <c r="J354" s="100"/>
      <c r="K354" s="65" t="s">
        <v>391</v>
      </c>
      <c r="AS354" s="66"/>
      <c r="AT354" s="65"/>
      <c r="CB354" s="66"/>
      <c r="CC354" s="62"/>
    </row>
    <row r="355" spans="2:81" s="41" customFormat="1" ht="13.5" customHeight="1">
      <c r="B355" s="52" t="str">
        <f>IF(F355&lt;&gt;"",SUBTOTAL(3,$F$5:F355),"")</f>
        <v/>
      </c>
      <c r="C355" s="63"/>
      <c r="D355" s="64"/>
      <c r="E355" s="64"/>
      <c r="F355" s="62"/>
      <c r="G355" s="106"/>
      <c r="H355" s="100"/>
      <c r="I355" s="106"/>
      <c r="J355" s="101"/>
      <c r="K355" s="65"/>
      <c r="AS355" s="66"/>
      <c r="AT355" s="65"/>
      <c r="CB355" s="66"/>
      <c r="CC355" s="62"/>
    </row>
    <row r="356" spans="2:81" s="41" customFormat="1" ht="13.5" customHeight="1">
      <c r="B356" s="63">
        <f>IF(F356&lt;&gt;"",SUBTOTAL(3,$F$5:F356),"")</f>
        <v>79</v>
      </c>
      <c r="C356" s="63"/>
      <c r="D356" s="64" t="s">
        <v>138</v>
      </c>
      <c r="E356" s="64" t="s">
        <v>134</v>
      </c>
      <c r="F356" s="62" t="s">
        <v>192</v>
      </c>
      <c r="G356" s="106">
        <v>43977</v>
      </c>
      <c r="H356" s="100">
        <v>1</v>
      </c>
      <c r="I356" s="106"/>
      <c r="J356" s="100"/>
      <c r="K356" s="65" t="s">
        <v>392</v>
      </c>
      <c r="AS356" s="66"/>
      <c r="AT356" s="65"/>
      <c r="CB356" s="66"/>
      <c r="CC356" s="62"/>
    </row>
    <row r="357" spans="2:81" s="41" customFormat="1" ht="13.5" customHeight="1">
      <c r="B357" s="52" t="str">
        <f>IF(F357&lt;&gt;"",SUBTOTAL(3,$F$5:F357),"")</f>
        <v/>
      </c>
      <c r="C357" s="63"/>
      <c r="D357" s="64"/>
      <c r="E357" s="64"/>
      <c r="F357" s="62"/>
      <c r="G357" s="106"/>
      <c r="H357" s="100"/>
      <c r="I357" s="106"/>
      <c r="J357" s="101"/>
      <c r="K357" s="65"/>
      <c r="AS357" s="66"/>
      <c r="AT357" s="65"/>
      <c r="CB357" s="66"/>
      <c r="CC357" s="62"/>
    </row>
    <row r="358" spans="2:81" s="41" customFormat="1" ht="13.5" customHeight="1">
      <c r="B358" s="63">
        <f>IF(F358&lt;&gt;"",SUBTOTAL(3,$F$5:F358),"")</f>
        <v>80</v>
      </c>
      <c r="C358" s="63"/>
      <c r="D358" s="64" t="s">
        <v>138</v>
      </c>
      <c r="E358" s="64" t="s">
        <v>134</v>
      </c>
      <c r="F358" s="62" t="s">
        <v>193</v>
      </c>
      <c r="G358" s="106">
        <v>43977</v>
      </c>
      <c r="H358" s="100">
        <v>1</v>
      </c>
      <c r="I358" s="106"/>
      <c r="J358" s="100"/>
      <c r="K358" s="65" t="s">
        <v>421</v>
      </c>
      <c r="AS358" s="66"/>
      <c r="AT358" s="65"/>
      <c r="CB358" s="66"/>
      <c r="CC358" s="62"/>
    </row>
    <row r="359" spans="2:81" s="41" customFormat="1" ht="13.5" customHeight="1">
      <c r="B359" s="52" t="str">
        <f>IF(F359&lt;&gt;"",SUBTOTAL(3,$F$5:F359),"")</f>
        <v/>
      </c>
      <c r="C359" s="63"/>
      <c r="D359" s="64"/>
      <c r="E359" s="64"/>
      <c r="F359" s="62"/>
      <c r="G359" s="106"/>
      <c r="H359" s="100"/>
      <c r="I359" s="106"/>
      <c r="J359" s="101"/>
      <c r="K359" s="65"/>
      <c r="AS359" s="66"/>
      <c r="AT359" s="65"/>
      <c r="CB359" s="66"/>
      <c r="CC359" s="62"/>
    </row>
    <row r="360" spans="2:81" s="41" customFormat="1" ht="13.5" customHeight="1">
      <c r="B360" s="63">
        <f>IF(F360&lt;&gt;"",SUBTOTAL(3,$F$5:F360),"")</f>
        <v>81</v>
      </c>
      <c r="C360" s="63"/>
      <c r="D360" s="64" t="s">
        <v>138</v>
      </c>
      <c r="E360" s="64" t="s">
        <v>134</v>
      </c>
      <c r="F360" s="62" t="s">
        <v>194</v>
      </c>
      <c r="G360" s="106">
        <v>43995</v>
      </c>
      <c r="H360" s="100">
        <v>1</v>
      </c>
      <c r="I360" s="106"/>
      <c r="J360" s="100"/>
      <c r="K360" s="65" t="s">
        <v>396</v>
      </c>
      <c r="AS360" s="66"/>
      <c r="AT360" s="65"/>
      <c r="CB360" s="66"/>
      <c r="CC360" s="62"/>
    </row>
    <row r="361" spans="2:81" s="41" customFormat="1" ht="13.5" customHeight="1">
      <c r="B361" s="52" t="str">
        <f>IF(F361&lt;&gt;"",SUBTOTAL(3,$F$5:F361),"")</f>
        <v/>
      </c>
      <c r="C361" s="63"/>
      <c r="D361" s="64"/>
      <c r="E361" s="64"/>
      <c r="F361" s="62"/>
      <c r="G361" s="106"/>
      <c r="H361" s="100"/>
      <c r="I361" s="106"/>
      <c r="J361" s="101"/>
      <c r="K361" s="65" t="s">
        <v>397</v>
      </c>
      <c r="AS361" s="66"/>
      <c r="AT361" s="65"/>
      <c r="CB361" s="66"/>
      <c r="CC361" s="62"/>
    </row>
    <row r="362" spans="2:81" s="41" customFormat="1" ht="13.5" customHeight="1">
      <c r="B362" s="52" t="str">
        <f>IF(F362&lt;&gt;"",SUBTOTAL(3,$F$5:F362),"")</f>
        <v/>
      </c>
      <c r="C362" s="63"/>
      <c r="D362" s="64"/>
      <c r="E362" s="64"/>
      <c r="F362" s="62"/>
      <c r="G362" s="106"/>
      <c r="H362" s="100"/>
      <c r="I362" s="106"/>
      <c r="J362" s="101"/>
      <c r="K362" s="65" t="s">
        <v>398</v>
      </c>
      <c r="AS362" s="66"/>
      <c r="AT362" s="65"/>
      <c r="CB362" s="66"/>
      <c r="CC362" s="62"/>
    </row>
    <row r="363" spans="2:81" s="41" customFormat="1" ht="13.5" customHeight="1">
      <c r="B363" s="52" t="str">
        <f>IF(F363&lt;&gt;"",SUBTOTAL(3,$F$5:F363),"")</f>
        <v/>
      </c>
      <c r="C363" s="63"/>
      <c r="D363" s="64"/>
      <c r="E363" s="64"/>
      <c r="F363" s="62"/>
      <c r="G363" s="106"/>
      <c r="H363" s="100"/>
      <c r="I363" s="106"/>
      <c r="J363" s="101"/>
      <c r="K363" s="65"/>
      <c r="AS363" s="66"/>
      <c r="AT363" s="65"/>
      <c r="CB363" s="66"/>
      <c r="CC363" s="62"/>
    </row>
    <row r="364" spans="2:81" s="41" customFormat="1" ht="13.5" customHeight="1">
      <c r="B364" s="63">
        <f>IF(F364&lt;&gt;"",SUBTOTAL(3,$F$5:F364),"")</f>
        <v>82</v>
      </c>
      <c r="C364" s="63"/>
      <c r="D364" s="64" t="s">
        <v>138</v>
      </c>
      <c r="E364" s="64" t="s">
        <v>134</v>
      </c>
      <c r="F364" s="62" t="s">
        <v>195</v>
      </c>
      <c r="G364" s="106">
        <v>43982</v>
      </c>
      <c r="H364" s="100">
        <v>1</v>
      </c>
      <c r="I364" s="106"/>
      <c r="J364" s="100"/>
      <c r="K364" s="65" t="s">
        <v>399</v>
      </c>
      <c r="AS364" s="66"/>
      <c r="AT364" s="65"/>
      <c r="CB364" s="66"/>
      <c r="CC364" s="62"/>
    </row>
    <row r="365" spans="2:81" s="41" customFormat="1" ht="13.5" customHeight="1">
      <c r="B365" s="52" t="str">
        <f>IF(F365&lt;&gt;"",SUBTOTAL(3,$F$5:F365),"")</f>
        <v/>
      </c>
      <c r="C365" s="63"/>
      <c r="D365" s="64"/>
      <c r="E365" s="64"/>
      <c r="F365" s="62"/>
      <c r="G365" s="106"/>
      <c r="H365" s="100"/>
      <c r="I365" s="106"/>
      <c r="J365" s="101"/>
      <c r="K365" s="65"/>
      <c r="AS365" s="66"/>
      <c r="AT365" s="65"/>
      <c r="CB365" s="66"/>
      <c r="CC365" s="62"/>
    </row>
    <row r="366" spans="2:81" s="41" customFormat="1" ht="13.5" customHeight="1">
      <c r="B366" s="63">
        <f>IF(F366&lt;&gt;"",SUBTOTAL(3,$F$5:F366),"")</f>
        <v>83</v>
      </c>
      <c r="C366" s="63"/>
      <c r="D366" s="64" t="s">
        <v>138</v>
      </c>
      <c r="E366" s="64" t="s">
        <v>134</v>
      </c>
      <c r="F366" s="62" t="s">
        <v>196</v>
      </c>
      <c r="G366" s="106">
        <v>43989</v>
      </c>
      <c r="H366" s="100">
        <v>1</v>
      </c>
      <c r="I366" s="106"/>
      <c r="J366" s="100"/>
      <c r="K366" s="65" t="s">
        <v>400</v>
      </c>
      <c r="AS366" s="66"/>
      <c r="AT366" s="65"/>
      <c r="CB366" s="66"/>
      <c r="CC366" s="62"/>
    </row>
    <row r="367" spans="2:81" s="41" customFormat="1" ht="13.5" customHeight="1">
      <c r="B367" s="52" t="str">
        <f>IF(F367&lt;&gt;"",SUBTOTAL(3,$F$5:F367),"")</f>
        <v/>
      </c>
      <c r="C367" s="63"/>
      <c r="D367" s="64"/>
      <c r="E367" s="64"/>
      <c r="F367" s="62"/>
      <c r="G367" s="106"/>
      <c r="H367" s="100"/>
      <c r="I367" s="106"/>
      <c r="J367" s="101"/>
      <c r="K367" s="65"/>
      <c r="AS367" s="66"/>
      <c r="AT367" s="65"/>
      <c r="CB367" s="66"/>
      <c r="CC367" s="62"/>
    </row>
    <row r="368" spans="2:81" s="41" customFormat="1" ht="13.5" customHeight="1">
      <c r="B368" s="121">
        <f>IF(F368&lt;&gt;"",SUBTOTAL(3,$F$5:F368),"")</f>
        <v>84</v>
      </c>
      <c r="C368" s="121"/>
      <c r="D368" s="122" t="s">
        <v>138</v>
      </c>
      <c r="E368" s="122" t="s">
        <v>134</v>
      </c>
      <c r="F368" s="123" t="s">
        <v>197</v>
      </c>
      <c r="G368" s="118">
        <v>43989</v>
      </c>
      <c r="H368" s="117">
        <v>0.5</v>
      </c>
      <c r="I368" s="118"/>
      <c r="J368" s="117"/>
      <c r="K368" s="65" t="s">
        <v>526</v>
      </c>
      <c r="AS368" s="66"/>
      <c r="AT368" s="65"/>
      <c r="CB368" s="66"/>
      <c r="CC368" s="62"/>
    </row>
    <row r="369" spans="2:81" s="41" customFormat="1" ht="13.5" customHeight="1">
      <c r="B369" s="113" t="str">
        <f>IF(F369&lt;&gt;"",SUBTOTAL(3,$F$5:F369),"")</f>
        <v/>
      </c>
      <c r="C369" s="121"/>
      <c r="D369" s="122"/>
      <c r="E369" s="122"/>
      <c r="F369" s="123"/>
      <c r="G369" s="118"/>
      <c r="H369" s="117"/>
      <c r="I369" s="118"/>
      <c r="J369" s="111"/>
      <c r="K369" s="65" t="s">
        <v>527</v>
      </c>
      <c r="L369" s="83"/>
      <c r="AS369" s="66"/>
      <c r="AT369" s="65"/>
      <c r="CB369" s="66"/>
      <c r="CC369" s="62"/>
    </row>
    <row r="370" spans="2:81" s="41" customFormat="1" ht="13.5" customHeight="1">
      <c r="B370" s="113" t="str">
        <f>IF(F370&lt;&gt;"",SUBTOTAL(3,$F$5:F370),"")</f>
        <v/>
      </c>
      <c r="C370" s="121"/>
      <c r="D370" s="122"/>
      <c r="E370" s="122"/>
      <c r="F370" s="123"/>
      <c r="G370" s="118"/>
      <c r="H370" s="117"/>
      <c r="I370" s="118"/>
      <c r="J370" s="111"/>
      <c r="K370" s="65" t="s">
        <v>528</v>
      </c>
      <c r="AS370" s="66"/>
      <c r="AT370" s="65"/>
      <c r="CB370" s="66"/>
      <c r="CC370" s="62"/>
    </row>
    <row r="371" spans="2:81" s="41" customFormat="1" ht="13.5" customHeight="1">
      <c r="B371" s="113" t="str">
        <f>IF(F371&lt;&gt;"",SUBTOTAL(3,$F$5:F371),"")</f>
        <v/>
      </c>
      <c r="C371" s="121"/>
      <c r="D371" s="122"/>
      <c r="E371" s="122"/>
      <c r="F371" s="123"/>
      <c r="G371" s="118"/>
      <c r="H371" s="117"/>
      <c r="I371" s="118"/>
      <c r="J371" s="111"/>
      <c r="K371" s="65" t="s">
        <v>401</v>
      </c>
      <c r="L371" s="83"/>
      <c r="AS371" s="66"/>
      <c r="AT371" s="65"/>
      <c r="CB371" s="66"/>
      <c r="CC371" s="62"/>
    </row>
    <row r="372" spans="2:81" s="41" customFormat="1" ht="13.5" customHeight="1">
      <c r="B372" s="113" t="str">
        <f>IF(F372&lt;&gt;"",SUBTOTAL(3,$F$5:F372),"")</f>
        <v/>
      </c>
      <c r="C372" s="121"/>
      <c r="D372" s="122"/>
      <c r="E372" s="122"/>
      <c r="F372" s="123"/>
      <c r="G372" s="118"/>
      <c r="H372" s="117"/>
      <c r="I372" s="118"/>
      <c r="J372" s="111"/>
      <c r="K372" s="65"/>
      <c r="L372" s="83"/>
      <c r="AS372" s="66"/>
      <c r="AT372" s="65"/>
      <c r="CB372" s="66"/>
      <c r="CC372" s="62"/>
    </row>
    <row r="373" spans="2:81" s="41" customFormat="1" ht="13.5" customHeight="1">
      <c r="B373" s="63">
        <f>IF(F373&lt;&gt;"",SUBTOTAL(3,$F$5:F373),"")</f>
        <v>85</v>
      </c>
      <c r="C373" s="63"/>
      <c r="D373" s="64" t="s">
        <v>138</v>
      </c>
      <c r="E373" s="64" t="s">
        <v>134</v>
      </c>
      <c r="F373" s="62" t="s">
        <v>198</v>
      </c>
      <c r="G373" s="106">
        <v>43991</v>
      </c>
      <c r="H373" s="100">
        <v>1</v>
      </c>
      <c r="I373" s="106"/>
      <c r="J373" s="100"/>
      <c r="K373" s="65" t="s">
        <v>402</v>
      </c>
      <c r="AS373" s="66"/>
      <c r="AT373" s="65"/>
      <c r="CB373" s="66"/>
      <c r="CC373" s="62"/>
    </row>
    <row r="374" spans="2:81" s="41" customFormat="1" ht="13.5" customHeight="1">
      <c r="B374" s="52" t="str">
        <f>IF(F374&lt;&gt;"",SUBTOTAL(3,$F$5:F374),"")</f>
        <v/>
      </c>
      <c r="C374" s="63"/>
      <c r="D374" s="64"/>
      <c r="E374" s="64"/>
      <c r="F374" s="62"/>
      <c r="G374" s="106"/>
      <c r="H374" s="100"/>
      <c r="I374" s="106"/>
      <c r="J374" s="101"/>
      <c r="K374" s="65" t="s">
        <v>403</v>
      </c>
      <c r="AS374" s="66"/>
      <c r="AT374" s="65"/>
      <c r="CB374" s="66"/>
      <c r="CC374" s="62"/>
    </row>
    <row r="375" spans="2:81" s="41" customFormat="1" ht="13.5" customHeight="1">
      <c r="B375" s="52" t="str">
        <f>IF(F375&lt;&gt;"",SUBTOTAL(3,$F$5:F375),"")</f>
        <v/>
      </c>
      <c r="C375" s="63"/>
      <c r="D375" s="64"/>
      <c r="E375" s="64"/>
      <c r="F375" s="62"/>
      <c r="G375" s="106"/>
      <c r="H375" s="100"/>
      <c r="I375" s="106"/>
      <c r="J375" s="101"/>
      <c r="K375" s="65" t="s">
        <v>404</v>
      </c>
      <c r="AS375" s="66"/>
      <c r="AT375" s="65"/>
      <c r="CB375" s="66"/>
      <c r="CC375" s="62"/>
    </row>
    <row r="376" spans="2:81" s="41" customFormat="1" ht="13.5" customHeight="1">
      <c r="B376" s="52" t="str">
        <f>IF(F376&lt;&gt;"",SUBTOTAL(3,$F$5:F376),"")</f>
        <v/>
      </c>
      <c r="C376" s="63"/>
      <c r="D376" s="64"/>
      <c r="E376" s="64"/>
      <c r="F376" s="62"/>
      <c r="G376" s="106"/>
      <c r="H376" s="100"/>
      <c r="I376" s="106"/>
      <c r="J376" s="101"/>
      <c r="K376" s="65" t="s">
        <v>405</v>
      </c>
      <c r="AS376" s="66"/>
      <c r="AT376" s="65"/>
      <c r="CB376" s="66"/>
      <c r="CC376" s="62"/>
    </row>
    <row r="377" spans="2:81" s="41" customFormat="1" ht="13.5" customHeight="1">
      <c r="B377" s="52" t="str">
        <f>IF(F377&lt;&gt;"",SUBTOTAL(3,$F$5:F377),"")</f>
        <v/>
      </c>
      <c r="C377" s="63"/>
      <c r="D377" s="64"/>
      <c r="E377" s="64"/>
      <c r="F377" s="62"/>
      <c r="G377" s="106"/>
      <c r="H377" s="100"/>
      <c r="I377" s="106"/>
      <c r="J377" s="101"/>
      <c r="K377" s="65"/>
      <c r="AS377" s="66"/>
      <c r="AT377" s="65"/>
      <c r="CB377" s="66"/>
      <c r="CC377" s="62"/>
    </row>
    <row r="378" spans="2:81" s="41" customFormat="1" ht="13.5" customHeight="1">
      <c r="B378" s="63">
        <f>IF(F378&lt;&gt;"",SUBTOTAL(3,$F$5:F378),"")</f>
        <v>86</v>
      </c>
      <c r="C378" s="63"/>
      <c r="D378" s="64" t="s">
        <v>138</v>
      </c>
      <c r="E378" s="64" t="s">
        <v>134</v>
      </c>
      <c r="F378" s="62" t="s">
        <v>199</v>
      </c>
      <c r="G378" s="106">
        <v>43991</v>
      </c>
      <c r="H378" s="100">
        <v>1</v>
      </c>
      <c r="I378" s="106"/>
      <c r="J378" s="100"/>
      <c r="K378" s="65" t="s">
        <v>606</v>
      </c>
      <c r="AS378" s="66"/>
      <c r="AT378" s="65"/>
      <c r="CB378" s="66"/>
      <c r="CC378" s="62"/>
    </row>
    <row r="379" spans="2:81" s="41" customFormat="1" ht="13.5" customHeight="1">
      <c r="B379" s="52" t="str">
        <f>IF(F379&lt;&gt;"",SUBTOTAL(3,$F$5:F379),"")</f>
        <v/>
      </c>
      <c r="C379" s="63"/>
      <c r="D379" s="64"/>
      <c r="E379" s="64"/>
      <c r="F379" s="62"/>
      <c r="G379" s="106"/>
      <c r="H379" s="100"/>
      <c r="I379" s="106"/>
      <c r="J379" s="101"/>
      <c r="K379" s="65" t="s">
        <v>609</v>
      </c>
      <c r="AS379" s="66"/>
      <c r="AT379" s="65"/>
      <c r="CB379" s="66"/>
      <c r="CC379" s="62"/>
    </row>
    <row r="380" spans="2:81" s="41" customFormat="1" ht="13.5" customHeight="1">
      <c r="B380" s="52" t="str">
        <f>IF(F380&lt;&gt;"",SUBTOTAL(3,$F$5:F380),"")</f>
        <v/>
      </c>
      <c r="C380" s="63"/>
      <c r="D380" s="64"/>
      <c r="E380" s="64"/>
      <c r="F380" s="62"/>
      <c r="G380" s="106"/>
      <c r="H380" s="100"/>
      <c r="I380" s="106"/>
      <c r="J380" s="101"/>
      <c r="K380" s="65" t="s">
        <v>607</v>
      </c>
      <c r="AS380" s="66"/>
      <c r="AT380" s="65"/>
      <c r="CB380" s="66"/>
      <c r="CC380" s="62"/>
    </row>
    <row r="381" spans="2:81" s="41" customFormat="1" ht="13.5" customHeight="1">
      <c r="B381" s="52" t="str">
        <f>IF(F381&lt;&gt;"",SUBTOTAL(3,$F$5:F381),"")</f>
        <v/>
      </c>
      <c r="C381" s="63"/>
      <c r="D381" s="64"/>
      <c r="E381" s="64"/>
      <c r="F381" s="62"/>
      <c r="G381" s="106"/>
      <c r="H381" s="100"/>
      <c r="I381" s="106"/>
      <c r="J381" s="101"/>
      <c r="K381" s="65" t="s">
        <v>610</v>
      </c>
      <c r="AS381" s="66"/>
      <c r="AT381" s="65"/>
      <c r="CB381" s="66"/>
      <c r="CC381" s="62"/>
    </row>
    <row r="382" spans="2:81" s="41" customFormat="1" ht="13.5" customHeight="1">
      <c r="B382" s="52" t="str">
        <f>IF(F382&lt;&gt;"",SUBTOTAL(3,$F$5:F382),"")</f>
        <v/>
      </c>
      <c r="C382" s="63"/>
      <c r="D382" s="64"/>
      <c r="E382" s="64"/>
      <c r="F382" s="62"/>
      <c r="G382" s="106"/>
      <c r="H382" s="100"/>
      <c r="I382" s="106"/>
      <c r="J382" s="101"/>
      <c r="K382" s="65" t="s">
        <v>608</v>
      </c>
      <c r="AS382" s="66"/>
      <c r="AT382" s="65"/>
      <c r="CB382" s="66"/>
      <c r="CC382" s="62"/>
    </row>
    <row r="383" spans="2:81" s="41" customFormat="1" ht="13.5" customHeight="1">
      <c r="B383" s="52" t="str">
        <f>IF(F383&lt;&gt;"",SUBTOTAL(3,$F$5:F383),"")</f>
        <v/>
      </c>
      <c r="C383" s="63"/>
      <c r="D383" s="64"/>
      <c r="E383" s="64"/>
      <c r="F383" s="62"/>
      <c r="G383" s="106"/>
      <c r="H383" s="100"/>
      <c r="I383" s="106"/>
      <c r="J383" s="101"/>
      <c r="K383" s="65"/>
      <c r="AS383" s="66"/>
      <c r="AT383" s="65"/>
      <c r="CB383" s="66"/>
      <c r="CC383" s="62"/>
    </row>
    <row r="384" spans="2:81" s="41" customFormat="1" ht="13.5" customHeight="1">
      <c r="B384" s="52" t="str">
        <f>IF(F384&lt;&gt;"",SUBTOTAL(3,$F$5:F384),"")</f>
        <v/>
      </c>
      <c r="C384" s="63"/>
      <c r="D384" s="64"/>
      <c r="E384" s="64"/>
      <c r="F384" s="62"/>
      <c r="G384" s="106"/>
      <c r="H384" s="100"/>
      <c r="I384" s="106"/>
      <c r="J384" s="101"/>
      <c r="K384" s="65"/>
      <c r="AS384" s="66"/>
      <c r="AT384" s="65"/>
      <c r="CB384" s="66"/>
      <c r="CC384" s="62"/>
    </row>
    <row r="385" spans="2:81" s="41" customFormat="1" ht="13.5" customHeight="1">
      <c r="B385" s="121">
        <f>IF(F385&lt;&gt;"",SUBTOTAL(3,$F$5:F385),"")</f>
        <v>87</v>
      </c>
      <c r="C385" s="121"/>
      <c r="D385" s="122" t="s">
        <v>138</v>
      </c>
      <c r="E385" s="122" t="s">
        <v>134</v>
      </c>
      <c r="F385" s="123" t="s">
        <v>406</v>
      </c>
      <c r="G385" s="118">
        <v>43992</v>
      </c>
      <c r="H385" s="117">
        <v>0.8</v>
      </c>
      <c r="I385" s="118"/>
      <c r="J385" s="117"/>
      <c r="K385" s="65" t="s">
        <v>408</v>
      </c>
      <c r="AS385" s="66"/>
      <c r="AT385" s="65"/>
      <c r="CB385" s="66"/>
      <c r="CC385" s="62"/>
    </row>
    <row r="386" spans="2:81" s="41" customFormat="1" ht="13.5" customHeight="1">
      <c r="B386" s="113" t="str">
        <f>IF(F386&lt;&gt;"",SUBTOTAL(3,$F$5:F386),"")</f>
        <v/>
      </c>
      <c r="C386" s="121"/>
      <c r="D386" s="122"/>
      <c r="E386" s="122"/>
      <c r="F386" s="123"/>
      <c r="G386" s="118"/>
      <c r="H386" s="117"/>
      <c r="I386" s="118"/>
      <c r="J386" s="111"/>
      <c r="K386" s="65" t="s">
        <v>407</v>
      </c>
      <c r="AS386" s="66"/>
      <c r="AT386" s="65"/>
      <c r="CB386" s="66"/>
      <c r="CC386" s="62"/>
    </row>
    <row r="387" spans="2:81" s="41" customFormat="1" ht="13.5" customHeight="1">
      <c r="B387" s="113" t="str">
        <f>IF(F387&lt;&gt;"",SUBTOTAL(3,$F$5:F387),"")</f>
        <v/>
      </c>
      <c r="C387" s="121"/>
      <c r="D387" s="122"/>
      <c r="E387" s="122"/>
      <c r="F387" s="123"/>
      <c r="G387" s="118"/>
      <c r="H387" s="117"/>
      <c r="I387" s="118"/>
      <c r="J387" s="111"/>
      <c r="K387" s="65" t="s">
        <v>409</v>
      </c>
      <c r="AS387" s="66"/>
      <c r="AT387" s="65"/>
      <c r="CB387" s="66"/>
      <c r="CC387" s="62"/>
    </row>
    <row r="388" spans="2:81" s="41" customFormat="1" ht="13.5" customHeight="1">
      <c r="B388" s="113" t="str">
        <f>IF(F388&lt;&gt;"",SUBTOTAL(3,$F$5:F388),"")</f>
        <v/>
      </c>
      <c r="C388" s="121"/>
      <c r="D388" s="122"/>
      <c r="E388" s="122"/>
      <c r="F388" s="123"/>
      <c r="G388" s="118"/>
      <c r="H388" s="117"/>
      <c r="I388" s="118"/>
      <c r="J388" s="111"/>
      <c r="K388" s="65"/>
      <c r="AS388" s="66"/>
      <c r="AT388" s="65"/>
      <c r="CB388" s="66"/>
      <c r="CC388" s="62"/>
    </row>
    <row r="389" spans="2:81" s="41" customFormat="1">
      <c r="B389" s="121">
        <f>IF(F389&lt;&gt;"",SUBTOTAL(3,$F$5:F389),"")</f>
        <v>88</v>
      </c>
      <c r="C389" s="121"/>
      <c r="D389" s="122" t="s">
        <v>138</v>
      </c>
      <c r="E389" s="122" t="s">
        <v>134</v>
      </c>
      <c r="F389" s="123" t="s">
        <v>200</v>
      </c>
      <c r="G389" s="118">
        <v>43994</v>
      </c>
      <c r="H389" s="117">
        <v>0.8</v>
      </c>
      <c r="I389" s="118"/>
      <c r="J389" s="117"/>
      <c r="K389" s="65" t="s">
        <v>298</v>
      </c>
      <c r="AS389" s="66"/>
      <c r="AT389" s="65"/>
      <c r="CB389" s="66"/>
      <c r="CC389" s="62"/>
    </row>
    <row r="390" spans="2:81" s="41" customFormat="1">
      <c r="B390" s="121" t="str">
        <f>IF(F390&lt;&gt;"",SUBTOTAL(3,$F$5:F390),"")</f>
        <v/>
      </c>
      <c r="C390" s="121"/>
      <c r="D390" s="122"/>
      <c r="E390" s="122"/>
      <c r="F390" s="123"/>
      <c r="G390" s="118"/>
      <c r="H390" s="117"/>
      <c r="I390" s="118"/>
      <c r="J390" s="111"/>
      <c r="K390" s="65" t="s">
        <v>299</v>
      </c>
      <c r="AS390" s="66"/>
      <c r="AT390" s="65"/>
      <c r="CB390" s="66"/>
      <c r="CC390" s="62"/>
    </row>
    <row r="391" spans="2:81" s="41" customFormat="1">
      <c r="B391" s="121" t="str">
        <f>IF(F391&lt;&gt;"",SUBTOTAL(3,$F$5:F391),"")</f>
        <v/>
      </c>
      <c r="C391" s="121"/>
      <c r="D391" s="122"/>
      <c r="E391" s="122"/>
      <c r="F391" s="123"/>
      <c r="G391" s="118"/>
      <c r="H391" s="117"/>
      <c r="I391" s="118"/>
      <c r="J391" s="111"/>
      <c r="K391" s="65" t="s">
        <v>300</v>
      </c>
      <c r="AS391" s="66"/>
      <c r="AT391" s="65"/>
      <c r="CB391" s="66"/>
      <c r="CC391" s="62"/>
    </row>
    <row r="392" spans="2:81" s="41" customFormat="1">
      <c r="B392" s="121" t="str">
        <f>IF(F392&lt;&gt;"",SUBTOTAL(3,$F$5:F392),"")</f>
        <v/>
      </c>
      <c r="C392" s="121"/>
      <c r="D392" s="122"/>
      <c r="E392" s="122"/>
      <c r="F392" s="123"/>
      <c r="G392" s="118"/>
      <c r="H392" s="117"/>
      <c r="I392" s="118"/>
      <c r="J392" s="111"/>
      <c r="K392" s="65" t="s">
        <v>301</v>
      </c>
      <c r="AS392" s="66"/>
      <c r="AT392" s="65"/>
      <c r="CB392" s="66"/>
      <c r="CC392" s="62"/>
    </row>
    <row r="393" spans="2:81" s="41" customFormat="1">
      <c r="B393" s="121" t="str">
        <f>IF(F393&lt;&gt;"",SUBTOTAL(3,$F$5:F393),"")</f>
        <v/>
      </c>
      <c r="C393" s="121"/>
      <c r="D393" s="122"/>
      <c r="E393" s="122"/>
      <c r="F393" s="123"/>
      <c r="G393" s="118"/>
      <c r="H393" s="117"/>
      <c r="I393" s="118"/>
      <c r="J393" s="111"/>
      <c r="K393" s="65" t="s">
        <v>302</v>
      </c>
      <c r="AS393" s="66"/>
      <c r="AT393" s="65"/>
      <c r="CB393" s="66"/>
      <c r="CC393" s="62"/>
    </row>
    <row r="394" spans="2:81" s="41" customFormat="1">
      <c r="B394" s="121" t="str">
        <f>IF(F394&lt;&gt;"",SUBTOTAL(3,$F$5:F394),"")</f>
        <v/>
      </c>
      <c r="C394" s="121"/>
      <c r="D394" s="122"/>
      <c r="E394" s="122"/>
      <c r="F394" s="123"/>
      <c r="G394" s="118"/>
      <c r="H394" s="117"/>
      <c r="I394" s="118"/>
      <c r="J394" s="111"/>
      <c r="K394" s="65" t="s">
        <v>303</v>
      </c>
      <c r="AS394" s="66"/>
      <c r="AT394" s="65"/>
      <c r="CB394" s="66"/>
      <c r="CC394" s="62"/>
    </row>
    <row r="395" spans="2:81" s="41" customFormat="1">
      <c r="B395" s="121" t="str">
        <f>IF(F395&lt;&gt;"",SUBTOTAL(3,$F$5:F395),"")</f>
        <v/>
      </c>
      <c r="C395" s="121"/>
      <c r="D395" s="122"/>
      <c r="E395" s="122"/>
      <c r="F395" s="123"/>
      <c r="G395" s="118"/>
      <c r="H395" s="117"/>
      <c r="I395" s="118"/>
      <c r="J395" s="111"/>
      <c r="K395" s="65" t="s">
        <v>304</v>
      </c>
      <c r="AS395" s="66"/>
      <c r="AT395" s="65"/>
      <c r="CB395" s="66"/>
      <c r="CC395" s="62"/>
    </row>
    <row r="396" spans="2:81" s="41" customFormat="1">
      <c r="B396" s="121" t="str">
        <f>IF(F396&lt;&gt;"",SUBTOTAL(3,$F$5:F396),"")</f>
        <v/>
      </c>
      <c r="C396" s="121"/>
      <c r="D396" s="122"/>
      <c r="E396" s="122"/>
      <c r="F396" s="123"/>
      <c r="G396" s="118"/>
      <c r="H396" s="117"/>
      <c r="I396" s="118"/>
      <c r="J396" s="111"/>
      <c r="K396" s="90" t="str">
        <f>HYPERLINK("C:\Users\roshi_000.000\MyImp\MyOwn\Develop\C++\At_Coder\◆C++_Language解説◆.xlsm#'C++ Language解説'!浮動小数点の誤差","◆C++_Languge解説◆.xlsm#'C++ Language解説'!浮動小数点の誤差")</f>
        <v>◆C++_Languge解説◆.xlsm#'C++ Language解説'!浮動小数点の誤差</v>
      </c>
      <c r="AS396" s="66"/>
      <c r="AT396" s="65"/>
      <c r="CB396" s="66"/>
      <c r="CC396" s="62"/>
    </row>
    <row r="397" spans="2:81" s="41" customFormat="1">
      <c r="B397" s="121" t="str">
        <f>IF(F397&lt;&gt;"",SUBTOTAL(3,$F$5:F397),"")</f>
        <v/>
      </c>
      <c r="C397" s="121"/>
      <c r="D397" s="122"/>
      <c r="E397" s="122"/>
      <c r="F397" s="123"/>
      <c r="G397" s="118"/>
      <c r="H397" s="117"/>
      <c r="I397" s="118"/>
      <c r="J397" s="111"/>
      <c r="K397" s="36"/>
      <c r="L397" s="37"/>
      <c r="M397" s="37"/>
      <c r="N397" s="37"/>
      <c r="O397" s="37"/>
      <c r="P397" s="37"/>
      <c r="Q397" s="37"/>
      <c r="R397" s="37"/>
      <c r="S397" s="37"/>
      <c r="T397" s="37"/>
      <c r="U397" s="37"/>
      <c r="V397" s="37"/>
      <c r="W397" s="37"/>
      <c r="X397" s="37"/>
      <c r="Y397" s="37"/>
      <c r="Z397" s="37"/>
      <c r="AA397" s="37"/>
      <c r="AB397" s="37"/>
      <c r="AC397" s="37"/>
      <c r="AD397" s="37"/>
      <c r="AE397" s="37"/>
      <c r="AF397" s="37"/>
      <c r="AG397" s="37"/>
      <c r="AH397" s="37"/>
      <c r="AI397" s="37"/>
      <c r="AJ397" s="37"/>
      <c r="AK397" s="37"/>
      <c r="AL397" s="37"/>
      <c r="AM397" s="37"/>
      <c r="AN397" s="37"/>
      <c r="AO397" s="37"/>
      <c r="AP397" s="37"/>
      <c r="AQ397" s="37"/>
      <c r="AR397" s="37"/>
      <c r="AS397" s="38"/>
      <c r="AT397" s="65"/>
      <c r="CB397" s="66"/>
      <c r="CC397" s="62"/>
    </row>
    <row r="398" spans="2:81" s="41" customFormat="1" ht="13.5" customHeight="1">
      <c r="B398" s="63">
        <f>IF(F398&lt;&gt;"",SUBTOTAL(3,$F$5:F398),"")</f>
        <v>89</v>
      </c>
      <c r="C398" s="63"/>
      <c r="D398" s="64" t="s">
        <v>138</v>
      </c>
      <c r="E398" s="64" t="s">
        <v>134</v>
      </c>
      <c r="F398" s="62" t="s">
        <v>201</v>
      </c>
      <c r="G398" s="106">
        <v>43995</v>
      </c>
      <c r="H398" s="100">
        <v>1</v>
      </c>
      <c r="I398" s="106"/>
      <c r="J398" s="100"/>
      <c r="K398" s="65" t="s">
        <v>449</v>
      </c>
      <c r="AS398" s="66"/>
      <c r="AT398" s="65"/>
      <c r="CB398" s="66"/>
      <c r="CC398" s="62"/>
    </row>
    <row r="399" spans="2:81" s="41" customFormat="1" ht="13.5" customHeight="1">
      <c r="B399" s="52" t="str">
        <f>IF(F399&lt;&gt;"",SUBTOTAL(3,$F$5:F399),"")</f>
        <v/>
      </c>
      <c r="C399" s="63"/>
      <c r="D399" s="64"/>
      <c r="E399" s="64"/>
      <c r="F399" s="62"/>
      <c r="G399" s="106"/>
      <c r="H399" s="100"/>
      <c r="I399" s="106"/>
      <c r="J399" s="101"/>
      <c r="K399" s="65" t="s">
        <v>450</v>
      </c>
      <c r="AS399" s="66"/>
      <c r="AT399" s="65"/>
      <c r="CB399" s="66"/>
      <c r="CC399" s="62"/>
    </row>
    <row r="400" spans="2:81" s="41" customFormat="1" ht="13.5" customHeight="1">
      <c r="B400" s="52" t="str">
        <f>IF(F400&lt;&gt;"",SUBTOTAL(3,$F$5:F400),"")</f>
        <v/>
      </c>
      <c r="C400" s="63"/>
      <c r="D400" s="64"/>
      <c r="E400" s="64"/>
      <c r="F400" s="62"/>
      <c r="G400" s="106"/>
      <c r="H400" s="100"/>
      <c r="I400" s="106"/>
      <c r="J400" s="101"/>
      <c r="K400" s="65" t="s">
        <v>451</v>
      </c>
      <c r="AS400" s="66"/>
      <c r="AT400" s="65"/>
      <c r="CB400" s="66"/>
      <c r="CC400" s="62"/>
    </row>
    <row r="401" spans="2:81" s="41" customFormat="1" ht="13.5" customHeight="1">
      <c r="B401" s="52" t="str">
        <f>IF(F401&lt;&gt;"",SUBTOTAL(3,$F$5:F401),"")</f>
        <v/>
      </c>
      <c r="C401" s="63"/>
      <c r="D401" s="64"/>
      <c r="E401" s="64"/>
      <c r="F401" s="62"/>
      <c r="G401" s="106"/>
      <c r="H401" s="100"/>
      <c r="I401" s="106"/>
      <c r="J401" s="101"/>
      <c r="K401" s="65"/>
      <c r="AS401" s="66"/>
      <c r="AT401" s="65"/>
      <c r="CB401" s="66"/>
      <c r="CC401" s="62"/>
    </row>
    <row r="402" spans="2:81" s="41" customFormat="1" ht="28.5">
      <c r="B402" s="63">
        <f>IF(F402&lt;&gt;"",SUBTOTAL(3,$F$5:F402),"")</f>
        <v>90</v>
      </c>
      <c r="C402" s="63"/>
      <c r="D402" s="64" t="s">
        <v>138</v>
      </c>
      <c r="E402" s="64" t="s">
        <v>134</v>
      </c>
      <c r="F402" s="62" t="s">
        <v>202</v>
      </c>
      <c r="G402" s="106">
        <v>43997</v>
      </c>
      <c r="H402" s="100">
        <v>1</v>
      </c>
      <c r="I402" s="106"/>
      <c r="J402" s="100"/>
      <c r="K402" s="65" t="s">
        <v>355</v>
      </c>
      <c r="AS402" s="66"/>
      <c r="AT402" s="65" t="s">
        <v>306</v>
      </c>
      <c r="CB402" s="66"/>
      <c r="CC402" s="62"/>
    </row>
    <row r="403" spans="2:81" s="41" customFormat="1">
      <c r="B403" s="63" t="str">
        <f>IF(F403&lt;&gt;"",SUBTOTAL(3,$F$5:F403),"")</f>
        <v/>
      </c>
      <c r="C403" s="63"/>
      <c r="D403" s="64"/>
      <c r="E403" s="64"/>
      <c r="F403" s="62"/>
      <c r="G403" s="106"/>
      <c r="H403" s="100"/>
      <c r="I403" s="106"/>
      <c r="J403" s="101"/>
      <c r="K403" s="65" t="s">
        <v>354</v>
      </c>
      <c r="AS403" s="66"/>
      <c r="AT403" s="65" t="s">
        <v>356</v>
      </c>
      <c r="CB403" s="66"/>
      <c r="CC403" s="62"/>
    </row>
    <row r="404" spans="2:81" s="41" customFormat="1">
      <c r="B404" s="63" t="str">
        <f>IF(F404&lt;&gt;"",SUBTOTAL(3,$F$5:F404),"")</f>
        <v/>
      </c>
      <c r="C404" s="63"/>
      <c r="D404" s="64"/>
      <c r="E404" s="64"/>
      <c r="F404" s="62"/>
      <c r="G404" s="106"/>
      <c r="H404" s="100"/>
      <c r="I404" s="106"/>
      <c r="J404" s="101"/>
      <c r="K404" s="65" t="s">
        <v>305</v>
      </c>
      <c r="AS404" s="66"/>
      <c r="AT404" s="65" t="s">
        <v>357</v>
      </c>
      <c r="CB404" s="66"/>
      <c r="CC404" s="62"/>
    </row>
    <row r="405" spans="2:81" s="41" customFormat="1" ht="13.5" customHeight="1">
      <c r="B405" s="121">
        <f>IF(F405&lt;&gt;"",SUBTOTAL(3,$F$5:F405),"")</f>
        <v>91</v>
      </c>
      <c r="C405" s="121"/>
      <c r="D405" s="122" t="s">
        <v>138</v>
      </c>
      <c r="E405" s="122" t="s">
        <v>134</v>
      </c>
      <c r="F405" s="123" t="s">
        <v>203</v>
      </c>
      <c r="G405" s="118">
        <v>44004</v>
      </c>
      <c r="H405" s="117">
        <v>0.5</v>
      </c>
      <c r="I405" s="118"/>
      <c r="J405" s="117"/>
      <c r="K405" s="65" t="s">
        <v>438</v>
      </c>
      <c r="AS405" s="66"/>
      <c r="AT405" s="65"/>
      <c r="CB405" s="66"/>
      <c r="CC405" s="62"/>
    </row>
    <row r="406" spans="2:81" s="41" customFormat="1" ht="13.5" customHeight="1">
      <c r="B406" s="113" t="str">
        <f>IF(F406&lt;&gt;"",SUBTOTAL(3,$F$5:F406),"")</f>
        <v/>
      </c>
      <c r="C406" s="121"/>
      <c r="D406" s="122"/>
      <c r="E406" s="122"/>
      <c r="F406" s="123"/>
      <c r="G406" s="118"/>
      <c r="H406" s="117"/>
      <c r="I406" s="118"/>
      <c r="J406" s="111"/>
      <c r="K406" s="65" t="s">
        <v>439</v>
      </c>
      <c r="AS406" s="66"/>
      <c r="AT406" s="65"/>
      <c r="CB406" s="66"/>
      <c r="CC406" s="62"/>
    </row>
    <row r="407" spans="2:81" s="41" customFormat="1" ht="13.5" customHeight="1">
      <c r="B407" s="113" t="str">
        <f>IF(F407&lt;&gt;"",SUBTOTAL(3,$F$5:F407),"")</f>
        <v/>
      </c>
      <c r="C407" s="121"/>
      <c r="D407" s="122"/>
      <c r="E407" s="122"/>
      <c r="F407" s="123"/>
      <c r="G407" s="118"/>
      <c r="H407" s="117"/>
      <c r="I407" s="118"/>
      <c r="J407" s="111"/>
      <c r="K407" s="65" t="s">
        <v>436</v>
      </c>
      <c r="AS407" s="66"/>
      <c r="AT407" s="65"/>
      <c r="CB407" s="66"/>
      <c r="CC407" s="62"/>
    </row>
    <row r="408" spans="2:81" s="41" customFormat="1" ht="13.5" customHeight="1">
      <c r="B408" s="113" t="str">
        <f>IF(F408&lt;&gt;"",SUBTOTAL(3,$F$5:F408),"")</f>
        <v/>
      </c>
      <c r="C408" s="121"/>
      <c r="D408" s="122"/>
      <c r="E408" s="122"/>
      <c r="F408" s="123"/>
      <c r="G408" s="118"/>
      <c r="H408" s="117"/>
      <c r="I408" s="118"/>
      <c r="J408" s="111"/>
      <c r="K408" s="65"/>
      <c r="AS408" s="66"/>
      <c r="AT408" s="65"/>
      <c r="CB408" s="66"/>
      <c r="CC408" s="62"/>
    </row>
    <row r="409" spans="2:81" s="41" customFormat="1" ht="13.5" customHeight="1">
      <c r="B409" s="113" t="str">
        <f>IF(F409&lt;&gt;"",SUBTOTAL(3,$F$5:F409),"")</f>
        <v/>
      </c>
      <c r="C409" s="121"/>
      <c r="D409" s="122"/>
      <c r="E409" s="122"/>
      <c r="F409" s="123"/>
      <c r="G409" s="118"/>
      <c r="H409" s="117"/>
      <c r="I409" s="118"/>
      <c r="J409" s="111"/>
      <c r="K409" s="65" t="s">
        <v>445</v>
      </c>
      <c r="AS409" s="66"/>
      <c r="AT409" s="65"/>
      <c r="CB409" s="66"/>
      <c r="CC409" s="62"/>
    </row>
    <row r="410" spans="2:81" s="41" customFormat="1" ht="13.5" customHeight="1">
      <c r="B410" s="113" t="str">
        <f>IF(F410&lt;&gt;"",SUBTOTAL(3,$F$5:F410),"")</f>
        <v/>
      </c>
      <c r="C410" s="121"/>
      <c r="D410" s="122"/>
      <c r="E410" s="122"/>
      <c r="F410" s="123"/>
      <c r="G410" s="118"/>
      <c r="H410" s="117"/>
      <c r="I410" s="118"/>
      <c r="J410" s="111"/>
      <c r="K410" s="65" t="s">
        <v>446</v>
      </c>
      <c r="AS410" s="66"/>
      <c r="AT410" s="65"/>
      <c r="CB410" s="66"/>
      <c r="CC410" s="62"/>
    </row>
    <row r="411" spans="2:81" s="41" customFormat="1" ht="13.5" customHeight="1">
      <c r="B411" s="113" t="str">
        <f>IF(F411&lt;&gt;"",SUBTOTAL(3,$F$5:F411),"")</f>
        <v/>
      </c>
      <c r="C411" s="121"/>
      <c r="D411" s="122"/>
      <c r="E411" s="122"/>
      <c r="F411" s="123"/>
      <c r="G411" s="118"/>
      <c r="H411" s="117"/>
      <c r="I411" s="118"/>
      <c r="J411" s="111"/>
      <c r="K411" s="65" t="s">
        <v>442</v>
      </c>
      <c r="AS411" s="66"/>
      <c r="AT411" s="65"/>
      <c r="CB411" s="66"/>
      <c r="CC411" s="62"/>
    </row>
    <row r="412" spans="2:81" s="41" customFormat="1" ht="13.5" customHeight="1">
      <c r="B412" s="113" t="str">
        <f>IF(F412&lt;&gt;"",SUBTOTAL(3,$F$5:F412),"")</f>
        <v/>
      </c>
      <c r="C412" s="121"/>
      <c r="D412" s="122"/>
      <c r="E412" s="122"/>
      <c r="F412" s="123"/>
      <c r="G412" s="118"/>
      <c r="H412" s="117"/>
      <c r="I412" s="118"/>
      <c r="J412" s="111"/>
      <c r="K412" s="65"/>
      <c r="L412" s="41" t="s">
        <v>443</v>
      </c>
      <c r="AS412" s="66"/>
      <c r="AT412" s="65"/>
      <c r="CB412" s="66"/>
      <c r="CC412" s="62"/>
    </row>
    <row r="413" spans="2:81" s="41" customFormat="1" ht="13.5" customHeight="1">
      <c r="B413" s="113" t="str">
        <f>IF(F413&lt;&gt;"",SUBTOTAL(3,$F$5:F413),"")</f>
        <v/>
      </c>
      <c r="C413" s="121"/>
      <c r="D413" s="122"/>
      <c r="E413" s="122"/>
      <c r="F413" s="123"/>
      <c r="G413" s="118"/>
      <c r="H413" s="117"/>
      <c r="I413" s="118"/>
      <c r="J413" s="111"/>
      <c r="K413" s="65"/>
      <c r="L413" s="41" t="s">
        <v>444</v>
      </c>
      <c r="AS413" s="66"/>
      <c r="AT413" s="65"/>
      <c r="CB413" s="66"/>
      <c r="CC413" s="62"/>
    </row>
    <row r="414" spans="2:81" s="41" customFormat="1" ht="13.5" customHeight="1">
      <c r="B414" s="113" t="str">
        <f>IF(F414&lt;&gt;"",SUBTOTAL(3,$F$5:F414),"")</f>
        <v/>
      </c>
      <c r="C414" s="121"/>
      <c r="D414" s="122"/>
      <c r="E414" s="122"/>
      <c r="F414" s="123"/>
      <c r="G414" s="118"/>
      <c r="H414" s="117"/>
      <c r="I414" s="118"/>
      <c r="J414" s="111"/>
      <c r="K414" s="65"/>
      <c r="L414" s="41" t="s">
        <v>437</v>
      </c>
      <c r="AS414" s="66"/>
      <c r="AT414" s="65"/>
      <c r="CB414" s="66"/>
      <c r="CC414" s="62"/>
    </row>
    <row r="415" spans="2:81" s="41" customFormat="1" ht="13.5" customHeight="1">
      <c r="B415" s="113" t="str">
        <f>IF(F415&lt;&gt;"",SUBTOTAL(3,$F$5:F415),"")</f>
        <v/>
      </c>
      <c r="C415" s="121"/>
      <c r="D415" s="122"/>
      <c r="E415" s="122"/>
      <c r="F415" s="123"/>
      <c r="G415" s="118"/>
      <c r="H415" s="117"/>
      <c r="I415" s="118"/>
      <c r="J415" s="111"/>
      <c r="K415" s="65"/>
      <c r="AS415" s="66"/>
      <c r="AT415" s="65"/>
      <c r="CB415" s="66"/>
      <c r="CC415" s="62"/>
    </row>
    <row r="416" spans="2:81" s="41" customFormat="1" ht="13.5" customHeight="1">
      <c r="B416" s="113" t="str">
        <f>IF(F416&lt;&gt;"",SUBTOTAL(3,$F$5:F416),"")</f>
        <v/>
      </c>
      <c r="C416" s="121"/>
      <c r="D416" s="122"/>
      <c r="E416" s="122"/>
      <c r="F416" s="123"/>
      <c r="G416" s="118"/>
      <c r="H416" s="117"/>
      <c r="I416" s="118"/>
      <c r="J416" s="111"/>
      <c r="K416" s="65"/>
      <c r="L416" s="41" t="s">
        <v>440</v>
      </c>
      <c r="AS416" s="66"/>
      <c r="AT416" s="65"/>
      <c r="CB416" s="66"/>
      <c r="CC416" s="62"/>
    </row>
    <row r="417" spans="2:81" s="41" customFormat="1" ht="13.5" customHeight="1">
      <c r="B417" s="113" t="str">
        <f>IF(F417&lt;&gt;"",SUBTOTAL(3,$F$5:F417),"")</f>
        <v/>
      </c>
      <c r="C417" s="121"/>
      <c r="D417" s="122"/>
      <c r="E417" s="122"/>
      <c r="F417" s="123"/>
      <c r="G417" s="118"/>
      <c r="H417" s="117"/>
      <c r="I417" s="118"/>
      <c r="J417" s="111"/>
      <c r="K417" s="65"/>
      <c r="L417" s="41" t="s">
        <v>441</v>
      </c>
      <c r="AS417" s="66"/>
      <c r="AT417" s="65"/>
      <c r="CB417" s="66"/>
      <c r="CC417" s="62"/>
    </row>
    <row r="418" spans="2:81" s="41" customFormat="1" ht="13.5" customHeight="1">
      <c r="B418" s="113" t="str">
        <f>IF(F418&lt;&gt;"",SUBTOTAL(3,$F$5:F418),"")</f>
        <v/>
      </c>
      <c r="C418" s="121"/>
      <c r="D418" s="122"/>
      <c r="E418" s="122"/>
      <c r="F418" s="123"/>
      <c r="G418" s="118"/>
      <c r="H418" s="117"/>
      <c r="I418" s="118"/>
      <c r="J418" s="111"/>
      <c r="K418" s="65"/>
      <c r="AS418" s="66"/>
      <c r="AT418" s="65"/>
      <c r="CB418" s="66"/>
      <c r="CC418" s="62"/>
    </row>
    <row r="419" spans="2:81" s="41" customFormat="1">
      <c r="B419" s="63">
        <f>IF(F419&lt;&gt;"",SUBTOTAL(3,$F$5:F419),"")</f>
        <v>92</v>
      </c>
      <c r="C419" s="63"/>
      <c r="D419" s="64" t="s">
        <v>138</v>
      </c>
      <c r="E419" s="64" t="s">
        <v>141</v>
      </c>
      <c r="F419" s="64" t="s">
        <v>204</v>
      </c>
      <c r="G419" s="106">
        <v>44030</v>
      </c>
      <c r="H419" s="100">
        <v>1</v>
      </c>
      <c r="I419" s="106"/>
      <c r="J419" s="100"/>
      <c r="K419" s="65" t="s">
        <v>617</v>
      </c>
      <c r="AS419" s="66"/>
      <c r="AT419" s="65" t="s">
        <v>358</v>
      </c>
      <c r="CB419" s="66"/>
      <c r="CC419" s="62"/>
    </row>
    <row r="420" spans="2:81" s="41" customFormat="1">
      <c r="B420" s="63" t="str">
        <f>IF(F420&lt;&gt;"",SUBTOTAL(3,$F$5:F420),"")</f>
        <v/>
      </c>
      <c r="C420" s="63"/>
      <c r="D420" s="64"/>
      <c r="E420" s="64"/>
      <c r="F420" s="64"/>
      <c r="G420" s="106"/>
      <c r="H420" s="100"/>
      <c r="I420" s="106"/>
      <c r="J420" s="101"/>
      <c r="K420" s="65" t="s">
        <v>618</v>
      </c>
      <c r="AS420" s="66"/>
      <c r="AT420" s="65" t="s">
        <v>359</v>
      </c>
      <c r="CB420" s="66"/>
      <c r="CC420" s="62"/>
    </row>
    <row r="421" spans="2:81" s="41" customFormat="1">
      <c r="B421" s="63" t="str">
        <f>IF(F421&lt;&gt;"",SUBTOTAL(3,$F$5:F421),"")</f>
        <v/>
      </c>
      <c r="C421" s="63"/>
      <c r="D421" s="64"/>
      <c r="E421" s="64"/>
      <c r="F421" s="64"/>
      <c r="G421" s="106"/>
      <c r="H421" s="100"/>
      <c r="I421" s="106"/>
      <c r="J421" s="101"/>
      <c r="K421" s="65" t="s">
        <v>619</v>
      </c>
      <c r="AS421" s="66"/>
      <c r="AT421" s="65" t="s">
        <v>621</v>
      </c>
      <c r="CB421" s="66"/>
      <c r="CC421" s="62"/>
    </row>
    <row r="422" spans="2:81" s="41" customFormat="1">
      <c r="B422" s="63" t="str">
        <f>IF(F422&lt;&gt;"",SUBTOTAL(3,$F$5:F422),"")</f>
        <v/>
      </c>
      <c r="C422" s="63"/>
      <c r="D422" s="64"/>
      <c r="E422" s="64"/>
      <c r="F422" s="64"/>
      <c r="G422" s="106"/>
      <c r="H422" s="100"/>
      <c r="I422" s="106"/>
      <c r="J422" s="101"/>
      <c r="K422" s="65" t="s">
        <v>620</v>
      </c>
      <c r="AS422" s="66"/>
      <c r="AT422" s="65"/>
      <c r="CB422" s="66"/>
      <c r="CC422" s="62"/>
    </row>
    <row r="423" spans="2:81" s="41" customFormat="1">
      <c r="B423" s="63" t="str">
        <f>IF(F423&lt;&gt;"",SUBTOTAL(3,$F$5:F423),"")</f>
        <v/>
      </c>
      <c r="C423" s="63"/>
      <c r="D423" s="64"/>
      <c r="E423" s="64"/>
      <c r="F423" s="64"/>
      <c r="G423" s="106"/>
      <c r="H423" s="100"/>
      <c r="I423" s="106"/>
      <c r="J423" s="101"/>
      <c r="K423" s="65"/>
      <c r="AS423" s="66"/>
      <c r="AT423" s="65"/>
      <c r="CB423" s="66"/>
      <c r="CC423" s="62"/>
    </row>
    <row r="424" spans="2:81" s="41" customFormat="1">
      <c r="B424" s="121">
        <f>IF(F424&lt;&gt;"",SUBTOTAL(3,$F$5:F424),"")</f>
        <v>93</v>
      </c>
      <c r="C424" s="121"/>
      <c r="D424" s="122" t="s">
        <v>138</v>
      </c>
      <c r="E424" s="122" t="s">
        <v>141</v>
      </c>
      <c r="F424" s="122" t="s">
        <v>211</v>
      </c>
      <c r="G424" s="118">
        <v>44052</v>
      </c>
      <c r="H424" s="117">
        <v>0.5</v>
      </c>
      <c r="I424" s="118"/>
      <c r="J424" s="117"/>
      <c r="K424" s="65" t="s">
        <v>529</v>
      </c>
      <c r="AS424" s="66"/>
      <c r="AT424" s="65" t="s">
        <v>361</v>
      </c>
      <c r="CB424" s="66"/>
      <c r="CC424" s="62"/>
    </row>
    <row r="425" spans="2:81" s="41" customFormat="1">
      <c r="B425" s="113" t="str">
        <f>IF(F425&lt;&gt;"",SUBTOTAL(3,$F$5:F425),"")</f>
        <v/>
      </c>
      <c r="C425" s="121"/>
      <c r="D425" s="122"/>
      <c r="E425" s="122"/>
      <c r="F425" s="122"/>
      <c r="G425" s="118"/>
      <c r="H425" s="117"/>
      <c r="I425" s="118"/>
      <c r="J425" s="111"/>
      <c r="K425" s="65" t="s">
        <v>530</v>
      </c>
      <c r="AS425" s="66"/>
      <c r="AT425" s="65" t="s">
        <v>360</v>
      </c>
      <c r="CB425" s="66"/>
      <c r="CC425" s="62"/>
    </row>
    <row r="426" spans="2:81" s="41" customFormat="1">
      <c r="B426" s="113" t="str">
        <f>IF(F426&lt;&gt;"",SUBTOTAL(3,$F$5:F426),"")</f>
        <v/>
      </c>
      <c r="C426" s="121"/>
      <c r="D426" s="122"/>
      <c r="E426" s="122"/>
      <c r="F426" s="122"/>
      <c r="G426" s="118"/>
      <c r="H426" s="117"/>
      <c r="I426" s="118"/>
      <c r="J426" s="111"/>
      <c r="K426" s="65"/>
      <c r="AS426" s="66"/>
      <c r="AT426" s="65" t="s">
        <v>362</v>
      </c>
      <c r="CB426" s="66"/>
      <c r="CC426" s="62"/>
    </row>
    <row r="427" spans="2:81" s="41" customFormat="1">
      <c r="B427" s="113" t="str">
        <f>IF(F427&lt;&gt;"",SUBTOTAL(3,$F$5:F427),"")</f>
        <v/>
      </c>
      <c r="C427" s="121"/>
      <c r="D427" s="122"/>
      <c r="E427" s="122"/>
      <c r="F427" s="122"/>
      <c r="G427" s="118"/>
      <c r="H427" s="117"/>
      <c r="I427" s="118"/>
      <c r="J427" s="111"/>
      <c r="K427" s="65"/>
      <c r="AS427" s="66"/>
      <c r="AT427" s="65" t="s">
        <v>363</v>
      </c>
      <c r="CB427" s="66"/>
      <c r="CC427" s="62"/>
    </row>
    <row r="428" spans="2:81" s="41" customFormat="1">
      <c r="B428" s="113" t="str">
        <f>IF(F428&lt;&gt;"",SUBTOTAL(3,$F$5:F428),"")</f>
        <v/>
      </c>
      <c r="C428" s="121"/>
      <c r="D428" s="122"/>
      <c r="E428" s="122"/>
      <c r="F428" s="122"/>
      <c r="G428" s="118"/>
      <c r="H428" s="117"/>
      <c r="I428" s="118"/>
      <c r="J428" s="111"/>
      <c r="K428" s="65"/>
      <c r="AS428" s="66"/>
      <c r="AT428" s="65" t="s">
        <v>365</v>
      </c>
      <c r="CB428" s="66"/>
      <c r="CC428" s="62"/>
    </row>
    <row r="429" spans="2:81" s="41" customFormat="1">
      <c r="B429" s="121" t="str">
        <f>IF(F429&lt;&gt;"",SUBTOTAL(3,$F$5:F429),"")</f>
        <v/>
      </c>
      <c r="C429" s="121"/>
      <c r="D429" s="122"/>
      <c r="E429" s="122"/>
      <c r="F429" s="122"/>
      <c r="G429" s="118"/>
      <c r="H429" s="117"/>
      <c r="I429" s="118"/>
      <c r="J429" s="111"/>
      <c r="K429" s="65"/>
      <c r="AS429" s="66"/>
      <c r="AT429" s="65" t="s">
        <v>364</v>
      </c>
      <c r="CB429" s="66"/>
      <c r="CC429" s="62"/>
    </row>
    <row r="430" spans="2:81" s="41" customFormat="1">
      <c r="B430" s="121" t="str">
        <f>IF(F430&lt;&gt;"",SUBTOTAL(3,$F$5:F430),"")</f>
        <v/>
      </c>
      <c r="C430" s="121"/>
      <c r="D430" s="122"/>
      <c r="E430" s="122"/>
      <c r="F430" s="122"/>
      <c r="G430" s="118"/>
      <c r="H430" s="117"/>
      <c r="I430" s="118"/>
      <c r="J430" s="111"/>
      <c r="K430" s="65"/>
      <c r="AS430" s="66"/>
      <c r="AT430" s="65" t="s">
        <v>366</v>
      </c>
      <c r="CB430" s="66"/>
      <c r="CC430" s="62"/>
    </row>
    <row r="431" spans="2:81" s="41" customFormat="1">
      <c r="B431" s="121" t="str">
        <f>IF(F431&lt;&gt;"",SUBTOTAL(3,$F$5:F431),"")</f>
        <v/>
      </c>
      <c r="C431" s="121"/>
      <c r="D431" s="122"/>
      <c r="E431" s="122"/>
      <c r="F431" s="122"/>
      <c r="G431" s="118"/>
      <c r="H431" s="117"/>
      <c r="I431" s="118"/>
      <c r="J431" s="111"/>
      <c r="K431" s="65"/>
      <c r="AS431" s="66"/>
      <c r="AT431" s="65"/>
      <c r="CB431" s="66"/>
      <c r="CC431" s="62"/>
    </row>
    <row r="432" spans="2:81" s="41" customFormat="1">
      <c r="B432" s="121" t="str">
        <f>IF(F432&lt;&gt;"",SUBTOTAL(3,$F$5:F432),"")</f>
        <v/>
      </c>
      <c r="C432" s="121"/>
      <c r="D432" s="122"/>
      <c r="E432" s="122"/>
      <c r="F432" s="122"/>
      <c r="G432" s="118"/>
      <c r="H432" s="117"/>
      <c r="I432" s="118"/>
      <c r="J432" s="111"/>
      <c r="K432" s="65"/>
      <c r="AS432" s="66"/>
      <c r="AT432" s="65"/>
      <c r="CB432" s="66"/>
      <c r="CC432" s="62"/>
    </row>
    <row r="433" spans="2:81" s="41" customFormat="1" ht="13.5" customHeight="1">
      <c r="B433" s="63">
        <f>IF(F433&lt;&gt;"",SUBTOTAL(3,$F$5:F433),"")</f>
        <v>94</v>
      </c>
      <c r="C433" s="63"/>
      <c r="D433" s="64" t="s">
        <v>138</v>
      </c>
      <c r="E433" s="64" t="s">
        <v>141</v>
      </c>
      <c r="F433" s="64" t="s">
        <v>218</v>
      </c>
      <c r="G433" s="106">
        <v>44062</v>
      </c>
      <c r="H433" s="100">
        <v>1</v>
      </c>
      <c r="I433" s="106"/>
      <c r="J433" s="100"/>
      <c r="K433" s="65" t="s">
        <v>430</v>
      </c>
      <c r="AS433" s="66"/>
      <c r="AT433" s="65"/>
      <c r="CB433" s="66"/>
      <c r="CC433" s="62"/>
    </row>
    <row r="434" spans="2:81" s="41" customFormat="1" ht="13.5" customHeight="1">
      <c r="B434" s="52" t="str">
        <f>IF(F434&lt;&gt;"",SUBTOTAL(3,$F$5:F434),"")</f>
        <v/>
      </c>
      <c r="C434" s="63"/>
      <c r="D434" s="64"/>
      <c r="E434" s="64"/>
      <c r="F434" s="64"/>
      <c r="G434" s="106"/>
      <c r="H434" s="100"/>
      <c r="I434" s="106"/>
      <c r="J434" s="101"/>
      <c r="K434" s="65" t="s">
        <v>431</v>
      </c>
      <c r="AS434" s="66"/>
      <c r="AT434" s="65"/>
      <c r="CB434" s="66"/>
      <c r="CC434" s="62"/>
    </row>
    <row r="435" spans="2:81" s="41" customFormat="1" ht="13.5" customHeight="1">
      <c r="B435" s="52" t="str">
        <f>IF(F435&lt;&gt;"",SUBTOTAL(3,$F$5:F435),"")</f>
        <v/>
      </c>
      <c r="C435" s="63"/>
      <c r="D435" s="64"/>
      <c r="E435" s="64"/>
      <c r="F435" s="64"/>
      <c r="G435" s="106"/>
      <c r="H435" s="100"/>
      <c r="I435" s="106"/>
      <c r="J435" s="101"/>
      <c r="K435" s="65" t="s">
        <v>432</v>
      </c>
      <c r="AS435" s="66"/>
      <c r="AT435" s="65"/>
      <c r="CB435" s="66"/>
      <c r="CC435" s="62"/>
    </row>
    <row r="436" spans="2:81" s="41" customFormat="1" ht="13.5" customHeight="1">
      <c r="B436" s="52" t="str">
        <f>IF(F436&lt;&gt;"",SUBTOTAL(3,$F$5:F436),"")</f>
        <v/>
      </c>
      <c r="C436" s="63"/>
      <c r="D436" s="64"/>
      <c r="E436" s="64"/>
      <c r="F436" s="64"/>
      <c r="G436" s="106"/>
      <c r="H436" s="100"/>
      <c r="I436" s="106"/>
      <c r="J436" s="101"/>
      <c r="K436" s="65" t="s">
        <v>433</v>
      </c>
      <c r="AS436" s="66"/>
      <c r="AT436" s="65"/>
      <c r="CB436" s="66"/>
      <c r="CC436" s="62"/>
    </row>
    <row r="437" spans="2:81" s="41" customFormat="1" ht="13.5" customHeight="1">
      <c r="B437" s="52" t="str">
        <f>IF(F437&lt;&gt;"",SUBTOTAL(3,$F$5:F437),"")</f>
        <v/>
      </c>
      <c r="C437" s="63"/>
      <c r="D437" s="64"/>
      <c r="E437" s="64"/>
      <c r="F437" s="64"/>
      <c r="G437" s="106"/>
      <c r="H437" s="100"/>
      <c r="I437" s="106"/>
      <c r="J437" s="101"/>
      <c r="K437" s="65" t="s">
        <v>434</v>
      </c>
      <c r="AS437" s="66"/>
      <c r="AT437" s="65"/>
      <c r="CB437" s="66"/>
      <c r="CC437" s="62"/>
    </row>
    <row r="438" spans="2:81" s="41" customFormat="1" ht="13.5" customHeight="1">
      <c r="B438" s="52" t="str">
        <f>IF(F438&lt;&gt;"",SUBTOTAL(3,$F$5:F438),"")</f>
        <v/>
      </c>
      <c r="C438" s="63"/>
      <c r="D438" s="64"/>
      <c r="E438" s="64"/>
      <c r="F438" s="64"/>
      <c r="G438" s="106"/>
      <c r="H438" s="100"/>
      <c r="I438" s="106"/>
      <c r="J438" s="101"/>
      <c r="K438" s="65"/>
      <c r="AS438" s="66"/>
      <c r="AT438" s="65"/>
      <c r="CB438" s="66"/>
      <c r="CC438" s="62"/>
    </row>
    <row r="439" spans="2:81" s="41" customFormat="1" ht="13.5" customHeight="1">
      <c r="B439" s="63">
        <f>IF(F439&lt;&gt;"",SUBTOTAL(3,$F$5:F439),"")</f>
        <v>95</v>
      </c>
      <c r="C439" s="63"/>
      <c r="D439" s="64" t="s">
        <v>138</v>
      </c>
      <c r="E439" s="64" t="s">
        <v>141</v>
      </c>
      <c r="F439" s="64" t="s">
        <v>219</v>
      </c>
      <c r="G439" s="106">
        <v>44071</v>
      </c>
      <c r="H439" s="100">
        <v>1</v>
      </c>
      <c r="I439" s="106"/>
      <c r="J439" s="100"/>
      <c r="K439" s="65" t="s">
        <v>429</v>
      </c>
      <c r="AS439" s="66"/>
      <c r="AT439" s="65"/>
      <c r="CB439" s="66"/>
      <c r="CC439" s="62"/>
    </row>
    <row r="440" spans="2:81" s="41" customFormat="1" ht="13.5" customHeight="1">
      <c r="B440" s="52" t="str">
        <f>IF(F440&lt;&gt;"",SUBTOTAL(3,$F$5:F440),"")</f>
        <v/>
      </c>
      <c r="C440" s="63"/>
      <c r="D440" s="64"/>
      <c r="E440" s="64"/>
      <c r="F440" s="64"/>
      <c r="G440" s="106"/>
      <c r="H440" s="100"/>
      <c r="I440" s="106"/>
      <c r="J440" s="101"/>
      <c r="K440" s="65"/>
      <c r="AS440" s="66"/>
      <c r="AT440" s="65"/>
      <c r="CB440" s="66"/>
      <c r="CC440" s="62"/>
    </row>
    <row r="441" spans="2:81" s="41" customFormat="1">
      <c r="B441" s="63">
        <f>IF(F441&lt;&gt;"",SUBTOTAL(3,$F$5:F441),"")</f>
        <v>96</v>
      </c>
      <c r="C441" s="63"/>
      <c r="D441" s="64" t="s">
        <v>138</v>
      </c>
      <c r="E441" s="64" t="s">
        <v>141</v>
      </c>
      <c r="F441" s="64" t="s">
        <v>223</v>
      </c>
      <c r="G441" s="106">
        <v>44073</v>
      </c>
      <c r="H441" s="100">
        <v>1</v>
      </c>
      <c r="I441" s="106"/>
      <c r="J441" s="100"/>
      <c r="K441" s="65" t="s">
        <v>634</v>
      </c>
      <c r="AS441" s="66"/>
      <c r="AT441" s="79" t="s">
        <v>313</v>
      </c>
      <c r="AU441" s="41" t="s">
        <v>314</v>
      </c>
      <c r="CB441" s="66"/>
      <c r="CC441" s="62"/>
    </row>
    <row r="442" spans="2:81" s="41" customFormat="1">
      <c r="B442" s="63" t="str">
        <f>IF(F442&lt;&gt;"",SUBTOTAL(3,$F$5:F442),"")</f>
        <v/>
      </c>
      <c r="C442" s="63"/>
      <c r="D442" s="64"/>
      <c r="E442" s="64"/>
      <c r="F442" s="64"/>
      <c r="G442" s="106"/>
      <c r="H442" s="100"/>
      <c r="I442" s="106"/>
      <c r="J442" s="101"/>
      <c r="K442" s="80" t="s">
        <v>636</v>
      </c>
      <c r="AS442" s="66"/>
      <c r="AT442" s="80" t="s">
        <v>307</v>
      </c>
      <c r="CB442" s="66"/>
      <c r="CC442" s="62"/>
    </row>
    <row r="443" spans="2:81" s="41" customFormat="1">
      <c r="B443" s="63" t="str">
        <f>IF(F443&lt;&gt;"",SUBTOTAL(3,$F$5:F443),"")</f>
        <v/>
      </c>
      <c r="C443" s="63"/>
      <c r="D443" s="64"/>
      <c r="E443" s="64"/>
      <c r="F443" s="64"/>
      <c r="G443" s="106"/>
      <c r="H443" s="100"/>
      <c r="I443" s="106"/>
      <c r="J443" s="101"/>
      <c r="K443" s="80" t="s">
        <v>635</v>
      </c>
      <c r="AC443" s="129" t="s">
        <v>638</v>
      </c>
      <c r="AD443" s="130"/>
      <c r="AE443" s="130"/>
      <c r="AF443" s="130"/>
      <c r="AG443" s="130"/>
      <c r="AH443" s="130"/>
      <c r="AI443" s="130"/>
      <c r="AJ443" s="130"/>
      <c r="AS443" s="66"/>
      <c r="AT443" s="80" t="s">
        <v>622</v>
      </c>
      <c r="CB443" s="66"/>
      <c r="CC443" s="62"/>
    </row>
    <row r="444" spans="2:81" s="41" customFormat="1">
      <c r="B444" s="63" t="str">
        <f>IF(F444&lt;&gt;"",SUBTOTAL(3,$F$5:F444),"")</f>
        <v/>
      </c>
      <c r="C444" s="63"/>
      <c r="D444" s="64"/>
      <c r="E444" s="64"/>
      <c r="F444" s="64"/>
      <c r="G444" s="106"/>
      <c r="H444" s="100"/>
      <c r="I444" s="106"/>
      <c r="J444" s="101"/>
      <c r="K444" s="80" t="s">
        <v>633</v>
      </c>
      <c r="AC444" s="130"/>
      <c r="AD444" s="130"/>
      <c r="AE444" s="130"/>
      <c r="AF444" s="130"/>
      <c r="AG444" s="130"/>
      <c r="AH444" s="130"/>
      <c r="AI444" s="130"/>
      <c r="AJ444" s="130"/>
      <c r="AS444" s="66"/>
      <c r="AT444" s="80" t="s">
        <v>308</v>
      </c>
      <c r="CB444" s="66"/>
      <c r="CC444" s="62"/>
    </row>
    <row r="445" spans="2:81" s="41" customFormat="1">
      <c r="B445" s="63" t="str">
        <f>IF(F445&lt;&gt;"",SUBTOTAL(3,$F$5:F445),"")</f>
        <v/>
      </c>
      <c r="C445" s="63"/>
      <c r="D445" s="64"/>
      <c r="E445" s="64"/>
      <c r="F445" s="64"/>
      <c r="G445" s="106"/>
      <c r="H445" s="100"/>
      <c r="I445" s="106"/>
      <c r="J445" s="101"/>
      <c r="K445" s="80" t="s">
        <v>637</v>
      </c>
      <c r="AS445" s="66"/>
      <c r="AT445" s="80" t="s">
        <v>623</v>
      </c>
      <c r="CB445" s="66"/>
      <c r="CC445" s="62"/>
    </row>
    <row r="446" spans="2:81" s="41" customFormat="1">
      <c r="B446" s="63" t="str">
        <f>IF(F446&lt;&gt;"",SUBTOTAL(3,$F$5:F446),"")</f>
        <v/>
      </c>
      <c r="C446" s="63"/>
      <c r="D446" s="64"/>
      <c r="E446" s="64"/>
      <c r="F446" s="64"/>
      <c r="G446" s="106"/>
      <c r="H446" s="100"/>
      <c r="I446" s="106"/>
      <c r="J446" s="101"/>
      <c r="K446" s="80"/>
      <c r="AS446" s="66"/>
      <c r="AT446" s="80" t="s">
        <v>318</v>
      </c>
      <c r="CB446" s="66"/>
      <c r="CC446" s="62"/>
    </row>
    <row r="447" spans="2:81" s="41" customFormat="1">
      <c r="B447" s="63" t="str">
        <f>IF(F447&lt;&gt;"",SUBTOTAL(3,$F$5:F447),"")</f>
        <v/>
      </c>
      <c r="C447" s="63"/>
      <c r="D447" s="64"/>
      <c r="E447" s="64"/>
      <c r="F447" s="64"/>
      <c r="G447" s="106"/>
      <c r="H447" s="100"/>
      <c r="I447" s="106"/>
      <c r="J447" s="101"/>
      <c r="K447" s="80"/>
      <c r="AS447" s="66"/>
      <c r="AT447" s="80" t="s">
        <v>309</v>
      </c>
      <c r="CB447" s="66"/>
      <c r="CC447" s="62"/>
    </row>
    <row r="448" spans="2:81" s="41" customFormat="1">
      <c r="B448" s="63" t="str">
        <f>IF(F448&lt;&gt;"",SUBTOTAL(3,$F$5:F448),"")</f>
        <v/>
      </c>
      <c r="C448" s="63"/>
      <c r="D448" s="64"/>
      <c r="E448" s="64"/>
      <c r="F448" s="64"/>
      <c r="G448" s="106"/>
      <c r="H448" s="100"/>
      <c r="I448" s="106"/>
      <c r="J448" s="101"/>
      <c r="K448" s="80"/>
      <c r="AS448" s="66"/>
      <c r="AT448" s="80" t="s">
        <v>310</v>
      </c>
      <c r="CB448" s="66"/>
      <c r="CC448" s="62"/>
    </row>
    <row r="449" spans="2:81" s="41" customFormat="1">
      <c r="B449" s="63" t="str">
        <f>IF(F449&lt;&gt;"",SUBTOTAL(3,$F$5:F449),"")</f>
        <v/>
      </c>
      <c r="C449" s="63"/>
      <c r="D449" s="64"/>
      <c r="E449" s="64"/>
      <c r="F449" s="64"/>
      <c r="G449" s="106"/>
      <c r="H449" s="100"/>
      <c r="I449" s="106"/>
      <c r="J449" s="101"/>
      <c r="K449" s="79"/>
      <c r="AS449" s="66"/>
      <c r="AT449" s="79" t="s">
        <v>313</v>
      </c>
      <c r="AU449" s="41" t="s">
        <v>315</v>
      </c>
      <c r="CB449" s="66"/>
      <c r="CC449" s="62"/>
    </row>
    <row r="450" spans="2:81" s="41" customFormat="1">
      <c r="B450" s="63" t="str">
        <f>IF(F450&lt;&gt;"",SUBTOTAL(3,$F$5:F450),"")</f>
        <v/>
      </c>
      <c r="C450" s="63"/>
      <c r="D450" s="64"/>
      <c r="E450" s="64"/>
      <c r="F450" s="64"/>
      <c r="G450" s="106"/>
      <c r="H450" s="100"/>
      <c r="I450" s="106"/>
      <c r="J450" s="101"/>
      <c r="K450" s="65"/>
      <c r="AS450" s="66"/>
      <c r="AT450" s="65"/>
      <c r="AU450" s="41" t="s">
        <v>319</v>
      </c>
      <c r="CB450" s="66"/>
      <c r="CC450" s="62"/>
    </row>
    <row r="451" spans="2:81" s="41" customFormat="1">
      <c r="B451" s="63" t="str">
        <f>IF(F451&lt;&gt;"",SUBTOTAL(3,$F$5:F451),"")</f>
        <v/>
      </c>
      <c r="C451" s="63"/>
      <c r="D451" s="64"/>
      <c r="E451" s="64"/>
      <c r="F451" s="64"/>
      <c r="G451" s="106"/>
      <c r="H451" s="100"/>
      <c r="I451" s="106"/>
      <c r="J451" s="101"/>
      <c r="K451" s="65"/>
      <c r="AS451" s="66"/>
      <c r="AT451" s="65"/>
      <c r="AU451" s="41" t="s">
        <v>320</v>
      </c>
      <c r="CB451" s="66"/>
      <c r="CC451" s="62"/>
    </row>
    <row r="452" spans="2:81" s="41" customFormat="1">
      <c r="B452" s="63" t="str">
        <f>IF(F452&lt;&gt;"",SUBTOTAL(3,$F$5:F452),"")</f>
        <v/>
      </c>
      <c r="C452" s="63"/>
      <c r="D452" s="64"/>
      <c r="E452" s="64"/>
      <c r="F452" s="64"/>
      <c r="G452" s="106"/>
      <c r="H452" s="100"/>
      <c r="I452" s="106"/>
      <c r="J452" s="101"/>
      <c r="K452" s="80"/>
      <c r="AS452" s="66"/>
      <c r="AT452" s="65"/>
      <c r="AU452" s="93" t="s">
        <v>624</v>
      </c>
      <c r="CB452" s="66"/>
      <c r="CC452" s="62"/>
    </row>
    <row r="453" spans="2:81" s="41" customFormat="1">
      <c r="B453" s="52" t="str">
        <f>IF(F453&lt;&gt;"",SUBTOTAL(3,$F$5:F453),"")</f>
        <v/>
      </c>
      <c r="C453" s="63"/>
      <c r="D453" s="64"/>
      <c r="E453" s="64"/>
      <c r="F453" s="64"/>
      <c r="G453" s="106"/>
      <c r="H453" s="100"/>
      <c r="I453" s="106"/>
      <c r="J453" s="101"/>
      <c r="K453" s="80"/>
      <c r="AS453" s="66"/>
      <c r="AT453" s="65"/>
      <c r="AU453" s="93" t="s">
        <v>631</v>
      </c>
      <c r="CB453" s="66"/>
      <c r="CC453" s="62"/>
    </row>
    <row r="454" spans="2:81" s="41" customFormat="1">
      <c r="B454" s="63" t="str">
        <f>IF(F454&lt;&gt;"",SUBTOTAL(3,$F$5:F454),"")</f>
        <v/>
      </c>
      <c r="C454" s="63"/>
      <c r="D454" s="64"/>
      <c r="E454" s="64"/>
      <c r="F454" s="64"/>
      <c r="G454" s="106"/>
      <c r="H454" s="100"/>
      <c r="I454" s="106"/>
      <c r="J454" s="101"/>
      <c r="K454" s="80"/>
      <c r="AS454" s="66"/>
      <c r="AT454" s="65"/>
      <c r="AU454" s="93" t="s">
        <v>625</v>
      </c>
      <c r="CB454" s="66"/>
      <c r="CC454" s="62"/>
    </row>
    <row r="455" spans="2:81" s="41" customFormat="1">
      <c r="B455" s="63" t="str">
        <f>IF(F455&lt;&gt;"",SUBTOTAL(3,$F$5:F455),"")</f>
        <v/>
      </c>
      <c r="C455" s="63"/>
      <c r="D455" s="64"/>
      <c r="E455" s="64"/>
      <c r="F455" s="64"/>
      <c r="G455" s="106"/>
      <c r="H455" s="100"/>
      <c r="I455" s="106"/>
      <c r="J455" s="101"/>
      <c r="K455" s="80"/>
      <c r="AS455" s="66"/>
      <c r="AT455" s="65"/>
      <c r="AU455" s="93" t="s">
        <v>59</v>
      </c>
      <c r="CB455" s="66"/>
      <c r="CC455" s="62"/>
    </row>
    <row r="456" spans="2:81" s="41" customFormat="1">
      <c r="B456" s="63" t="str">
        <f>IF(F456&lt;&gt;"",SUBTOTAL(3,$F$5:F456),"")</f>
        <v/>
      </c>
      <c r="C456" s="63"/>
      <c r="D456" s="64"/>
      <c r="E456" s="64"/>
      <c r="F456" s="64"/>
      <c r="G456" s="106"/>
      <c r="H456" s="100"/>
      <c r="I456" s="106"/>
      <c r="J456" s="101"/>
      <c r="K456" s="80"/>
      <c r="AS456" s="66"/>
      <c r="AT456" s="65"/>
      <c r="AU456" s="93" t="s">
        <v>626</v>
      </c>
      <c r="CB456" s="66"/>
      <c r="CC456" s="62"/>
    </row>
    <row r="457" spans="2:81" s="41" customFormat="1">
      <c r="B457" s="63" t="str">
        <f>IF(F457&lt;&gt;"",SUBTOTAL(3,$F$5:F457),"")</f>
        <v/>
      </c>
      <c r="C457" s="63"/>
      <c r="D457" s="64"/>
      <c r="E457" s="64"/>
      <c r="F457" s="64"/>
      <c r="G457" s="106"/>
      <c r="H457" s="100"/>
      <c r="I457" s="106"/>
      <c r="J457" s="101"/>
      <c r="K457" s="80"/>
      <c r="AS457" s="66"/>
      <c r="AT457" s="65"/>
      <c r="AU457" s="93" t="s">
        <v>632</v>
      </c>
      <c r="CB457" s="66"/>
      <c r="CC457" s="62"/>
    </row>
    <row r="458" spans="2:81" s="41" customFormat="1">
      <c r="B458" s="63" t="str">
        <f>IF(F458&lt;&gt;"",SUBTOTAL(3,$F$5:F458),"")</f>
        <v/>
      </c>
      <c r="C458" s="63"/>
      <c r="D458" s="64"/>
      <c r="E458" s="64"/>
      <c r="F458" s="64"/>
      <c r="G458" s="106"/>
      <c r="H458" s="100"/>
      <c r="I458" s="106"/>
      <c r="J458" s="101"/>
      <c r="K458" s="80"/>
      <c r="AS458" s="66"/>
      <c r="AT458" s="65"/>
      <c r="AU458" s="93" t="s">
        <v>627</v>
      </c>
      <c r="CB458" s="66"/>
      <c r="CC458" s="62"/>
    </row>
    <row r="459" spans="2:81" s="41" customFormat="1">
      <c r="B459" s="63" t="str">
        <f>IF(F459&lt;&gt;"",SUBTOTAL(3,$F$5:F459),"")</f>
        <v/>
      </c>
      <c r="C459" s="63"/>
      <c r="D459" s="64"/>
      <c r="E459" s="64"/>
      <c r="F459" s="64"/>
      <c r="G459" s="106"/>
      <c r="H459" s="100"/>
      <c r="I459" s="106"/>
      <c r="J459" s="101"/>
      <c r="K459" s="80"/>
      <c r="AS459" s="66"/>
      <c r="AT459" s="65"/>
      <c r="AU459" s="93" t="s">
        <v>628</v>
      </c>
      <c r="CB459" s="66"/>
      <c r="CC459" s="62"/>
    </row>
    <row r="460" spans="2:81" s="41" customFormat="1">
      <c r="B460" s="63" t="str">
        <f>IF(F460&lt;&gt;"",SUBTOTAL(3,$F$5:F460),"")</f>
        <v/>
      </c>
      <c r="C460" s="63"/>
      <c r="D460" s="64"/>
      <c r="E460" s="64"/>
      <c r="F460" s="64"/>
      <c r="G460" s="106"/>
      <c r="H460" s="100"/>
      <c r="I460" s="106"/>
      <c r="J460" s="101"/>
      <c r="K460" s="80"/>
      <c r="AS460" s="66"/>
      <c r="AT460" s="65"/>
      <c r="AU460" s="93" t="s">
        <v>629</v>
      </c>
      <c r="CB460" s="66"/>
      <c r="CC460" s="62"/>
    </row>
    <row r="461" spans="2:81" s="41" customFormat="1">
      <c r="B461" s="63" t="str">
        <f>IF(F461&lt;&gt;"",SUBTOTAL(3,$F$5:F461),"")</f>
        <v/>
      </c>
      <c r="C461" s="63"/>
      <c r="D461" s="64"/>
      <c r="E461" s="64"/>
      <c r="F461" s="64"/>
      <c r="G461" s="106"/>
      <c r="H461" s="100"/>
      <c r="I461" s="106"/>
      <c r="J461" s="101"/>
      <c r="K461" s="79"/>
      <c r="AS461" s="66"/>
      <c r="AT461" s="65" t="s">
        <v>316</v>
      </c>
      <c r="AU461" s="41" t="s">
        <v>317</v>
      </c>
      <c r="CB461" s="66"/>
      <c r="CC461" s="62"/>
    </row>
    <row r="462" spans="2:81" s="41" customFormat="1">
      <c r="B462" s="63" t="str">
        <f>IF(F462&lt;&gt;"",SUBTOTAL(3,$F$5:F462),"")</f>
        <v/>
      </c>
      <c r="C462" s="63"/>
      <c r="D462" s="64"/>
      <c r="E462" s="64"/>
      <c r="F462" s="64"/>
      <c r="G462" s="106"/>
      <c r="H462" s="100"/>
      <c r="I462" s="106"/>
      <c r="J462" s="101"/>
      <c r="K462" s="65"/>
      <c r="AT462" s="65"/>
      <c r="AU462" s="41" t="s">
        <v>321</v>
      </c>
      <c r="CB462" s="66"/>
      <c r="CC462" s="62"/>
    </row>
    <row r="463" spans="2:81" s="41" customFormat="1">
      <c r="B463" s="63" t="str">
        <f>IF(F463&lt;&gt;"",SUBTOTAL(3,$F$5:F463),"")</f>
        <v/>
      </c>
      <c r="C463" s="63"/>
      <c r="D463" s="64"/>
      <c r="E463" s="64"/>
      <c r="F463" s="64"/>
      <c r="G463" s="106"/>
      <c r="H463" s="100"/>
      <c r="I463" s="106"/>
      <c r="J463" s="101"/>
      <c r="K463" s="80"/>
      <c r="AT463" s="65"/>
      <c r="AU463" s="93" t="s">
        <v>624</v>
      </c>
      <c r="CB463" s="66"/>
      <c r="CC463" s="62"/>
    </row>
    <row r="464" spans="2:81" s="41" customFormat="1">
      <c r="B464" s="52" t="str">
        <f>IF(F464&lt;&gt;"",SUBTOTAL(3,$F$5:F464),"")</f>
        <v/>
      </c>
      <c r="C464" s="63"/>
      <c r="D464" s="64"/>
      <c r="E464" s="64"/>
      <c r="F464" s="64"/>
      <c r="G464" s="106"/>
      <c r="H464" s="100"/>
      <c r="I464" s="106"/>
      <c r="J464" s="101"/>
      <c r="K464" s="80"/>
      <c r="AT464" s="65"/>
      <c r="AU464" s="93" t="s">
        <v>631</v>
      </c>
      <c r="CB464" s="66"/>
      <c r="CC464" s="62"/>
    </row>
    <row r="465" spans="2:81" s="41" customFormat="1">
      <c r="B465" s="63" t="str">
        <f>IF(F465&lt;&gt;"",SUBTOTAL(3,$F$5:F465),"")</f>
        <v/>
      </c>
      <c r="C465" s="63"/>
      <c r="D465" s="64"/>
      <c r="E465" s="64"/>
      <c r="F465" s="64"/>
      <c r="G465" s="106"/>
      <c r="H465" s="100"/>
      <c r="I465" s="106"/>
      <c r="J465" s="101"/>
      <c r="K465" s="80"/>
      <c r="AT465" s="65"/>
      <c r="AU465" s="93" t="s">
        <v>625</v>
      </c>
      <c r="CB465" s="66"/>
      <c r="CC465" s="62"/>
    </row>
    <row r="466" spans="2:81" s="41" customFormat="1">
      <c r="B466" s="63" t="str">
        <f>IF(F466&lt;&gt;"",SUBTOTAL(3,$F$5:F466),"")</f>
        <v/>
      </c>
      <c r="C466" s="63"/>
      <c r="D466" s="64"/>
      <c r="E466" s="64"/>
      <c r="F466" s="64"/>
      <c r="G466" s="106"/>
      <c r="H466" s="100"/>
      <c r="I466" s="106"/>
      <c r="J466" s="101"/>
      <c r="K466" s="80"/>
      <c r="AT466" s="65"/>
      <c r="AU466" s="93" t="s">
        <v>59</v>
      </c>
      <c r="CB466" s="66"/>
      <c r="CC466" s="62"/>
    </row>
    <row r="467" spans="2:81" s="41" customFormat="1">
      <c r="B467" s="63" t="str">
        <f>IF(F467&lt;&gt;"",SUBTOTAL(3,$F$5:F467),"")</f>
        <v/>
      </c>
      <c r="C467" s="63"/>
      <c r="D467" s="64"/>
      <c r="E467" s="64"/>
      <c r="F467" s="64"/>
      <c r="G467" s="106"/>
      <c r="H467" s="100"/>
      <c r="I467" s="106"/>
      <c r="J467" s="101"/>
      <c r="K467" s="80"/>
      <c r="AT467" s="65"/>
      <c r="AU467" s="93" t="s">
        <v>626</v>
      </c>
      <c r="CB467" s="66"/>
      <c r="CC467" s="62"/>
    </row>
    <row r="468" spans="2:81" s="41" customFormat="1">
      <c r="B468" s="63" t="str">
        <f>IF(F468&lt;&gt;"",SUBTOTAL(3,$F$5:F468),"")</f>
        <v/>
      </c>
      <c r="C468" s="63"/>
      <c r="D468" s="64"/>
      <c r="E468" s="64"/>
      <c r="F468" s="64"/>
      <c r="G468" s="106"/>
      <c r="H468" s="100"/>
      <c r="I468" s="106"/>
      <c r="J468" s="101"/>
      <c r="K468" s="80"/>
      <c r="AT468" s="65"/>
      <c r="AU468" s="93" t="s">
        <v>630</v>
      </c>
      <c r="CB468" s="66"/>
      <c r="CC468" s="62"/>
    </row>
    <row r="469" spans="2:81" s="41" customFormat="1">
      <c r="B469" s="63" t="str">
        <f>IF(F469&lt;&gt;"",SUBTOTAL(3,$F$5:F469),"")</f>
        <v/>
      </c>
      <c r="C469" s="63"/>
      <c r="D469" s="64"/>
      <c r="E469" s="64"/>
      <c r="F469" s="64"/>
      <c r="G469" s="106"/>
      <c r="H469" s="100"/>
      <c r="I469" s="106"/>
      <c r="J469" s="101"/>
      <c r="K469" s="80"/>
      <c r="AT469" s="65"/>
      <c r="AU469" s="93" t="s">
        <v>628</v>
      </c>
      <c r="CB469" s="66"/>
      <c r="CC469" s="62"/>
    </row>
    <row r="470" spans="2:81" s="41" customFormat="1">
      <c r="B470" s="63" t="str">
        <f>IF(F470&lt;&gt;"",SUBTOTAL(3,$F$5:F470),"")</f>
        <v/>
      </c>
      <c r="C470" s="63"/>
      <c r="D470" s="64"/>
      <c r="E470" s="64"/>
      <c r="F470" s="64"/>
      <c r="G470" s="106"/>
      <c r="H470" s="100"/>
      <c r="I470" s="106"/>
      <c r="J470" s="101"/>
      <c r="K470" s="80"/>
      <c r="AT470" s="65"/>
      <c r="AU470" s="93" t="s">
        <v>629</v>
      </c>
      <c r="CB470" s="66"/>
      <c r="CC470" s="62"/>
    </row>
    <row r="471" spans="2:81" s="41" customFormat="1">
      <c r="B471" s="63" t="str">
        <f>IF(F471&lt;&gt;"",SUBTOTAL(3,$F$5:F471),"")</f>
        <v/>
      </c>
      <c r="C471" s="63"/>
      <c r="D471" s="64"/>
      <c r="E471" s="64"/>
      <c r="F471" s="64"/>
      <c r="G471" s="106"/>
      <c r="H471" s="100"/>
      <c r="I471" s="106"/>
      <c r="J471" s="101"/>
      <c r="K471" s="65"/>
      <c r="AS471" s="66"/>
      <c r="AT471" s="65"/>
      <c r="CB471" s="66"/>
      <c r="CC471" s="62"/>
    </row>
    <row r="472" spans="2:81" s="41" customFormat="1" ht="14.25" customHeight="1">
      <c r="B472" s="121">
        <f>IF(F472&lt;&gt;"",SUBTOTAL(3,$F$5:F472),"")</f>
        <v>97</v>
      </c>
      <c r="C472" s="121"/>
      <c r="D472" s="122" t="s">
        <v>138</v>
      </c>
      <c r="E472" s="122" t="s">
        <v>141</v>
      </c>
      <c r="F472" s="122" t="s">
        <v>232</v>
      </c>
      <c r="G472" s="118">
        <v>44108</v>
      </c>
      <c r="H472" s="117">
        <v>0.5</v>
      </c>
      <c r="I472" s="118"/>
      <c r="J472" s="117"/>
      <c r="K472" s="65" t="s">
        <v>1</v>
      </c>
      <c r="L472" s="41" t="s">
        <v>312</v>
      </c>
      <c r="AS472" s="66"/>
      <c r="AT472" s="65"/>
      <c r="CB472" s="66"/>
      <c r="CC472" s="62"/>
    </row>
    <row r="473" spans="2:81" s="41" customFormat="1" ht="14.25" customHeight="1">
      <c r="B473" s="121" t="str">
        <f>IF(F473&lt;&gt;"",SUBTOTAL(3,$F$5:F473),"")</f>
        <v/>
      </c>
      <c r="C473" s="121"/>
      <c r="D473" s="122"/>
      <c r="E473" s="122"/>
      <c r="F473" s="122"/>
      <c r="G473" s="118"/>
      <c r="H473" s="117"/>
      <c r="I473" s="118"/>
      <c r="J473" s="111"/>
      <c r="K473" s="68"/>
      <c r="L473" s="69"/>
      <c r="M473" s="69"/>
      <c r="N473" s="69"/>
      <c r="O473" s="69"/>
      <c r="P473" s="69"/>
      <c r="Q473" s="69"/>
      <c r="R473" s="69"/>
      <c r="S473" s="70" t="s">
        <v>311</v>
      </c>
      <c r="T473" s="69"/>
      <c r="U473" s="69"/>
      <c r="V473" s="69"/>
      <c r="W473" s="69"/>
      <c r="X473" s="69"/>
      <c r="Y473" s="69"/>
      <c r="Z473" s="69"/>
      <c r="AA473" s="69"/>
      <c r="AB473" s="69"/>
      <c r="AC473" s="69"/>
      <c r="AD473" s="69"/>
      <c r="AE473" s="69"/>
      <c r="AF473" s="69"/>
      <c r="AG473" s="69"/>
      <c r="AH473" s="69"/>
      <c r="AI473" s="69"/>
      <c r="AJ473" s="69"/>
      <c r="AK473" s="69"/>
      <c r="AL473" s="69"/>
      <c r="AM473" s="69"/>
      <c r="AN473" s="69"/>
      <c r="AO473" s="69"/>
      <c r="AP473" s="69"/>
      <c r="AQ473" s="69"/>
      <c r="AR473" s="69"/>
      <c r="AS473" s="71"/>
      <c r="AT473" s="65"/>
      <c r="CB473" s="66"/>
      <c r="CC473" s="62"/>
    </row>
    <row r="474" spans="2:81" s="41" customFormat="1" ht="14.25" customHeight="1">
      <c r="B474" s="121" t="str">
        <f>IF(F474&lt;&gt;"",SUBTOTAL(3,$F$5:F474),"")</f>
        <v/>
      </c>
      <c r="C474" s="121"/>
      <c r="D474" s="122"/>
      <c r="E474" s="122"/>
      <c r="F474" s="122"/>
      <c r="G474" s="118"/>
      <c r="H474" s="117"/>
      <c r="I474" s="118"/>
      <c r="J474" s="111"/>
      <c r="K474" s="39"/>
      <c r="L474" s="69"/>
      <c r="M474" s="69"/>
      <c r="N474" s="69"/>
      <c r="O474" s="69"/>
      <c r="P474" s="69"/>
      <c r="Q474" s="69"/>
      <c r="R474" s="69"/>
      <c r="S474" s="69"/>
      <c r="T474" s="69"/>
      <c r="U474" s="69"/>
      <c r="V474" s="69"/>
      <c r="W474" s="69"/>
      <c r="X474" s="69"/>
      <c r="Y474" s="69"/>
      <c r="Z474" s="69"/>
      <c r="AA474" s="69"/>
      <c r="AB474" s="69"/>
      <c r="AC474" s="69"/>
      <c r="AD474" s="69"/>
      <c r="AE474" s="69"/>
      <c r="AF474" s="69"/>
      <c r="AG474" s="69"/>
      <c r="AH474" s="69"/>
      <c r="AI474" s="69"/>
      <c r="AJ474" s="69"/>
      <c r="AK474" s="69"/>
      <c r="AL474" s="69"/>
      <c r="AM474" s="69"/>
      <c r="AN474" s="69"/>
      <c r="AO474" s="69"/>
      <c r="AP474" s="69"/>
      <c r="AQ474" s="69"/>
      <c r="AR474" s="69"/>
      <c r="AS474" s="71"/>
      <c r="AT474" s="65"/>
      <c r="CB474" s="66"/>
      <c r="CC474" s="62"/>
    </row>
    <row r="475" spans="2:81" s="41" customFormat="1" ht="14.25" customHeight="1">
      <c r="B475" s="121" t="str">
        <f>IF(F475&lt;&gt;"",SUBTOTAL(3,$F$5:F475),"")</f>
        <v/>
      </c>
      <c r="C475" s="121"/>
      <c r="D475" s="122"/>
      <c r="E475" s="122"/>
      <c r="F475" s="122"/>
      <c r="G475" s="118"/>
      <c r="H475" s="117"/>
      <c r="I475" s="118"/>
      <c r="J475" s="111"/>
      <c r="K475" s="68"/>
      <c r="L475" s="69"/>
      <c r="M475" s="69"/>
      <c r="N475" s="69"/>
      <c r="O475" s="69"/>
      <c r="P475" s="69"/>
      <c r="Q475" s="69"/>
      <c r="R475" s="69"/>
      <c r="S475" s="69"/>
      <c r="T475" s="69"/>
      <c r="U475" s="69"/>
      <c r="V475" s="69"/>
      <c r="W475" s="69"/>
      <c r="X475" s="69"/>
      <c r="Y475" s="69"/>
      <c r="Z475" s="69"/>
      <c r="AA475" s="69"/>
      <c r="AB475" s="69"/>
      <c r="AC475" s="69"/>
      <c r="AD475" s="69"/>
      <c r="AE475" s="69"/>
      <c r="AF475" s="69"/>
      <c r="AG475" s="69"/>
      <c r="AH475" s="69"/>
      <c r="AI475" s="69"/>
      <c r="AJ475" s="69"/>
      <c r="AK475" s="69"/>
      <c r="AL475" s="69"/>
      <c r="AM475" s="69"/>
      <c r="AN475" s="69"/>
      <c r="AO475" s="69"/>
      <c r="AP475" s="69"/>
      <c r="AQ475" s="69"/>
      <c r="AR475" s="69"/>
      <c r="AS475" s="71"/>
      <c r="AT475" s="65"/>
      <c r="CB475" s="66"/>
      <c r="CC475" s="62"/>
    </row>
    <row r="476" spans="2:81" s="41" customFormat="1" ht="14.25" customHeight="1">
      <c r="B476" s="121" t="str">
        <f>IF(F476&lt;&gt;"",SUBTOTAL(3,$F$5:F476),"")</f>
        <v/>
      </c>
      <c r="C476" s="121"/>
      <c r="D476" s="122"/>
      <c r="E476" s="122"/>
      <c r="F476" s="122"/>
      <c r="G476" s="118"/>
      <c r="H476" s="117"/>
      <c r="I476" s="118"/>
      <c r="J476" s="111"/>
      <c r="K476" s="68" t="s">
        <v>233</v>
      </c>
      <c r="L476" s="69"/>
      <c r="M476" s="69"/>
      <c r="N476" s="69"/>
      <c r="O476" s="69"/>
      <c r="P476" s="69"/>
      <c r="Q476" s="69"/>
      <c r="R476" s="69"/>
      <c r="S476" s="69"/>
      <c r="T476" s="69"/>
      <c r="U476" s="69"/>
      <c r="V476" s="69"/>
      <c r="W476" s="69"/>
      <c r="X476" s="69"/>
      <c r="Y476" s="69"/>
      <c r="Z476" s="69"/>
      <c r="AA476" s="69"/>
      <c r="AB476" s="69"/>
      <c r="AC476" s="69"/>
      <c r="AD476" s="69"/>
      <c r="AE476" s="69"/>
      <c r="AF476" s="69"/>
      <c r="AG476" s="69"/>
      <c r="AH476" s="69"/>
      <c r="AI476" s="69"/>
      <c r="AJ476" s="69"/>
      <c r="AK476" s="69"/>
      <c r="AL476" s="69"/>
      <c r="AM476" s="69"/>
      <c r="AN476" s="69"/>
      <c r="AO476" s="69"/>
      <c r="AP476" s="69"/>
      <c r="AQ476" s="69"/>
      <c r="AR476" s="69"/>
      <c r="AS476" s="71"/>
      <c r="AT476" s="65"/>
      <c r="CB476" s="66"/>
      <c r="CC476" s="62"/>
    </row>
    <row r="477" spans="2:81" s="41" customFormat="1" ht="14.25" customHeight="1">
      <c r="B477" s="121" t="str">
        <f>IF(F477&lt;&gt;"",SUBTOTAL(3,$F$5:F477),"")</f>
        <v/>
      </c>
      <c r="C477" s="121"/>
      <c r="D477" s="122"/>
      <c r="E477" s="122"/>
      <c r="F477" s="122"/>
      <c r="G477" s="118"/>
      <c r="H477" s="117"/>
      <c r="I477" s="118"/>
      <c r="J477" s="111"/>
      <c r="K477" s="68"/>
      <c r="L477" s="69"/>
      <c r="M477" s="69"/>
      <c r="N477" s="69"/>
      <c r="O477" s="69"/>
      <c r="P477" s="69"/>
      <c r="Q477" s="69"/>
      <c r="R477" s="69"/>
      <c r="S477" s="69"/>
      <c r="T477" s="69"/>
      <c r="U477" s="69"/>
      <c r="V477" s="69"/>
      <c r="W477" s="69"/>
      <c r="X477" s="69"/>
      <c r="Y477" s="69"/>
      <c r="Z477" s="69"/>
      <c r="AA477" s="69"/>
      <c r="AB477" s="69"/>
      <c r="AC477" s="69"/>
      <c r="AD477" s="69"/>
      <c r="AE477" s="69"/>
      <c r="AF477" s="69"/>
      <c r="AG477" s="69"/>
      <c r="AH477" s="69"/>
      <c r="AI477" s="69"/>
      <c r="AJ477" s="69"/>
      <c r="AK477" s="69"/>
      <c r="AL477" s="69"/>
      <c r="AM477" s="69"/>
      <c r="AN477" s="69"/>
      <c r="AO477" s="69"/>
      <c r="AP477" s="69"/>
      <c r="AQ477" s="69"/>
      <c r="AR477" s="69"/>
      <c r="AS477" s="71"/>
      <c r="AT477" s="65"/>
      <c r="CB477" s="66"/>
      <c r="CC477" s="62"/>
    </row>
    <row r="478" spans="2:81" s="41" customFormat="1" ht="13.5" customHeight="1">
      <c r="B478" s="63">
        <f>IF(F478&lt;&gt;"",SUBTOTAL(3,$F$5:F478),"")</f>
        <v>98</v>
      </c>
      <c r="C478" s="63"/>
      <c r="D478" s="64" t="s">
        <v>138</v>
      </c>
      <c r="E478" s="64" t="s">
        <v>141</v>
      </c>
      <c r="F478" s="64" t="s">
        <v>564</v>
      </c>
      <c r="G478" s="106">
        <v>44192</v>
      </c>
      <c r="H478" s="100">
        <v>1</v>
      </c>
      <c r="I478" s="106"/>
      <c r="J478" s="100"/>
      <c r="K478" s="65" t="s">
        <v>565</v>
      </c>
      <c r="AS478" s="66"/>
      <c r="AT478" s="65" t="s">
        <v>569</v>
      </c>
      <c r="CB478" s="66"/>
      <c r="CC478" s="62"/>
    </row>
    <row r="479" spans="2:81" ht="13.5" customHeight="1">
      <c r="B479" s="52" t="str">
        <f>IF(F479&lt;&gt;"",SUBTOTAL(3,$F$5:F479),"")</f>
        <v/>
      </c>
      <c r="C479" s="52"/>
      <c r="D479" s="53"/>
      <c r="E479" s="53"/>
      <c r="F479" s="53"/>
      <c r="G479" s="106"/>
      <c r="H479" s="100"/>
      <c r="I479" s="106"/>
      <c r="J479" s="100"/>
      <c r="K479" s="55" t="s">
        <v>567</v>
      </c>
      <c r="L479" s="39"/>
      <c r="M479" s="39"/>
      <c r="N479" s="39"/>
      <c r="O479" s="39"/>
      <c r="P479" s="39"/>
      <c r="Q479" s="39"/>
      <c r="R479" s="39"/>
      <c r="S479" s="39"/>
      <c r="T479" s="39"/>
      <c r="U479" s="39"/>
      <c r="V479" s="39"/>
      <c r="W479" s="39"/>
      <c r="X479" s="39"/>
      <c r="Y479" s="39"/>
      <c r="Z479" s="39"/>
      <c r="AA479" s="39"/>
      <c r="AB479" s="39"/>
      <c r="AC479" s="39"/>
      <c r="AD479" s="39"/>
      <c r="AE479" s="39"/>
      <c r="AF479" s="39"/>
      <c r="AG479" s="39"/>
      <c r="AH479" s="39"/>
      <c r="AI479" s="39"/>
      <c r="AJ479" s="39"/>
      <c r="AK479" s="39"/>
      <c r="AL479" s="39"/>
      <c r="AM479" s="39"/>
      <c r="AN479" s="39"/>
      <c r="AO479" s="39"/>
      <c r="AP479" s="39"/>
      <c r="AQ479" s="39"/>
      <c r="AR479" s="39"/>
      <c r="AS479" s="40"/>
      <c r="AT479" s="55" t="s">
        <v>570</v>
      </c>
      <c r="CB479" s="56"/>
      <c r="CC479" s="54"/>
    </row>
    <row r="480" spans="2:81" ht="13.5" customHeight="1">
      <c r="B480" s="52" t="str">
        <f>IF(F480&lt;&gt;"",SUBTOTAL(3,$F$5:F480),"")</f>
        <v/>
      </c>
      <c r="C480" s="52"/>
      <c r="D480" s="53"/>
      <c r="E480" s="53"/>
      <c r="F480" s="53"/>
      <c r="G480" s="106"/>
      <c r="H480" s="100"/>
      <c r="I480" s="106"/>
      <c r="J480" s="100"/>
      <c r="K480" s="55" t="s">
        <v>568</v>
      </c>
      <c r="AS480" s="56"/>
      <c r="AT480" s="55" t="s">
        <v>571</v>
      </c>
      <c r="CB480" s="56"/>
      <c r="CC480" s="54"/>
    </row>
    <row r="481" spans="2:121">
      <c r="B481" s="52" t="str">
        <f>IF(F481&lt;&gt;"",SUBTOTAL(3,$F$5:F481),"")</f>
        <v/>
      </c>
      <c r="C481" s="52"/>
      <c r="D481" s="53"/>
      <c r="E481" s="53"/>
      <c r="F481" s="53"/>
      <c r="G481" s="106"/>
      <c r="H481" s="100"/>
      <c r="I481" s="106"/>
      <c r="J481" s="100"/>
      <c r="K481" s="55" t="s">
        <v>566</v>
      </c>
      <c r="AS481" s="56"/>
      <c r="AT481" s="55"/>
      <c r="CB481" s="56"/>
      <c r="CC481" s="54"/>
    </row>
    <row r="482" spans="2:121">
      <c r="B482" s="52" t="str">
        <f>IF(F482&lt;&gt;"",SUBTOTAL(3,$F$5:F482),"")</f>
        <v/>
      </c>
      <c r="C482" s="52"/>
      <c r="D482" s="53"/>
      <c r="E482" s="53"/>
      <c r="F482" s="53"/>
      <c r="G482" s="106"/>
      <c r="H482" s="100"/>
      <c r="I482" s="106"/>
      <c r="J482" s="100"/>
      <c r="K482" s="55"/>
      <c r="AS482" s="56"/>
      <c r="AT482" s="55"/>
      <c r="CB482" s="56"/>
      <c r="CC482" s="54"/>
    </row>
    <row r="483" spans="2:121">
      <c r="B483" s="52">
        <f>IF(F483&lt;&gt;"",SUBTOTAL(3,$F$5:F483),"")</f>
        <v>99</v>
      </c>
      <c r="C483" s="52"/>
      <c r="D483" s="53" t="s">
        <v>138</v>
      </c>
      <c r="E483" s="53" t="s">
        <v>141</v>
      </c>
      <c r="F483" s="53" t="s">
        <v>576</v>
      </c>
      <c r="G483" s="106">
        <v>44192</v>
      </c>
      <c r="H483" s="100">
        <v>1</v>
      </c>
      <c r="I483" s="106"/>
      <c r="J483" s="100"/>
      <c r="K483" s="55" t="s">
        <v>572</v>
      </c>
      <c r="AS483" s="56"/>
      <c r="AT483" s="55"/>
      <c r="CB483" s="56"/>
      <c r="CC483" s="54"/>
    </row>
    <row r="484" spans="2:121">
      <c r="B484" s="52" t="str">
        <f>IF(F484&lt;&gt;"",SUBTOTAL(3,$F$5:F484),"")</f>
        <v/>
      </c>
      <c r="C484" s="52"/>
      <c r="D484" s="53"/>
      <c r="E484" s="53"/>
      <c r="F484" s="53"/>
      <c r="G484" s="106"/>
      <c r="H484" s="100"/>
      <c r="I484" s="106"/>
      <c r="J484" s="100"/>
      <c r="K484" s="55" t="s">
        <v>573</v>
      </c>
      <c r="AS484" s="56"/>
      <c r="AT484" s="55"/>
      <c r="CB484" s="56"/>
      <c r="CC484" s="54"/>
    </row>
    <row r="485" spans="2:121" ht="15.75">
      <c r="B485" s="52" t="str">
        <f>IF(F485&lt;&gt;"",SUBTOTAL(3,$F$5:F485),"")</f>
        <v/>
      </c>
      <c r="C485" s="52"/>
      <c r="D485" s="53"/>
      <c r="E485" s="53"/>
      <c r="F485" s="53"/>
      <c r="G485" s="106"/>
      <c r="H485" s="100"/>
      <c r="I485" s="106"/>
      <c r="J485" s="100"/>
      <c r="K485" s="55" t="s">
        <v>574</v>
      </c>
      <c r="L485" s="39"/>
      <c r="M485" s="39"/>
      <c r="N485" s="39"/>
      <c r="O485" s="39"/>
      <c r="P485" s="39"/>
      <c r="Q485" s="39"/>
      <c r="R485" s="39"/>
      <c r="S485" s="39"/>
      <c r="T485" s="39"/>
      <c r="U485" s="39"/>
      <c r="V485" s="39"/>
      <c r="W485" s="39"/>
      <c r="X485" s="39"/>
      <c r="Y485" s="39"/>
      <c r="Z485" s="39"/>
      <c r="AA485" s="39"/>
      <c r="AB485" s="39"/>
      <c r="AC485" s="39"/>
      <c r="AD485" s="39"/>
      <c r="AE485" s="39"/>
      <c r="AF485" s="39"/>
      <c r="AG485" s="39"/>
      <c r="AH485" s="39"/>
      <c r="AI485" s="39"/>
      <c r="AJ485" s="39"/>
      <c r="AK485" s="39"/>
      <c r="AL485" s="39"/>
      <c r="AM485" s="39"/>
      <c r="AN485" s="39"/>
      <c r="AO485" s="39"/>
      <c r="AP485" s="39"/>
      <c r="AQ485" s="39"/>
      <c r="AR485" s="39"/>
      <c r="AS485" s="40"/>
      <c r="AT485" s="55"/>
      <c r="CB485" s="56"/>
      <c r="CC485" s="54"/>
      <c r="CJ485" s="58"/>
      <c r="CK485" s="58"/>
      <c r="CL485" s="58"/>
      <c r="CM485" s="58"/>
      <c r="CN485" s="58"/>
      <c r="CO485" s="58"/>
      <c r="CP485" s="58"/>
      <c r="CQ485" s="58"/>
      <c r="CR485" s="58"/>
      <c r="CS485" s="58"/>
      <c r="DH485" s="58"/>
      <c r="DI485" s="58"/>
      <c r="DJ485" s="58"/>
      <c r="DK485" s="58"/>
      <c r="DL485" s="58"/>
      <c r="DM485" s="58"/>
      <c r="DN485" s="58"/>
      <c r="DO485" s="58"/>
      <c r="DP485" s="58"/>
      <c r="DQ485" s="58"/>
    </row>
    <row r="486" spans="2:121">
      <c r="B486" s="52" t="str">
        <f>IF(F486&lt;&gt;"",SUBTOTAL(3,$F$5:F486),"")</f>
        <v/>
      </c>
      <c r="C486" s="52"/>
      <c r="D486" s="53"/>
      <c r="E486" s="53"/>
      <c r="F486" s="53"/>
      <c r="G486" s="106"/>
      <c r="H486" s="100"/>
      <c r="I486" s="106"/>
      <c r="J486" s="100"/>
      <c r="K486" s="55" t="s">
        <v>575</v>
      </c>
      <c r="AS486" s="56"/>
      <c r="AT486" s="55"/>
      <c r="CB486" s="56"/>
      <c r="CC486" s="54"/>
    </row>
    <row r="487" spans="2:121">
      <c r="B487" s="52" t="str">
        <f>IF(F487&lt;&gt;"",SUBTOTAL(3,$F$5:F487),"")</f>
        <v/>
      </c>
      <c r="C487" s="52"/>
      <c r="D487" s="53"/>
      <c r="E487" s="53"/>
      <c r="F487" s="53"/>
      <c r="G487" s="106"/>
      <c r="H487" s="100"/>
      <c r="I487" s="106"/>
      <c r="J487" s="100"/>
      <c r="K487" s="55"/>
      <c r="AS487" s="56"/>
      <c r="AT487" s="55"/>
      <c r="CB487" s="56"/>
      <c r="CC487" s="54"/>
    </row>
    <row r="488" spans="2:121">
      <c r="B488" s="52">
        <f>IF(F488&lt;&gt;"",SUBTOTAL(3,$F$5:F488),"")</f>
        <v>100</v>
      </c>
      <c r="C488" s="52"/>
      <c r="D488" s="53" t="s">
        <v>138</v>
      </c>
      <c r="E488" s="53" t="s">
        <v>141</v>
      </c>
      <c r="F488" s="53" t="s">
        <v>577</v>
      </c>
      <c r="G488" s="106">
        <v>44197</v>
      </c>
      <c r="H488" s="100">
        <v>1</v>
      </c>
      <c r="I488" s="106"/>
      <c r="J488" s="100"/>
      <c r="K488" s="55" t="s">
        <v>581</v>
      </c>
      <c r="AS488" s="56"/>
      <c r="AT488" s="55" t="s">
        <v>579</v>
      </c>
      <c r="CB488" s="56"/>
      <c r="CC488" s="54"/>
    </row>
    <row r="489" spans="2:121">
      <c r="B489" s="52" t="str">
        <f>IF(F489&lt;&gt;"",SUBTOTAL(3,$F$5:F489),"")</f>
        <v/>
      </c>
      <c r="C489" s="52"/>
      <c r="D489" s="53"/>
      <c r="E489" s="53"/>
      <c r="F489" s="53"/>
      <c r="G489" s="106"/>
      <c r="H489" s="100"/>
      <c r="I489" s="106"/>
      <c r="J489" s="100"/>
      <c r="K489" s="55" t="s">
        <v>585</v>
      </c>
      <c r="AF489" s="51" t="s">
        <v>1</v>
      </c>
      <c r="AG489" s="51" t="s">
        <v>589</v>
      </c>
      <c r="AS489" s="56"/>
      <c r="AT489" s="55"/>
      <c r="CB489" s="56"/>
      <c r="CC489" s="54"/>
    </row>
    <row r="490" spans="2:121">
      <c r="B490" s="52" t="str">
        <f>IF(F490&lt;&gt;"",SUBTOTAL(3,$F$5:F490),"")</f>
        <v/>
      </c>
      <c r="C490" s="52"/>
      <c r="D490" s="53"/>
      <c r="E490" s="53"/>
      <c r="F490" s="53"/>
      <c r="G490" s="106"/>
      <c r="H490" s="100"/>
      <c r="I490" s="106"/>
      <c r="J490" s="100"/>
      <c r="K490" s="55" t="s">
        <v>586</v>
      </c>
      <c r="AS490" s="56"/>
      <c r="AT490" s="55"/>
      <c r="CB490" s="56"/>
      <c r="CC490" s="54"/>
    </row>
    <row r="491" spans="2:121">
      <c r="B491" s="52" t="str">
        <f>IF(F491&lt;&gt;"",SUBTOTAL(3,$F$5:F491),"")</f>
        <v/>
      </c>
      <c r="C491" s="52"/>
      <c r="D491" s="53"/>
      <c r="E491" s="53"/>
      <c r="F491" s="53"/>
      <c r="G491" s="106"/>
      <c r="H491" s="100"/>
      <c r="I491" s="106"/>
      <c r="J491" s="100"/>
      <c r="K491" s="55" t="s">
        <v>587</v>
      </c>
      <c r="AS491" s="56"/>
      <c r="AT491" s="55"/>
      <c r="CB491" s="56"/>
      <c r="CC491" s="54"/>
    </row>
    <row r="492" spans="2:121">
      <c r="B492" s="52" t="str">
        <f>IF(F492&lt;&gt;"",SUBTOTAL(3,$F$5:F492),"")</f>
        <v/>
      </c>
      <c r="C492" s="52"/>
      <c r="D492" s="53"/>
      <c r="E492" s="53"/>
      <c r="F492" s="53"/>
      <c r="G492" s="106"/>
      <c r="H492" s="100"/>
      <c r="I492" s="106"/>
      <c r="J492" s="100"/>
      <c r="K492" s="55" t="s">
        <v>588</v>
      </c>
      <c r="AS492" s="56"/>
      <c r="AT492" s="55"/>
      <c r="CB492" s="56"/>
      <c r="CC492" s="54"/>
    </row>
    <row r="493" spans="2:121" ht="15.75">
      <c r="B493" s="52" t="str">
        <f>IF(F493&lt;&gt;"",SUBTOTAL(3,$F$5:F493),"")</f>
        <v/>
      </c>
      <c r="C493" s="52"/>
      <c r="D493" s="53"/>
      <c r="E493" s="53"/>
      <c r="F493" s="53"/>
      <c r="G493" s="106"/>
      <c r="H493" s="100"/>
      <c r="I493" s="106"/>
      <c r="J493" s="100"/>
      <c r="K493" s="55" t="s">
        <v>582</v>
      </c>
      <c r="L493" s="39"/>
      <c r="M493" s="39"/>
      <c r="N493" s="39"/>
      <c r="O493" s="39"/>
      <c r="P493" s="39"/>
      <c r="Q493" s="39"/>
      <c r="R493" s="39"/>
      <c r="S493" s="39"/>
      <c r="T493" s="39"/>
      <c r="U493" s="39"/>
      <c r="V493" s="39"/>
      <c r="W493" s="39"/>
      <c r="X493" s="39"/>
      <c r="Y493" s="39"/>
      <c r="Z493" s="39"/>
      <c r="AA493" s="39"/>
      <c r="AB493" s="39"/>
      <c r="AC493" s="39"/>
      <c r="AD493" s="39"/>
      <c r="AE493" s="39"/>
      <c r="AF493" s="39"/>
      <c r="AG493" s="39"/>
      <c r="AH493" s="39"/>
      <c r="AI493" s="39"/>
      <c r="AJ493" s="39"/>
      <c r="AK493" s="39"/>
      <c r="AL493" s="39"/>
      <c r="AM493" s="39"/>
      <c r="AN493" s="39"/>
      <c r="AO493" s="39"/>
      <c r="AP493" s="39"/>
      <c r="AQ493" s="39"/>
      <c r="AR493" s="39"/>
      <c r="AS493" s="40"/>
      <c r="AT493" s="55"/>
      <c r="CB493" s="56"/>
      <c r="CC493" s="54"/>
    </row>
    <row r="494" spans="2:121">
      <c r="B494" s="52" t="str">
        <f>IF(F494&lt;&gt;"",SUBTOTAL(3,$F$5:F494),"")</f>
        <v/>
      </c>
      <c r="C494" s="52"/>
      <c r="D494" s="53"/>
      <c r="E494" s="53"/>
      <c r="F494" s="53"/>
      <c r="G494" s="106"/>
      <c r="H494" s="100"/>
      <c r="I494" s="106"/>
      <c r="J494" s="100"/>
      <c r="K494" s="55" t="s">
        <v>583</v>
      </c>
      <c r="AS494" s="56"/>
      <c r="AT494" s="55"/>
      <c r="CB494" s="56"/>
      <c r="CC494" s="54"/>
    </row>
    <row r="495" spans="2:121">
      <c r="B495" s="52" t="str">
        <f>IF(F495&lt;&gt;"",SUBTOTAL(3,$F$5:F495),"")</f>
        <v/>
      </c>
      <c r="C495" s="52"/>
      <c r="D495" s="53"/>
      <c r="E495" s="53"/>
      <c r="F495" s="53"/>
      <c r="G495" s="106"/>
      <c r="H495" s="100"/>
      <c r="I495" s="106"/>
      <c r="J495" s="100"/>
      <c r="K495" s="55" t="s">
        <v>584</v>
      </c>
      <c r="AS495" s="56"/>
      <c r="AT495" s="55"/>
      <c r="CB495" s="56"/>
      <c r="CC495" s="54"/>
    </row>
    <row r="496" spans="2:121">
      <c r="B496" s="52" t="str">
        <f>IF(F496&lt;&gt;"",SUBTOTAL(3,$F$5:F496),"")</f>
        <v/>
      </c>
      <c r="C496" s="52"/>
      <c r="D496" s="53"/>
      <c r="E496" s="53"/>
      <c r="F496" s="53"/>
      <c r="G496" s="106"/>
      <c r="H496" s="100"/>
      <c r="I496" s="106"/>
      <c r="J496" s="100"/>
      <c r="K496" s="55"/>
      <c r="AS496" s="56"/>
      <c r="AT496" s="55"/>
      <c r="CB496" s="56"/>
      <c r="CC496" s="54"/>
    </row>
    <row r="497" spans="2:99">
      <c r="B497" s="52" t="str">
        <f>IF(F497&lt;&gt;"",SUBTOTAL(3,$F$5:F497),"")</f>
        <v/>
      </c>
      <c r="C497" s="52"/>
      <c r="D497" s="53"/>
      <c r="E497" s="53"/>
      <c r="F497" s="53"/>
      <c r="G497" s="106"/>
      <c r="H497" s="100"/>
      <c r="I497" s="106"/>
      <c r="J497" s="100"/>
      <c r="K497" s="55" t="s">
        <v>578</v>
      </c>
      <c r="AS497" s="56"/>
      <c r="AT497" s="55"/>
      <c r="CB497" s="56"/>
      <c r="CC497" s="54"/>
    </row>
    <row r="498" spans="2:99">
      <c r="B498" s="52" t="str">
        <f>IF(F498&lt;&gt;"",SUBTOTAL(3,$F$5:F498),"")</f>
        <v/>
      </c>
      <c r="C498" s="52"/>
      <c r="D498" s="53"/>
      <c r="E498" s="53"/>
      <c r="F498" s="53"/>
      <c r="G498" s="106"/>
      <c r="H498" s="100"/>
      <c r="I498" s="106"/>
      <c r="J498" s="100"/>
      <c r="K498" s="55" t="s">
        <v>580</v>
      </c>
      <c r="AS498" s="56"/>
      <c r="AT498" s="55"/>
      <c r="CB498" s="56"/>
      <c r="CC498" s="54"/>
    </row>
    <row r="499" spans="2:99">
      <c r="B499" s="52" t="str">
        <f>IF(F499&lt;&gt;"",SUBTOTAL(3,$F$5:F499),"")</f>
        <v/>
      </c>
      <c r="C499" s="52"/>
      <c r="D499" s="53"/>
      <c r="E499" s="53"/>
      <c r="F499" s="53"/>
      <c r="G499" s="106"/>
      <c r="H499" s="100"/>
      <c r="I499" s="106"/>
      <c r="J499" s="100"/>
      <c r="K499" s="55"/>
      <c r="AS499" s="56"/>
      <c r="AT499" s="55"/>
      <c r="CB499" s="56"/>
      <c r="CC499" s="54"/>
    </row>
    <row r="500" spans="2:99">
      <c r="B500" s="52">
        <f>IF(F500&lt;&gt;"",SUBTOTAL(3,$F$5:F500),"")</f>
        <v>101</v>
      </c>
      <c r="C500" s="52"/>
      <c r="D500" s="53" t="s">
        <v>138</v>
      </c>
      <c r="E500" s="53" t="s">
        <v>141</v>
      </c>
      <c r="F500" s="53" t="s">
        <v>590</v>
      </c>
      <c r="G500" s="106">
        <v>44199</v>
      </c>
      <c r="H500" s="100">
        <v>1</v>
      </c>
      <c r="I500" s="106"/>
      <c r="J500" s="100"/>
      <c r="K500" s="55" t="s">
        <v>611</v>
      </c>
      <c r="AS500" s="56"/>
      <c r="AT500" s="55"/>
      <c r="CB500" s="56"/>
      <c r="CC500" s="54"/>
    </row>
    <row r="501" spans="2:99">
      <c r="B501" s="52" t="str">
        <f>IF(F501&lt;&gt;"",SUBTOTAL(3,$F$5:F501),"")</f>
        <v/>
      </c>
      <c r="C501" s="52"/>
      <c r="D501" s="53"/>
      <c r="E501" s="53"/>
      <c r="F501" s="53"/>
      <c r="G501" s="106"/>
      <c r="H501" s="100"/>
      <c r="I501" s="106"/>
      <c r="J501" s="101"/>
      <c r="K501" s="55" t="s">
        <v>598</v>
      </c>
      <c r="AS501" s="56"/>
      <c r="AT501" s="55"/>
      <c r="CB501" s="56"/>
      <c r="CC501" s="54"/>
    </row>
    <row r="502" spans="2:99">
      <c r="B502" s="52" t="str">
        <f>IF(F502&lt;&gt;"",SUBTOTAL(3,$F$5:F502),"")</f>
        <v/>
      </c>
      <c r="C502" s="52"/>
      <c r="D502" s="53"/>
      <c r="E502" s="53"/>
      <c r="F502" s="53"/>
      <c r="G502" s="106"/>
      <c r="H502" s="100"/>
      <c r="I502" s="106"/>
      <c r="J502" s="101"/>
      <c r="K502" s="55" t="s">
        <v>599</v>
      </c>
      <c r="AS502" s="56"/>
      <c r="AT502" s="55"/>
      <c r="CB502" s="56"/>
      <c r="CC502" s="54"/>
    </row>
    <row r="503" spans="2:99">
      <c r="B503" s="52" t="str">
        <f>IF(F503&lt;&gt;"",SUBTOTAL(3,$F$5:F503),"")</f>
        <v/>
      </c>
      <c r="C503" s="52"/>
      <c r="D503" s="53"/>
      <c r="E503" s="53"/>
      <c r="F503" s="53"/>
      <c r="G503" s="106"/>
      <c r="H503" s="100"/>
      <c r="I503" s="106"/>
      <c r="J503" s="100"/>
      <c r="K503" s="55"/>
      <c r="AS503" s="56"/>
      <c r="AT503" s="55"/>
      <c r="CB503" s="56"/>
      <c r="CC503" s="54"/>
    </row>
    <row r="504" spans="2:99">
      <c r="B504" s="52">
        <f>IF(F504&lt;&gt;"",SUBTOTAL(3,$F$5:F504),"")</f>
        <v>102</v>
      </c>
      <c r="C504" s="52"/>
      <c r="D504" s="53" t="s">
        <v>138</v>
      </c>
      <c r="E504" s="53" t="s">
        <v>141</v>
      </c>
      <c r="F504" s="53" t="s">
        <v>591</v>
      </c>
      <c r="G504" s="106">
        <v>44199</v>
      </c>
      <c r="H504" s="100">
        <v>1</v>
      </c>
      <c r="I504" s="106"/>
      <c r="J504" s="100"/>
      <c r="K504" s="55" t="s">
        <v>593</v>
      </c>
      <c r="AS504" s="56"/>
      <c r="AT504" s="55"/>
      <c r="CB504" s="56"/>
      <c r="CC504" s="54"/>
    </row>
    <row r="505" spans="2:99">
      <c r="B505" s="52" t="str">
        <f>IF(F505&lt;&gt;"",SUBTOTAL(3,$F$5:F505),"")</f>
        <v/>
      </c>
      <c r="C505" s="52"/>
      <c r="D505" s="53"/>
      <c r="E505" s="53"/>
      <c r="F505" s="53"/>
      <c r="G505" s="106"/>
      <c r="H505" s="100"/>
      <c r="I505" s="106"/>
      <c r="J505" s="102"/>
      <c r="K505" s="55" t="s">
        <v>594</v>
      </c>
      <c r="AS505" s="56"/>
      <c r="AT505" s="55"/>
      <c r="CB505" s="56"/>
      <c r="CC505" s="54"/>
    </row>
    <row r="506" spans="2:99">
      <c r="B506" s="52" t="str">
        <f>IF(F506&lt;&gt;"",SUBTOTAL(3,$F$5:F506),"")</f>
        <v/>
      </c>
      <c r="C506" s="52"/>
      <c r="D506" s="53"/>
      <c r="E506" s="53"/>
      <c r="F506" s="53"/>
      <c r="G506" s="106"/>
      <c r="H506" s="100"/>
      <c r="I506" s="106"/>
      <c r="J506" s="102"/>
      <c r="K506" s="55" t="s">
        <v>595</v>
      </c>
      <c r="AS506" s="56"/>
      <c r="AT506" s="55"/>
      <c r="CB506" s="56"/>
      <c r="CC506" s="54"/>
    </row>
    <row r="507" spans="2:99">
      <c r="B507" s="52" t="str">
        <f>IF(F507&lt;&gt;"",SUBTOTAL(3,$F$5:F507),"")</f>
        <v/>
      </c>
      <c r="C507" s="52"/>
      <c r="D507" s="53"/>
      <c r="E507" s="53"/>
      <c r="F507" s="53"/>
      <c r="G507" s="106"/>
      <c r="H507" s="100"/>
      <c r="I507" s="106"/>
      <c r="J507" s="102"/>
      <c r="K507" s="55" t="s">
        <v>596</v>
      </c>
      <c r="AS507" s="56"/>
      <c r="AT507" s="55"/>
      <c r="CB507" s="56"/>
      <c r="CC507" s="54"/>
    </row>
    <row r="508" spans="2:99">
      <c r="B508" s="52" t="str">
        <f>IF(F508&lt;&gt;"",SUBTOTAL(3,$F$5:F508),"")</f>
        <v/>
      </c>
      <c r="C508" s="52"/>
      <c r="D508" s="53"/>
      <c r="E508" s="53"/>
      <c r="F508" s="53"/>
      <c r="G508" s="106"/>
      <c r="H508" s="100"/>
      <c r="I508" s="106"/>
      <c r="J508" s="102"/>
      <c r="K508" s="55" t="s">
        <v>597</v>
      </c>
      <c r="AS508" s="56"/>
      <c r="AT508" s="55"/>
      <c r="CB508" s="56"/>
      <c r="CC508" s="54"/>
    </row>
    <row r="509" spans="2:99">
      <c r="B509" s="52" t="str">
        <f>IF(F509&lt;&gt;"",SUBTOTAL(3,$F$5:F509),"")</f>
        <v/>
      </c>
      <c r="C509" s="52"/>
      <c r="D509" s="53"/>
      <c r="E509" s="53"/>
      <c r="F509" s="53"/>
      <c r="G509" s="106"/>
      <c r="H509" s="100"/>
      <c r="I509" s="106"/>
      <c r="J509" s="100"/>
      <c r="K509" s="55"/>
      <c r="AS509" s="56"/>
      <c r="AT509" s="55"/>
      <c r="CB509" s="56"/>
      <c r="CC509" s="54"/>
    </row>
    <row r="510" spans="2:99">
      <c r="B510" s="52">
        <f>IF(F510&lt;&gt;"",SUBTOTAL(3,$F$5:F510),"")</f>
        <v>103</v>
      </c>
      <c r="C510" s="52"/>
      <c r="D510" s="53" t="s">
        <v>138</v>
      </c>
      <c r="E510" s="53" t="s">
        <v>141</v>
      </c>
      <c r="F510" s="53" t="s">
        <v>886</v>
      </c>
      <c r="G510" s="106">
        <v>44285</v>
      </c>
      <c r="H510" s="100">
        <v>1</v>
      </c>
      <c r="I510" s="106">
        <v>44829</v>
      </c>
      <c r="J510" s="100" t="s">
        <v>684</v>
      </c>
      <c r="K510" s="55" t="s">
        <v>859</v>
      </c>
      <c r="T510"/>
      <c r="U510" s="51" t="s">
        <v>860</v>
      </c>
      <c r="AS510" s="56"/>
      <c r="AT510" s="55"/>
      <c r="CB510" s="56"/>
      <c r="CC510" s="54"/>
      <c r="CE510" s="51" t="s">
        <v>890</v>
      </c>
    </row>
    <row r="511" spans="2:99">
      <c r="B511" s="52" t="str">
        <f>IF(F511&lt;&gt;"",SUBTOTAL(3,$F$5:F511),"")</f>
        <v/>
      </c>
      <c r="C511" s="52"/>
      <c r="D511" s="53"/>
      <c r="E511" s="53"/>
      <c r="F511" s="53"/>
      <c r="G511" s="106"/>
      <c r="H511" s="100"/>
      <c r="I511" s="106"/>
      <c r="J511" s="100"/>
      <c r="K511" s="55"/>
      <c r="L511" s="51" t="s">
        <v>862</v>
      </c>
      <c r="T511" s="51" t="s">
        <v>861</v>
      </c>
      <c r="AS511" s="56"/>
      <c r="AT511" s="55"/>
      <c r="CB511" s="56"/>
      <c r="CC511" s="54"/>
    </row>
    <row r="512" spans="2:99">
      <c r="B512" s="52" t="str">
        <f>IF(F512&lt;&gt;"",SUBTOTAL(3,$F$5:F512),"")</f>
        <v/>
      </c>
      <c r="C512" s="52"/>
      <c r="D512" s="53"/>
      <c r="E512" s="53"/>
      <c r="F512" s="53"/>
      <c r="G512" s="106"/>
      <c r="H512" s="100"/>
      <c r="I512" s="106"/>
      <c r="J512" s="100"/>
      <c r="K512" s="55"/>
      <c r="L512" s="51" t="s">
        <v>863</v>
      </c>
      <c r="T512" s="51" t="s">
        <v>861</v>
      </c>
      <c r="AS512" s="56"/>
      <c r="AT512" s="55"/>
      <c r="CB512" s="56"/>
      <c r="CC512" s="54"/>
      <c r="CL512" s="51" t="s">
        <v>870</v>
      </c>
      <c r="CU512" s="51" t="s">
        <v>870</v>
      </c>
    </row>
    <row r="513" spans="2:99">
      <c r="B513" s="52" t="str">
        <f>IF(F513&lt;&gt;"",SUBTOTAL(3,$F$5:F513),"")</f>
        <v/>
      </c>
      <c r="C513" s="52"/>
      <c r="D513" s="53"/>
      <c r="E513" s="53"/>
      <c r="F513" s="53"/>
      <c r="G513" s="106"/>
      <c r="H513" s="100"/>
      <c r="I513" s="106"/>
      <c r="J513" s="100"/>
      <c r="K513" s="55"/>
      <c r="L513" s="51" t="s">
        <v>864</v>
      </c>
      <c r="T513" t="s">
        <v>861</v>
      </c>
      <c r="U513"/>
      <c r="AD513"/>
      <c r="AJ513" s="51" t="s">
        <v>881</v>
      </c>
      <c r="AS513" s="56"/>
      <c r="AT513" s="55"/>
      <c r="CB513" s="56"/>
      <c r="CC513" s="54"/>
      <c r="CE513" s="51" t="s">
        <v>869</v>
      </c>
      <c r="CL513" s="51" t="s">
        <v>871</v>
      </c>
      <c r="CU513" s="51" t="s">
        <v>876</v>
      </c>
    </row>
    <row r="514" spans="2:99">
      <c r="B514" s="52" t="str">
        <f>IF(F514&lt;&gt;"",SUBTOTAL(3,$F$5:F514),"")</f>
        <v/>
      </c>
      <c r="C514" s="52"/>
      <c r="D514" s="53"/>
      <c r="E514" s="53"/>
      <c r="F514" s="53"/>
      <c r="G514" s="106"/>
      <c r="H514" s="100"/>
      <c r="I514" s="106"/>
      <c r="J514" s="100"/>
      <c r="K514" s="55"/>
      <c r="AJ514" s="51" t="s">
        <v>882</v>
      </c>
      <c r="AS514" s="56"/>
      <c r="AT514" s="55"/>
      <c r="CB514" s="56"/>
      <c r="CC514" s="54"/>
      <c r="CL514" s="51" t="s">
        <v>872</v>
      </c>
      <c r="CU514" s="51" t="s">
        <v>877</v>
      </c>
    </row>
    <row r="515" spans="2:99">
      <c r="B515" s="52" t="str">
        <f>IF(F515&lt;&gt;"",SUBTOTAL(3,$F$5:F515),"")</f>
        <v/>
      </c>
      <c r="C515" s="52"/>
      <c r="D515" s="53"/>
      <c r="E515" s="53"/>
      <c r="F515" s="53"/>
      <c r="G515" s="106"/>
      <c r="H515" s="100"/>
      <c r="I515" s="106"/>
      <c r="J515" s="100"/>
      <c r="K515" s="55"/>
      <c r="AJ515" s="51" t="s">
        <v>883</v>
      </c>
      <c r="AS515" s="56"/>
      <c r="AT515" s="55"/>
      <c r="CB515" s="56"/>
      <c r="CC515" s="54"/>
      <c r="CL515" s="51" t="s">
        <v>873</v>
      </c>
      <c r="CU515" s="51" t="s">
        <v>878</v>
      </c>
    </row>
    <row r="516" spans="2:99">
      <c r="B516" s="52" t="str">
        <f>IF(F516&lt;&gt;"",SUBTOTAL(3,$F$5:F516),"")</f>
        <v/>
      </c>
      <c r="C516" s="52"/>
      <c r="D516" s="53"/>
      <c r="E516" s="53"/>
      <c r="F516" s="53"/>
      <c r="G516" s="106"/>
      <c r="H516" s="100"/>
      <c r="I516" s="106"/>
      <c r="J516" s="100"/>
      <c r="K516" s="55"/>
      <c r="AJ516" s="51" t="s">
        <v>884</v>
      </c>
      <c r="AS516" s="56"/>
      <c r="AT516" s="55"/>
      <c r="CB516" s="56"/>
      <c r="CC516" s="54"/>
      <c r="CL516" s="51" t="s">
        <v>874</v>
      </c>
      <c r="CU516" s="51" t="s">
        <v>879</v>
      </c>
    </row>
    <row r="517" spans="2:99">
      <c r="B517" s="52" t="str">
        <f>IF(F517&lt;&gt;"",SUBTOTAL(3,$F$5:F517),"")</f>
        <v/>
      </c>
      <c r="C517" s="52"/>
      <c r="D517" s="53"/>
      <c r="E517" s="53"/>
      <c r="F517" s="53"/>
      <c r="G517" s="106"/>
      <c r="H517" s="100"/>
      <c r="I517" s="106"/>
      <c r="J517" s="100"/>
      <c r="K517" s="55" t="s">
        <v>865</v>
      </c>
      <c r="U517" s="51" t="s">
        <v>860</v>
      </c>
      <c r="AS517" s="56"/>
      <c r="AT517" s="55"/>
      <c r="CB517" s="56"/>
      <c r="CC517" s="54"/>
      <c r="CL517" s="51" t="s">
        <v>875</v>
      </c>
      <c r="CU517" s="51" t="s">
        <v>875</v>
      </c>
    </row>
    <row r="518" spans="2:99">
      <c r="B518" s="52" t="str">
        <f>IF(F518&lt;&gt;"",SUBTOTAL(3,$F$5:F518),"")</f>
        <v/>
      </c>
      <c r="C518" s="52"/>
      <c r="D518" s="53"/>
      <c r="E518" s="53"/>
      <c r="F518" s="53"/>
      <c r="G518" s="106"/>
      <c r="H518" s="100"/>
      <c r="I518" s="106"/>
      <c r="J518" s="100"/>
      <c r="K518" s="55"/>
      <c r="L518" s="51" t="s">
        <v>866</v>
      </c>
      <c r="N518"/>
      <c r="Z518"/>
      <c r="AS518" s="56"/>
      <c r="AT518" s="55"/>
      <c r="CB518" s="56"/>
      <c r="CC518" s="54"/>
      <c r="CE518" s="51" t="s">
        <v>893</v>
      </c>
    </row>
    <row r="519" spans="2:99">
      <c r="B519" s="52" t="str">
        <f>IF(F519&lt;&gt;"",SUBTOTAL(3,$F$5:F519),"")</f>
        <v/>
      </c>
      <c r="C519" s="52"/>
      <c r="D519" s="53"/>
      <c r="E519" s="53"/>
      <c r="F519" s="53"/>
      <c r="G519" s="106"/>
      <c r="H519" s="100"/>
      <c r="I519" s="106"/>
      <c r="J519" s="100"/>
      <c r="K519" s="55"/>
      <c r="L519" s="51" t="s">
        <v>867</v>
      </c>
      <c r="O519"/>
      <c r="AC519"/>
      <c r="AS519" s="56"/>
      <c r="AT519" s="55"/>
      <c r="CB519" s="56"/>
      <c r="CC519" s="54"/>
      <c r="CE519" s="51" t="s">
        <v>868</v>
      </c>
    </row>
    <row r="520" spans="2:99">
      <c r="B520" s="52"/>
      <c r="C520" s="52"/>
      <c r="D520" s="53"/>
      <c r="E520" s="53"/>
      <c r="F520" s="53"/>
      <c r="G520" s="106"/>
      <c r="H520" s="100"/>
      <c r="I520" s="106"/>
      <c r="J520" s="100"/>
      <c r="K520" s="55"/>
      <c r="L520" s="51" t="s">
        <v>891</v>
      </c>
      <c r="O520"/>
      <c r="AS520" s="56"/>
      <c r="AT520" s="55"/>
      <c r="CB520" s="56"/>
      <c r="CC520" s="54"/>
      <c r="CE520" s="51" t="s">
        <v>880</v>
      </c>
    </row>
    <row r="521" spans="2:99">
      <c r="B521" s="52" t="str">
        <f>IF(F521&lt;&gt;"",SUBTOTAL(3,$F$5:F521),"")</f>
        <v/>
      </c>
      <c r="C521" s="52"/>
      <c r="D521" s="53"/>
      <c r="E521" s="53"/>
      <c r="F521" s="53"/>
      <c r="G521" s="106"/>
      <c r="H521" s="100"/>
      <c r="I521" s="106"/>
      <c r="J521" s="100"/>
      <c r="K521" s="55"/>
      <c r="L521" s="51" t="s">
        <v>892</v>
      </c>
      <c r="O521"/>
      <c r="AS521" s="56"/>
      <c r="AT521" s="55"/>
      <c r="CB521" s="56"/>
      <c r="CC521" s="54"/>
      <c r="CE521" s="51" t="s">
        <v>885</v>
      </c>
    </row>
    <row r="522" spans="2:99">
      <c r="B522" s="52" t="str">
        <f>IF(F522&lt;&gt;"",SUBTOTAL(3,$F$5:F522),"")</f>
        <v/>
      </c>
      <c r="C522" s="52"/>
      <c r="D522" s="53"/>
      <c r="E522" s="53"/>
      <c r="F522" s="53"/>
      <c r="G522" s="106"/>
      <c r="H522" s="100"/>
      <c r="I522" s="106"/>
      <c r="J522" s="100"/>
      <c r="K522" s="55"/>
      <c r="AS522" s="56"/>
      <c r="AT522" s="55"/>
      <c r="CB522" s="56"/>
      <c r="CC522" s="54"/>
    </row>
    <row r="523" spans="2:99">
      <c r="B523" s="52"/>
      <c r="C523" s="52"/>
      <c r="D523" s="53"/>
      <c r="E523" s="53"/>
      <c r="F523" s="53"/>
      <c r="G523" s="106"/>
      <c r="H523" s="100"/>
      <c r="I523" s="106"/>
      <c r="J523" s="100"/>
      <c r="K523" s="55" t="s">
        <v>888</v>
      </c>
      <c r="O523"/>
      <c r="V523" s="51" t="s">
        <v>889</v>
      </c>
      <c r="AS523" s="56"/>
      <c r="AT523" s="55"/>
      <c r="CB523" s="56"/>
      <c r="CC523" s="54"/>
    </row>
    <row r="524" spans="2:99">
      <c r="B524" s="52" t="str">
        <f>IF(F524&lt;&gt;"",SUBTOTAL(3,$F$5:F524),"")</f>
        <v/>
      </c>
      <c r="C524" s="52"/>
      <c r="D524" s="53"/>
      <c r="E524" s="53"/>
      <c r="F524" s="53"/>
      <c r="G524" s="106"/>
      <c r="H524" s="100"/>
      <c r="I524" s="106"/>
      <c r="J524" s="100"/>
      <c r="K524" s="55"/>
      <c r="AS524" s="56"/>
      <c r="AT524" s="55"/>
      <c r="CB524" s="56"/>
      <c r="CC524" s="54"/>
    </row>
    <row r="525" spans="2:99">
      <c r="B525" s="52" t="str">
        <f>IF(F525&lt;&gt;"",SUBTOTAL(3,$F$5:F525),"")</f>
        <v/>
      </c>
      <c r="C525" s="52"/>
      <c r="D525" s="53"/>
      <c r="E525" s="53"/>
      <c r="F525" s="53"/>
      <c r="G525" s="106"/>
      <c r="H525" s="100"/>
      <c r="I525" s="106"/>
      <c r="J525" s="100"/>
      <c r="K525" s="55" t="s">
        <v>887</v>
      </c>
      <c r="AS525" s="56"/>
      <c r="AT525" s="55"/>
      <c r="CB525" s="56"/>
      <c r="CC525" s="54"/>
    </row>
    <row r="526" spans="2:99">
      <c r="B526" s="52" t="str">
        <f>IF(F526&lt;&gt;"",SUBTOTAL(3,$F$5:F526),"")</f>
        <v/>
      </c>
      <c r="C526" s="52"/>
      <c r="D526" s="53"/>
      <c r="E526" s="53"/>
      <c r="F526" s="53"/>
      <c r="G526" s="106"/>
      <c r="H526" s="100"/>
      <c r="I526" s="106"/>
      <c r="J526" s="100"/>
      <c r="K526" s="55" t="s">
        <v>852</v>
      </c>
      <c r="AS526" s="56"/>
      <c r="AT526" s="55"/>
      <c r="CB526" s="56"/>
      <c r="CC526" s="54"/>
    </row>
    <row r="527" spans="2:99">
      <c r="B527" s="52" t="str">
        <f>IF(F527&lt;&gt;"",SUBTOTAL(3,$F$5:F527),"")</f>
        <v/>
      </c>
      <c r="C527" s="52"/>
      <c r="D527" s="53"/>
      <c r="E527" s="53"/>
      <c r="F527" s="53"/>
      <c r="G527" s="106"/>
      <c r="H527" s="100"/>
      <c r="I527" s="106"/>
      <c r="J527" s="100"/>
      <c r="K527" s="55" t="s">
        <v>853</v>
      </c>
      <c r="AS527" s="56"/>
      <c r="AT527" s="55"/>
      <c r="CB527" s="56"/>
      <c r="CC527" s="54"/>
    </row>
    <row r="528" spans="2:99">
      <c r="B528" s="52" t="str">
        <f>IF(F528&lt;&gt;"",SUBTOTAL(3,$F$5:F528),"")</f>
        <v/>
      </c>
      <c r="C528" s="52"/>
      <c r="D528" s="53"/>
      <c r="E528" s="53"/>
      <c r="F528" s="53"/>
      <c r="G528" s="106"/>
      <c r="H528" s="100"/>
      <c r="I528" s="106"/>
      <c r="J528" s="100"/>
      <c r="K528" s="55" t="s">
        <v>854</v>
      </c>
      <c r="AS528" s="56"/>
      <c r="AT528" s="55"/>
      <c r="CB528" s="56"/>
      <c r="CC528" s="54"/>
    </row>
    <row r="529" spans="2:81">
      <c r="B529" s="52" t="str">
        <f>IF(F529&lt;&gt;"",SUBTOTAL(3,$F$5:F529),"")</f>
        <v/>
      </c>
      <c r="C529" s="52"/>
      <c r="D529" s="53"/>
      <c r="E529" s="53"/>
      <c r="F529" s="53"/>
      <c r="G529" s="106"/>
      <c r="H529" s="100"/>
      <c r="I529" s="106"/>
      <c r="J529" s="100"/>
      <c r="K529" s="55" t="s">
        <v>855</v>
      </c>
      <c r="AS529" s="56"/>
      <c r="AT529" s="55"/>
      <c r="CB529" s="56"/>
      <c r="CC529" s="54"/>
    </row>
    <row r="530" spans="2:81">
      <c r="B530" s="52" t="str">
        <f>IF(F530&lt;&gt;"",SUBTOTAL(3,$F$5:F530),"")</f>
        <v/>
      </c>
      <c r="C530" s="52"/>
      <c r="D530" s="53"/>
      <c r="E530" s="53"/>
      <c r="F530" s="53"/>
      <c r="G530" s="106"/>
      <c r="H530" s="100"/>
      <c r="I530" s="106"/>
      <c r="J530" s="100"/>
      <c r="K530" s="55" t="s">
        <v>856</v>
      </c>
      <c r="AS530" s="56"/>
      <c r="AT530" s="55"/>
      <c r="CB530" s="56"/>
      <c r="CC530" s="54"/>
    </row>
    <row r="531" spans="2:81">
      <c r="B531" s="52" t="str">
        <f>IF(F531&lt;&gt;"",SUBTOTAL(3,$F$5:F531),"")</f>
        <v/>
      </c>
      <c r="C531" s="52"/>
      <c r="D531" s="53"/>
      <c r="E531"/>
      <c r="F531" s="53"/>
      <c r="G531" s="106"/>
      <c r="H531" s="100"/>
      <c r="I531" s="106"/>
      <c r="J531" s="100"/>
      <c r="K531" s="55" t="s">
        <v>857</v>
      </c>
      <c r="AS531" s="56"/>
      <c r="AT531" s="55"/>
      <c r="CB531" s="56"/>
      <c r="CC531" s="54"/>
    </row>
    <row r="532" spans="2:81">
      <c r="B532" s="52" t="str">
        <f>IF(F532&lt;&gt;"",SUBTOTAL(3,$F$5:F532),"")</f>
        <v/>
      </c>
      <c r="C532" s="52"/>
      <c r="D532" s="53"/>
      <c r="E532" s="53"/>
      <c r="F532" s="53"/>
      <c r="G532" s="106"/>
      <c r="H532" s="100"/>
      <c r="I532" s="106"/>
      <c r="J532" s="100"/>
      <c r="K532" s="55" t="s">
        <v>858</v>
      </c>
      <c r="AS532" s="56"/>
      <c r="AT532" s="55"/>
      <c r="CB532" s="56"/>
      <c r="CC532" s="54"/>
    </row>
    <row r="533" spans="2:81">
      <c r="B533" s="52" t="str">
        <f>IF(F533&lt;&gt;"",SUBTOTAL(3,$F$5:F533),"")</f>
        <v/>
      </c>
      <c r="C533" s="52"/>
      <c r="D533" s="53"/>
      <c r="E533" s="53"/>
      <c r="F533" s="53"/>
      <c r="G533" s="106"/>
      <c r="H533" s="100"/>
      <c r="I533" s="106"/>
      <c r="J533" s="100"/>
      <c r="K533" s="55" t="s">
        <v>851</v>
      </c>
      <c r="AS533" s="56"/>
      <c r="AT533" s="55"/>
      <c r="CB533" s="56"/>
      <c r="CC533" s="54"/>
    </row>
    <row r="534" spans="2:81">
      <c r="B534" s="52" t="str">
        <f>IF(F534&lt;&gt;"",SUBTOTAL(3,$F$5:F534),"")</f>
        <v/>
      </c>
      <c r="C534" s="52"/>
      <c r="D534" s="53"/>
      <c r="E534" s="53"/>
      <c r="F534" s="53"/>
      <c r="G534" s="106"/>
      <c r="H534" s="100"/>
      <c r="I534" s="106"/>
      <c r="J534" s="100"/>
      <c r="K534" s="55" t="s">
        <v>592</v>
      </c>
      <c r="AS534" s="56"/>
      <c r="AT534" s="55"/>
      <c r="CB534" s="56"/>
      <c r="CC534" s="54"/>
    </row>
    <row r="535" spans="2:81">
      <c r="B535" s="52" t="str">
        <f>IF(F535&lt;&gt;"",SUBTOTAL(3,$F$5:F535),"")</f>
        <v/>
      </c>
      <c r="C535" s="52"/>
      <c r="D535" s="53"/>
      <c r="E535" s="53"/>
      <c r="F535" s="53"/>
      <c r="G535" s="106"/>
      <c r="H535" s="100"/>
      <c r="I535" s="106"/>
      <c r="J535" s="100"/>
      <c r="K535" s="55"/>
      <c r="AS535" s="56"/>
      <c r="AT535" s="55"/>
      <c r="CB535" s="56"/>
      <c r="CC535" s="54"/>
    </row>
    <row r="536" spans="2:81">
      <c r="B536" s="52">
        <f>IF(F536&lt;&gt;"",SUBTOTAL(3,$F$5:F536),"")</f>
        <v>104</v>
      </c>
      <c r="C536" s="52"/>
      <c r="D536" s="53" t="s">
        <v>138</v>
      </c>
      <c r="E536" s="53" t="s">
        <v>141</v>
      </c>
      <c r="F536" s="53" t="s">
        <v>643</v>
      </c>
      <c r="G536" s="106">
        <v>44290</v>
      </c>
      <c r="H536" s="100">
        <v>1</v>
      </c>
      <c r="I536" s="106">
        <v>44829</v>
      </c>
      <c r="J536" s="100" t="s">
        <v>684</v>
      </c>
      <c r="K536" s="55" t="s">
        <v>849</v>
      </c>
      <c r="AS536" s="56"/>
      <c r="AT536" s="55"/>
      <c r="CB536" s="56"/>
      <c r="CC536" s="54"/>
    </row>
    <row r="537" spans="2:81">
      <c r="B537" s="52" t="str">
        <f>IF(F537&lt;&gt;"",SUBTOTAL(3,$F$5:F537),"")</f>
        <v/>
      </c>
      <c r="C537" s="52"/>
      <c r="D537" s="53"/>
      <c r="E537" s="53"/>
      <c r="F537" s="53"/>
      <c r="G537" s="106"/>
      <c r="H537" s="100"/>
      <c r="I537" s="106"/>
      <c r="J537" s="100"/>
      <c r="K537" s="55" t="s">
        <v>850</v>
      </c>
      <c r="AS537" s="56"/>
      <c r="AT537" s="55"/>
      <c r="CB537" s="56"/>
      <c r="CC537" s="54"/>
    </row>
    <row r="538" spans="2:81">
      <c r="B538" s="52" t="str">
        <f>IF(F538&lt;&gt;"",SUBTOTAL(3,$F$5:F538),"")</f>
        <v/>
      </c>
      <c r="C538" s="52"/>
      <c r="D538" s="53"/>
      <c r="E538" s="53"/>
      <c r="F538" s="53"/>
      <c r="G538" s="106"/>
      <c r="H538" s="100"/>
      <c r="I538" s="106"/>
      <c r="J538" s="100"/>
      <c r="K538" s="55"/>
      <c r="AS538" s="56"/>
      <c r="AT538" s="55"/>
      <c r="CB538" s="56"/>
      <c r="CC538" s="54"/>
    </row>
    <row r="539" spans="2:81">
      <c r="B539" s="52">
        <f>IF(F539&lt;&gt;"",SUBTOTAL(3,$F$5:F539),"")</f>
        <v>105</v>
      </c>
      <c r="C539" s="52"/>
      <c r="D539" s="53" t="s">
        <v>138</v>
      </c>
      <c r="E539" s="53" t="s">
        <v>141</v>
      </c>
      <c r="F539" s="53" t="s">
        <v>644</v>
      </c>
      <c r="G539" s="106">
        <v>44295</v>
      </c>
      <c r="H539" s="100">
        <v>1</v>
      </c>
      <c r="I539" s="106">
        <v>44829</v>
      </c>
      <c r="J539" s="100" t="s">
        <v>684</v>
      </c>
      <c r="K539" s="55" t="s">
        <v>846</v>
      </c>
      <c r="AS539" s="56"/>
      <c r="AT539" s="55"/>
      <c r="CB539" s="56"/>
      <c r="CC539" s="54"/>
    </row>
    <row r="540" spans="2:81">
      <c r="B540" s="52" t="str">
        <f>IF(F540&lt;&gt;"",SUBTOTAL(3,$F$5:F540),"")</f>
        <v/>
      </c>
      <c r="C540" s="52"/>
      <c r="D540" s="53"/>
      <c r="E540" s="53"/>
      <c r="F540" s="53"/>
      <c r="G540" s="106"/>
      <c r="H540" s="100"/>
      <c r="I540" s="106"/>
      <c r="J540" s="100"/>
      <c r="K540" s="55" t="s">
        <v>847</v>
      </c>
      <c r="AS540" s="56"/>
      <c r="AT540" s="55"/>
      <c r="CB540" s="56"/>
      <c r="CC540" s="54"/>
    </row>
    <row r="541" spans="2:81">
      <c r="B541" s="52" t="str">
        <f>IF(F541&lt;&gt;"",SUBTOTAL(3,$F$5:F541),"")</f>
        <v/>
      </c>
      <c r="C541" s="52"/>
      <c r="D541" s="53"/>
      <c r="E541" s="53"/>
      <c r="F541" s="53"/>
      <c r="G541" s="106"/>
      <c r="H541" s="100"/>
      <c r="I541" s="106"/>
      <c r="J541" s="100"/>
      <c r="K541" s="55" t="s">
        <v>848</v>
      </c>
      <c r="AS541" s="56"/>
      <c r="AT541" s="55"/>
      <c r="CB541" s="56"/>
      <c r="CC541" s="54"/>
    </row>
    <row r="542" spans="2:81">
      <c r="B542" s="52" t="str">
        <f>IF(F542&lt;&gt;"",SUBTOTAL(3,$F$5:F542),"")</f>
        <v/>
      </c>
      <c r="C542" s="52"/>
      <c r="D542" s="53"/>
      <c r="E542" s="53"/>
      <c r="F542" s="53"/>
      <c r="G542" s="106"/>
      <c r="H542" s="100"/>
      <c r="I542" s="106"/>
      <c r="J542" s="100"/>
      <c r="K542" s="55"/>
      <c r="AS542" s="56"/>
      <c r="AT542" s="55"/>
      <c r="CB542" s="56"/>
      <c r="CC542" s="54"/>
    </row>
    <row r="543" spans="2:81">
      <c r="B543" s="52">
        <f>IF(F543&lt;&gt;"",SUBTOTAL(3,$F$5:F543),"")</f>
        <v>106</v>
      </c>
      <c r="C543" s="52"/>
      <c r="D543" s="53" t="s">
        <v>138</v>
      </c>
      <c r="E543" s="53" t="s">
        <v>141</v>
      </c>
      <c r="F543" s="53" t="s">
        <v>645</v>
      </c>
      <c r="G543" s="106">
        <v>44295</v>
      </c>
      <c r="H543" s="100">
        <v>1</v>
      </c>
      <c r="I543" s="106">
        <v>44829</v>
      </c>
      <c r="J543" s="100" t="s">
        <v>684</v>
      </c>
      <c r="K543" s="55" t="s">
        <v>839</v>
      </c>
      <c r="AS543" s="56"/>
      <c r="AT543" s="55"/>
      <c r="CB543" s="56"/>
      <c r="CC543" s="54"/>
    </row>
    <row r="544" spans="2:81">
      <c r="B544" s="52" t="str">
        <f>IF(F544&lt;&gt;"",SUBTOTAL(3,$F$5:F544),"")</f>
        <v/>
      </c>
      <c r="C544" s="52"/>
      <c r="D544" s="53"/>
      <c r="E544" s="53"/>
      <c r="F544" s="53"/>
      <c r="G544" s="106"/>
      <c r="H544" s="100"/>
      <c r="I544" s="106"/>
      <c r="J544" s="100"/>
      <c r="K544" s="55" t="s">
        <v>840</v>
      </c>
      <c r="AS544" s="56"/>
      <c r="AT544" s="55"/>
      <c r="CB544" s="56"/>
      <c r="CC544" s="54"/>
    </row>
    <row r="545" spans="2:81">
      <c r="B545" s="52" t="str">
        <f>IF(F545&lt;&gt;"",SUBTOTAL(3,$F$5:F545),"")</f>
        <v/>
      </c>
      <c r="C545" s="52"/>
      <c r="D545" s="53"/>
      <c r="E545" s="53"/>
      <c r="F545" s="53"/>
      <c r="G545" s="106"/>
      <c r="H545" s="100"/>
      <c r="I545" s="106"/>
      <c r="J545" s="100"/>
      <c r="K545" s="55" t="s">
        <v>841</v>
      </c>
      <c r="AS545" s="56"/>
      <c r="AT545" s="55"/>
      <c r="CB545" s="56"/>
      <c r="CC545" s="54"/>
    </row>
    <row r="546" spans="2:81">
      <c r="B546" s="52" t="str">
        <f>IF(F546&lt;&gt;"",SUBTOTAL(3,$F$5:F546),"")</f>
        <v/>
      </c>
      <c r="C546" s="52"/>
      <c r="D546" s="53"/>
      <c r="E546" s="53"/>
      <c r="F546" s="53"/>
      <c r="G546" s="106"/>
      <c r="H546" s="100"/>
      <c r="I546" s="106"/>
      <c r="J546" s="100"/>
      <c r="K546" s="55" t="s">
        <v>842</v>
      </c>
      <c r="AS546" s="56"/>
      <c r="AT546" s="55"/>
      <c r="CB546" s="56"/>
      <c r="CC546" s="54"/>
    </row>
    <row r="547" spans="2:81">
      <c r="B547" s="52" t="str">
        <f>IF(F547&lt;&gt;"",SUBTOTAL(3,$F$5:F547),"")</f>
        <v/>
      </c>
      <c r="C547" s="52"/>
      <c r="D547" s="53"/>
      <c r="E547" s="53"/>
      <c r="F547" s="53"/>
      <c r="G547" s="106"/>
      <c r="H547" s="100"/>
      <c r="I547" s="106"/>
      <c r="J547" s="100"/>
      <c r="K547" s="55" t="s">
        <v>843</v>
      </c>
      <c r="AS547" s="56"/>
      <c r="AT547" s="55"/>
      <c r="CB547" s="56"/>
      <c r="CC547" s="54"/>
    </row>
    <row r="548" spans="2:81">
      <c r="B548" s="52" t="str">
        <f>IF(F548&lt;&gt;"",SUBTOTAL(3,$F$5:F548),"")</f>
        <v/>
      </c>
      <c r="C548" s="52"/>
      <c r="D548" s="53"/>
      <c r="E548" s="53"/>
      <c r="F548" s="53"/>
      <c r="G548" s="106"/>
      <c r="H548" s="100"/>
      <c r="I548" s="106"/>
      <c r="J548" s="100"/>
      <c r="K548" s="55"/>
      <c r="AS548" s="56"/>
      <c r="AT548" s="55"/>
      <c r="CB548" s="56"/>
      <c r="CC548" s="54"/>
    </row>
    <row r="549" spans="2:81" ht="15.75">
      <c r="B549" s="52">
        <f>IF(F549&lt;&gt;"",SUBTOTAL(3,$F$5:F549),"")</f>
        <v>107</v>
      </c>
      <c r="C549" s="52"/>
      <c r="D549" s="53" t="s">
        <v>138</v>
      </c>
      <c r="E549" s="53" t="s">
        <v>141</v>
      </c>
      <c r="F549" s="53" t="s">
        <v>646</v>
      </c>
      <c r="G549" s="106">
        <v>44296</v>
      </c>
      <c r="H549" s="100">
        <v>1</v>
      </c>
      <c r="I549" s="106">
        <v>44828</v>
      </c>
      <c r="J549" s="100" t="s">
        <v>684</v>
      </c>
      <c r="K549" s="55" t="s">
        <v>844</v>
      </c>
      <c r="AS549" s="56"/>
      <c r="AT549" s="55"/>
      <c r="CB549" s="56"/>
      <c r="CC549" s="54"/>
    </row>
    <row r="550" spans="2:81">
      <c r="B550" s="52" t="str">
        <f>IF(F550&lt;&gt;"",SUBTOTAL(3,$F$5:F550),"")</f>
        <v/>
      </c>
      <c r="C550" s="52"/>
      <c r="D550" s="53"/>
      <c r="E550" s="53"/>
      <c r="F550" s="53"/>
      <c r="G550" s="106"/>
      <c r="H550" s="100"/>
      <c r="I550" s="106"/>
      <c r="J550" s="100"/>
      <c r="K550" s="55" t="s">
        <v>845</v>
      </c>
      <c r="AS550" s="56"/>
      <c r="AT550" s="55"/>
      <c r="CB550" s="56"/>
      <c r="CC550" s="54"/>
    </row>
    <row r="551" spans="2:81">
      <c r="B551" s="52" t="str">
        <f>IF(F551&lt;&gt;"",SUBTOTAL(3,$F$5:F551),"")</f>
        <v/>
      </c>
      <c r="C551" s="52"/>
      <c r="D551" s="53"/>
      <c r="E551" s="53"/>
      <c r="F551" s="53"/>
      <c r="G551" s="106"/>
      <c r="H551" s="100"/>
      <c r="I551" s="106"/>
      <c r="J551" s="100"/>
      <c r="K551" s="55"/>
      <c r="AS551" s="56"/>
      <c r="AT551" s="55"/>
      <c r="CB551" s="56"/>
      <c r="CC551" s="54"/>
    </row>
    <row r="552" spans="2:81">
      <c r="B552" s="52">
        <f>IF(F552&lt;&gt;"",SUBTOTAL(3,$F$5:F552),"")</f>
        <v>108</v>
      </c>
      <c r="C552" s="52"/>
      <c r="D552" s="53" t="s">
        <v>138</v>
      </c>
      <c r="E552" s="53" t="s">
        <v>141</v>
      </c>
      <c r="F552" s="53" t="s">
        <v>647</v>
      </c>
      <c r="G552" s="106">
        <v>44296</v>
      </c>
      <c r="H552" s="100">
        <v>1</v>
      </c>
      <c r="I552" s="106">
        <v>44828</v>
      </c>
      <c r="J552" s="100" t="s">
        <v>684</v>
      </c>
      <c r="K552" s="55" t="s">
        <v>815</v>
      </c>
      <c r="AS552" s="56"/>
      <c r="AT552" s="55"/>
      <c r="CB552" s="56"/>
      <c r="CC552" s="54"/>
    </row>
    <row r="553" spans="2:81">
      <c r="B553" s="52" t="str">
        <f>IF(F553&lt;&gt;"",SUBTOTAL(3,$F$5:F553),"")</f>
        <v/>
      </c>
      <c r="C553" s="52"/>
      <c r="D553" s="53"/>
      <c r="E553" s="53"/>
      <c r="F553" s="53"/>
      <c r="G553" s="106"/>
      <c r="H553" s="100"/>
      <c r="I553" s="106"/>
      <c r="J553" s="100"/>
      <c r="K553" s="55" t="s">
        <v>816</v>
      </c>
      <c r="AS553" s="56"/>
      <c r="AT553" s="55"/>
      <c r="CB553" s="56"/>
      <c r="CC553" s="54"/>
    </row>
    <row r="554" spans="2:81">
      <c r="B554" s="52"/>
      <c r="C554" s="52"/>
      <c r="D554" s="53"/>
      <c r="E554" s="53"/>
      <c r="F554" s="53"/>
      <c r="G554" s="106"/>
      <c r="H554" s="100"/>
      <c r="I554" s="106"/>
      <c r="J554" s="100"/>
      <c r="K554" s="55" t="s">
        <v>817</v>
      </c>
      <c r="AS554" s="56"/>
      <c r="AT554" s="55"/>
      <c r="CB554" s="56"/>
      <c r="CC554" s="54"/>
    </row>
    <row r="555" spans="2:81">
      <c r="B555" s="52"/>
      <c r="C555" s="52"/>
      <c r="D555" s="53"/>
      <c r="E555" s="53"/>
      <c r="F555" s="53"/>
      <c r="G555" s="106"/>
      <c r="H555" s="100"/>
      <c r="I555" s="106"/>
      <c r="J555" s="100"/>
      <c r="K555" s="55" t="s">
        <v>818</v>
      </c>
      <c r="AS555" s="56"/>
      <c r="AT555" s="55"/>
      <c r="CB555" s="56"/>
      <c r="CC555" s="54"/>
    </row>
    <row r="556" spans="2:81">
      <c r="B556" s="52"/>
      <c r="C556" s="52"/>
      <c r="D556" s="53"/>
      <c r="E556" s="53"/>
      <c r="F556" s="53"/>
      <c r="G556" s="106"/>
      <c r="H556" s="100"/>
      <c r="I556" s="106"/>
      <c r="J556" s="100"/>
      <c r="K556" s="127" t="s">
        <v>819</v>
      </c>
      <c r="AS556" s="56"/>
      <c r="AT556" s="55"/>
      <c r="CB556" s="56"/>
      <c r="CC556" s="54"/>
    </row>
    <row r="557" spans="2:81" ht="15.75">
      <c r="B557" s="52"/>
      <c r="C557" s="52"/>
      <c r="D557" s="53"/>
      <c r="E557" s="53"/>
      <c r="F557" s="53"/>
      <c r="G557" s="106"/>
      <c r="H557" s="100"/>
      <c r="I557" s="106"/>
      <c r="J557" s="100"/>
      <c r="K557" s="55" t="s">
        <v>820</v>
      </c>
      <c r="AS557" s="56"/>
      <c r="AT557" s="55"/>
      <c r="CB557" s="56"/>
      <c r="CC557" s="54"/>
    </row>
    <row r="558" spans="2:81">
      <c r="B558" s="52"/>
      <c r="C558" s="52"/>
      <c r="D558" s="53"/>
      <c r="E558" s="53"/>
      <c r="F558" s="53"/>
      <c r="G558" s="106"/>
      <c r="H558" s="100"/>
      <c r="I558" s="106"/>
      <c r="J558" s="100"/>
      <c r="K558" s="55" t="s">
        <v>823</v>
      </c>
      <c r="AS558" s="56"/>
      <c r="AT558" s="55"/>
      <c r="CB558" s="56"/>
      <c r="CC558" s="54"/>
    </row>
    <row r="559" spans="2:81">
      <c r="B559" s="52"/>
      <c r="C559" s="52"/>
      <c r="D559" s="53"/>
      <c r="E559" s="53"/>
      <c r="F559" s="53"/>
      <c r="G559" s="106"/>
      <c r="H559" s="100"/>
      <c r="I559" s="106"/>
      <c r="J559" s="100"/>
      <c r="K559" s="55" t="s">
        <v>829</v>
      </c>
      <c r="AS559" s="56"/>
      <c r="AT559" s="55"/>
      <c r="CB559" s="56"/>
      <c r="CC559" s="54"/>
    </row>
    <row r="560" spans="2:81">
      <c r="B560" s="52"/>
      <c r="C560" s="52"/>
      <c r="D560" s="53"/>
      <c r="E560" s="53"/>
      <c r="F560" s="53"/>
      <c r="G560" s="106"/>
      <c r="H560" s="100"/>
      <c r="I560" s="106"/>
      <c r="J560" s="100"/>
      <c r="K560" s="55" t="s">
        <v>826</v>
      </c>
      <c r="AS560" s="56"/>
      <c r="AT560" s="55"/>
      <c r="CB560" s="56"/>
      <c r="CC560" s="54"/>
    </row>
    <row r="561" spans="2:81">
      <c r="B561" s="52"/>
      <c r="C561" s="52"/>
      <c r="D561" s="53"/>
      <c r="E561" s="53"/>
      <c r="F561" s="53"/>
      <c r="G561" s="106"/>
      <c r="H561" s="100"/>
      <c r="I561" s="106"/>
      <c r="J561" s="100"/>
      <c r="K561" s="55" t="s">
        <v>830</v>
      </c>
      <c r="AS561" s="56"/>
      <c r="AT561" s="55"/>
      <c r="CB561" s="56"/>
      <c r="CC561" s="54"/>
    </row>
    <row r="562" spans="2:81">
      <c r="B562" s="52"/>
      <c r="C562" s="52"/>
      <c r="D562" s="53"/>
      <c r="E562" s="53"/>
      <c r="F562" s="53"/>
      <c r="G562" s="106"/>
      <c r="H562" s="100"/>
      <c r="I562" s="106"/>
      <c r="J562" s="100"/>
      <c r="K562" s="55" t="s">
        <v>825</v>
      </c>
      <c r="AS562" s="56"/>
      <c r="AT562" s="55"/>
      <c r="CB562" s="56"/>
      <c r="CC562" s="54"/>
    </row>
    <row r="563" spans="2:81">
      <c r="B563" s="52"/>
      <c r="C563" s="52"/>
      <c r="D563" s="53"/>
      <c r="E563" s="53"/>
      <c r="F563" s="53"/>
      <c r="G563" s="106"/>
      <c r="H563" s="100"/>
      <c r="I563" s="106"/>
      <c r="J563" s="100"/>
      <c r="K563" s="55" t="s">
        <v>827</v>
      </c>
      <c r="AS563" s="56"/>
      <c r="AT563" s="55"/>
      <c r="CB563" s="56"/>
      <c r="CC563" s="54"/>
    </row>
    <row r="564" spans="2:81">
      <c r="B564" s="52"/>
      <c r="C564" s="52"/>
      <c r="D564" s="53"/>
      <c r="E564" s="53"/>
      <c r="F564" s="53"/>
      <c r="G564" s="106"/>
      <c r="H564" s="100"/>
      <c r="I564" s="106"/>
      <c r="J564" s="100"/>
      <c r="K564" s="55" t="s">
        <v>831</v>
      </c>
      <c r="AS564" s="56"/>
      <c r="AT564" s="55"/>
      <c r="CB564" s="56"/>
      <c r="CC564" s="54"/>
    </row>
    <row r="565" spans="2:81">
      <c r="B565" s="52"/>
      <c r="C565" s="52"/>
      <c r="D565" s="53"/>
      <c r="E565" s="53"/>
      <c r="F565" s="53"/>
      <c r="G565" s="106"/>
      <c r="H565" s="100"/>
      <c r="I565" s="106"/>
      <c r="J565" s="100"/>
      <c r="K565" s="55" t="s">
        <v>833</v>
      </c>
      <c r="AS565" s="56"/>
      <c r="AT565" s="55"/>
      <c r="CB565" s="56"/>
      <c r="CC565" s="54"/>
    </row>
    <row r="566" spans="2:81">
      <c r="B566" s="52"/>
      <c r="C566" s="52"/>
      <c r="D566" s="53"/>
      <c r="E566" s="53"/>
      <c r="F566" s="53"/>
      <c r="G566" s="106"/>
      <c r="H566" s="100"/>
      <c r="I566" s="106"/>
      <c r="J566" s="100"/>
      <c r="K566" s="55" t="s">
        <v>834</v>
      </c>
      <c r="AS566" s="56"/>
      <c r="AT566" s="55"/>
      <c r="CB566" s="56"/>
      <c r="CC566" s="54"/>
    </row>
    <row r="567" spans="2:81">
      <c r="B567" s="52"/>
      <c r="C567" s="52"/>
      <c r="D567" s="53"/>
      <c r="E567" s="53"/>
      <c r="F567" s="53"/>
      <c r="G567" s="106"/>
      <c r="H567" s="100"/>
      <c r="I567" s="106"/>
      <c r="J567" s="100"/>
      <c r="K567" s="55" t="s">
        <v>832</v>
      </c>
      <c r="AS567" s="56"/>
      <c r="AT567" s="55"/>
      <c r="CB567" s="56"/>
      <c r="CC567" s="54"/>
    </row>
    <row r="568" spans="2:81">
      <c r="B568" s="52"/>
      <c r="C568" s="52"/>
      <c r="D568" s="53"/>
      <c r="E568" s="53"/>
      <c r="F568" s="53"/>
      <c r="G568" s="106"/>
      <c r="H568" s="100"/>
      <c r="I568" s="106"/>
      <c r="J568" s="100"/>
      <c r="K568" s="55" t="s">
        <v>828</v>
      </c>
      <c r="AS568" s="56"/>
      <c r="AT568" s="55"/>
      <c r="CB568" s="56"/>
      <c r="CC568" s="54"/>
    </row>
    <row r="569" spans="2:81">
      <c r="B569" s="52"/>
      <c r="C569" s="52"/>
      <c r="D569" s="53"/>
      <c r="E569" s="53"/>
      <c r="F569" s="53"/>
      <c r="G569" s="106"/>
      <c r="H569" s="100"/>
      <c r="I569" s="106"/>
      <c r="J569" s="100"/>
      <c r="K569" s="126" t="s">
        <v>835</v>
      </c>
      <c r="N569" s="128" t="s">
        <v>836</v>
      </c>
      <c r="AS569" s="56"/>
      <c r="AT569" s="55"/>
      <c r="CB569" s="56"/>
      <c r="CC569" s="54"/>
    </row>
    <row r="570" spans="2:81">
      <c r="B570" s="52"/>
      <c r="C570" s="52"/>
      <c r="D570" s="53"/>
      <c r="E570" s="53"/>
      <c r="F570" s="53"/>
      <c r="G570" s="106"/>
      <c r="H570" s="100"/>
      <c r="I570" s="106"/>
      <c r="J570" s="100"/>
      <c r="K570" s="126"/>
      <c r="N570" s="128" t="s">
        <v>838</v>
      </c>
      <c r="AS570" s="56"/>
      <c r="AT570" s="55"/>
      <c r="CB570" s="56"/>
      <c r="CC570" s="54"/>
    </row>
    <row r="571" spans="2:81">
      <c r="B571" s="52"/>
      <c r="C571" s="52"/>
      <c r="D571" s="53"/>
      <c r="E571" s="53"/>
      <c r="F571" s="53"/>
      <c r="G571" s="106"/>
      <c r="H571" s="100"/>
      <c r="I571" s="106"/>
      <c r="J571" s="100"/>
      <c r="K571" s="126"/>
      <c r="N571" s="128" t="s">
        <v>837</v>
      </c>
      <c r="AS571" s="56"/>
      <c r="AT571" s="55"/>
      <c r="CB571" s="56"/>
      <c r="CC571" s="54"/>
    </row>
    <row r="572" spans="2:81">
      <c r="B572" s="52"/>
      <c r="C572" s="52"/>
      <c r="D572" s="53"/>
      <c r="E572" s="53"/>
      <c r="F572" s="53"/>
      <c r="G572" s="106"/>
      <c r="H572" s="100"/>
      <c r="I572" s="106"/>
      <c r="J572" s="100"/>
      <c r="K572" s="55" t="s">
        <v>821</v>
      </c>
      <c r="M572" s="34" t="s">
        <v>822</v>
      </c>
      <c r="AS572" s="56"/>
      <c r="AT572" s="55"/>
      <c r="CB572" s="56"/>
      <c r="CC572" s="54"/>
    </row>
    <row r="573" spans="2:81">
      <c r="B573" s="52"/>
      <c r="C573" s="52"/>
      <c r="D573" s="53"/>
      <c r="E573" s="53"/>
      <c r="F573" s="53"/>
      <c r="G573" s="106"/>
      <c r="H573" s="100"/>
      <c r="I573" s="106"/>
      <c r="J573" s="100"/>
      <c r="K573" s="55" t="s">
        <v>821</v>
      </c>
      <c r="M573" s="34" t="s">
        <v>824</v>
      </c>
      <c r="AS573" s="56"/>
      <c r="AT573" s="55"/>
      <c r="CB573" s="56"/>
      <c r="CC573" s="54"/>
    </row>
    <row r="574" spans="2:81">
      <c r="B574" s="52" t="str">
        <f>IF(F574&lt;&gt;"",SUBTOTAL(3,$F$5:F574),"")</f>
        <v/>
      </c>
      <c r="C574" s="52"/>
      <c r="D574" s="53"/>
      <c r="E574" s="53"/>
      <c r="F574" s="53"/>
      <c r="G574" s="106"/>
      <c r="H574" s="100"/>
      <c r="I574" s="106"/>
      <c r="J574" s="100"/>
      <c r="K574" s="55"/>
      <c r="AS574" s="56"/>
      <c r="AT574" s="55"/>
      <c r="CB574" s="56"/>
      <c r="CC574" s="54"/>
    </row>
    <row r="575" spans="2:81">
      <c r="B575" s="52">
        <f>IF(F575&lt;&gt;"",SUBTOTAL(3,$F$5:F575),"")</f>
        <v>109</v>
      </c>
      <c r="C575" s="52"/>
      <c r="D575" s="53" t="s">
        <v>138</v>
      </c>
      <c r="E575" s="53" t="s">
        <v>141</v>
      </c>
      <c r="F575" s="53" t="s">
        <v>648</v>
      </c>
      <c r="G575" s="106">
        <v>44297</v>
      </c>
      <c r="H575" s="100">
        <v>1</v>
      </c>
      <c r="I575" s="106">
        <v>44828</v>
      </c>
      <c r="J575" s="100" t="s">
        <v>684</v>
      </c>
      <c r="K575" s="55" t="s">
        <v>810</v>
      </c>
      <c r="AS575" s="56"/>
      <c r="AT575" s="55"/>
      <c r="CB575" s="56"/>
      <c r="CC575" s="54"/>
    </row>
    <row r="576" spans="2:81">
      <c r="B576" s="52" t="str">
        <f>IF(F576&lt;&gt;"",SUBTOTAL(3,$F$5:F576),"")</f>
        <v/>
      </c>
      <c r="C576" s="52"/>
      <c r="D576" s="53"/>
      <c r="E576" s="53"/>
      <c r="F576" s="53"/>
      <c r="G576" s="106"/>
      <c r="H576" s="100"/>
      <c r="I576" s="106"/>
      <c r="J576" s="100"/>
      <c r="K576" s="55" t="s">
        <v>811</v>
      </c>
      <c r="AS576" s="56"/>
      <c r="AT576" s="55"/>
      <c r="CB576" s="56"/>
      <c r="CC576" s="54"/>
    </row>
    <row r="577" spans="2:81">
      <c r="B577" s="52" t="str">
        <f>IF(F577&lt;&gt;"",SUBTOTAL(3,$F$5:F577),"")</f>
        <v/>
      </c>
      <c r="C577" s="52"/>
      <c r="D577" s="53"/>
      <c r="E577" s="53"/>
      <c r="F577" s="53"/>
      <c r="G577" s="106"/>
      <c r="H577" s="100"/>
      <c r="I577" s="106"/>
      <c r="J577" s="100"/>
      <c r="K577" s="55" t="s">
        <v>812</v>
      </c>
      <c r="AS577" s="56"/>
      <c r="AT577" s="55"/>
      <c r="CB577" s="56"/>
      <c r="CC577" s="54"/>
    </row>
    <row r="578" spans="2:81">
      <c r="B578" s="52" t="str">
        <f>IF(F578&lt;&gt;"",SUBTOTAL(3,$F$5:F578),"")</f>
        <v/>
      </c>
      <c r="C578" s="52"/>
      <c r="D578" s="53"/>
      <c r="E578" s="53"/>
      <c r="F578" s="53"/>
      <c r="G578" s="106"/>
      <c r="H578" s="100"/>
      <c r="I578" s="106"/>
      <c r="J578" s="100"/>
      <c r="K578" s="55" t="s">
        <v>813</v>
      </c>
      <c r="AS578" s="56"/>
      <c r="AT578" s="55"/>
      <c r="CB578" s="56"/>
      <c r="CC578" s="54"/>
    </row>
    <row r="579" spans="2:81">
      <c r="B579" s="52" t="str">
        <f>IF(F579&lt;&gt;"",SUBTOTAL(3,$F$5:F579),"")</f>
        <v/>
      </c>
      <c r="C579" s="52"/>
      <c r="D579" s="53"/>
      <c r="E579" s="53"/>
      <c r="F579" s="53"/>
      <c r="G579" s="106"/>
      <c r="H579" s="100"/>
      <c r="I579" s="106"/>
      <c r="J579" s="100"/>
      <c r="K579" s="55" t="s">
        <v>814</v>
      </c>
      <c r="AS579" s="56"/>
      <c r="AT579" s="55"/>
      <c r="CB579" s="56"/>
      <c r="CC579" s="54"/>
    </row>
    <row r="580" spans="2:81">
      <c r="B580" s="52" t="str">
        <f>IF(F580&lt;&gt;"",SUBTOTAL(3,$F$5:F580),"")</f>
        <v/>
      </c>
      <c r="C580" s="52"/>
      <c r="D580" s="53"/>
      <c r="E580" s="53"/>
      <c r="F580" s="53"/>
      <c r="G580" s="106"/>
      <c r="H580" s="100"/>
      <c r="I580" s="106"/>
      <c r="J580" s="100"/>
      <c r="K580" s="55"/>
      <c r="AS580" s="56"/>
      <c r="AT580" s="55"/>
      <c r="CB580" s="56"/>
      <c r="CC580" s="54"/>
    </row>
    <row r="581" spans="2:81">
      <c r="B581" s="113">
        <f>IF(F581&lt;&gt;"",SUBTOTAL(3,$F$5:F581),"")</f>
        <v>110</v>
      </c>
      <c r="C581" s="113"/>
      <c r="D581" s="114" t="s">
        <v>138</v>
      </c>
      <c r="E581" s="114" t="s">
        <v>141</v>
      </c>
      <c r="F581" s="114" t="s">
        <v>649</v>
      </c>
      <c r="G581" s="118">
        <v>44300</v>
      </c>
      <c r="H581" s="117">
        <v>0.3</v>
      </c>
      <c r="I581" s="118">
        <v>44828</v>
      </c>
      <c r="J581" s="117" t="s">
        <v>684</v>
      </c>
      <c r="K581" s="55" t="s">
        <v>808</v>
      </c>
      <c r="AS581" s="56"/>
      <c r="AT581" s="55" t="s">
        <v>650</v>
      </c>
      <c r="CB581" s="56"/>
      <c r="CC581" s="54"/>
    </row>
    <row r="582" spans="2:81">
      <c r="B582" s="113" t="str">
        <f>IF(F582&lt;&gt;"",SUBTOTAL(3,$F$5:F582),"")</f>
        <v/>
      </c>
      <c r="C582" s="113"/>
      <c r="D582" s="114"/>
      <c r="E582" s="114"/>
      <c r="F582" s="114"/>
      <c r="G582" s="118"/>
      <c r="H582" s="117"/>
      <c r="I582" s="118"/>
      <c r="J582" s="111"/>
      <c r="K582" s="55" t="s">
        <v>809</v>
      </c>
      <c r="AS582" s="56"/>
      <c r="AT582" s="55"/>
      <c r="CB582" s="56"/>
      <c r="CC582" s="54"/>
    </row>
    <row r="583" spans="2:81">
      <c r="B583" s="113" t="str">
        <f>IF(F583&lt;&gt;"",SUBTOTAL(3,$F$5:F583),"")</f>
        <v/>
      </c>
      <c r="C583" s="113"/>
      <c r="D583" s="114"/>
      <c r="E583" s="114"/>
      <c r="F583" s="114"/>
      <c r="G583" s="118"/>
      <c r="H583" s="117"/>
      <c r="I583" s="118"/>
      <c r="J583" s="111"/>
      <c r="K583" s="55"/>
      <c r="AS583" s="56"/>
      <c r="AT583" s="55"/>
      <c r="CB583" s="56"/>
      <c r="CC583" s="54"/>
    </row>
    <row r="584" spans="2:81">
      <c r="B584" s="52">
        <f>IF(F584&lt;&gt;"",SUBTOTAL(3,$F$5:F584),"")</f>
        <v>111</v>
      </c>
      <c r="C584" s="52"/>
      <c r="D584" s="53" t="s">
        <v>138</v>
      </c>
      <c r="E584" s="53" t="s">
        <v>141</v>
      </c>
      <c r="F584" s="53" t="s">
        <v>651</v>
      </c>
      <c r="G584" s="106">
        <v>44304</v>
      </c>
      <c r="H584" s="100">
        <v>1</v>
      </c>
      <c r="I584" s="106">
        <v>44828</v>
      </c>
      <c r="J584" s="100" t="s">
        <v>684</v>
      </c>
      <c r="K584" s="55" t="s">
        <v>797</v>
      </c>
      <c r="AS584" s="56"/>
      <c r="AT584" s="55"/>
      <c r="CB584" s="56"/>
      <c r="CC584" s="54"/>
    </row>
    <row r="585" spans="2:81">
      <c r="B585" s="52" t="str">
        <f>IF(F585&lt;&gt;"",SUBTOTAL(3,$F$5:F585),"")</f>
        <v/>
      </c>
      <c r="C585" s="52"/>
      <c r="D585" s="53"/>
      <c r="E585" s="53"/>
      <c r="F585" s="53"/>
      <c r="G585" s="106"/>
      <c r="H585" s="100"/>
      <c r="I585" s="106"/>
      <c r="J585" s="100"/>
      <c r="K585" s="55" t="s">
        <v>798</v>
      </c>
      <c r="AS585" s="56"/>
      <c r="AT585" s="55"/>
      <c r="CB585" s="56"/>
      <c r="CC585" s="54"/>
    </row>
    <row r="586" spans="2:81">
      <c r="B586" s="52" t="str">
        <f>IF(F586&lt;&gt;"",SUBTOTAL(3,$F$5:F586),"")</f>
        <v/>
      </c>
      <c r="C586" s="52"/>
      <c r="D586" s="53"/>
      <c r="E586" s="53"/>
      <c r="F586" s="53"/>
      <c r="G586" s="106"/>
      <c r="H586" s="100"/>
      <c r="I586" s="106"/>
      <c r="J586" s="102"/>
      <c r="K586" s="55" t="s">
        <v>799</v>
      </c>
      <c r="AS586" s="56"/>
      <c r="AT586" s="55"/>
      <c r="CB586" s="56"/>
      <c r="CC586" s="54"/>
    </row>
    <row r="587" spans="2:81">
      <c r="B587" s="52" t="str">
        <f>IF(F587&lt;&gt;"",SUBTOTAL(3,$F$5:F587),"")</f>
        <v/>
      </c>
      <c r="C587" s="52"/>
      <c r="D587" s="53"/>
      <c r="E587" s="53"/>
      <c r="F587" s="53"/>
      <c r="G587" s="106"/>
      <c r="H587" s="100"/>
      <c r="I587" s="106"/>
      <c r="J587" s="102"/>
      <c r="K587" s="55" t="s">
        <v>800</v>
      </c>
      <c r="AS587" s="56"/>
      <c r="AT587" s="55"/>
      <c r="CB587" s="56"/>
      <c r="CC587" s="54"/>
    </row>
    <row r="588" spans="2:81">
      <c r="B588" s="52" t="str">
        <f>IF(F588&lt;&gt;"",SUBTOTAL(3,$F$5:F588),"")</f>
        <v/>
      </c>
      <c r="C588" s="52"/>
      <c r="D588" s="53"/>
      <c r="E588" s="53"/>
      <c r="F588" s="53"/>
      <c r="G588" s="106"/>
      <c r="H588" s="100"/>
      <c r="I588" s="106"/>
      <c r="J588" s="102"/>
      <c r="K588" s="55" t="s">
        <v>801</v>
      </c>
      <c r="AS588" s="56"/>
      <c r="AT588" s="55"/>
      <c r="CB588" s="56"/>
      <c r="CC588" s="54"/>
    </row>
    <row r="589" spans="2:81">
      <c r="B589" s="52" t="str">
        <f>IF(F589&lt;&gt;"",SUBTOTAL(3,$F$5:F589),"")</f>
        <v/>
      </c>
      <c r="C589" s="52"/>
      <c r="D589" s="53"/>
      <c r="E589" s="53"/>
      <c r="F589" s="53"/>
      <c r="G589" s="106"/>
      <c r="H589" s="100"/>
      <c r="I589" s="106"/>
      <c r="J589" s="100"/>
      <c r="K589" s="55"/>
      <c r="AS589" s="56"/>
      <c r="AT589" s="55"/>
      <c r="CB589" s="56"/>
      <c r="CC589" s="54"/>
    </row>
    <row r="590" spans="2:81">
      <c r="B590" s="113">
        <f>IF(F590&lt;&gt;"",SUBTOTAL(3,$F$5:F590),"")</f>
        <v>112</v>
      </c>
      <c r="C590" s="113"/>
      <c r="D590" s="114" t="s">
        <v>138</v>
      </c>
      <c r="E590" s="114" t="s">
        <v>141</v>
      </c>
      <c r="F590" s="114" t="s">
        <v>652</v>
      </c>
      <c r="G590" s="118">
        <v>44305</v>
      </c>
      <c r="H590" s="117">
        <v>0.3</v>
      </c>
      <c r="I590" s="118">
        <v>44827</v>
      </c>
      <c r="J590" s="117" t="s">
        <v>684</v>
      </c>
      <c r="K590" s="55" t="s">
        <v>802</v>
      </c>
      <c r="AS590" s="56"/>
      <c r="AT590" s="55"/>
      <c r="CB590" s="56"/>
      <c r="CC590" s="54"/>
    </row>
    <row r="591" spans="2:81" ht="15.75">
      <c r="B591" s="113" t="str">
        <f>IF(F591&lt;&gt;"",SUBTOTAL(3,$F$5:F591),"")</f>
        <v/>
      </c>
      <c r="C591" s="113"/>
      <c r="D591" s="114"/>
      <c r="E591" s="114"/>
      <c r="F591" s="114"/>
      <c r="G591" s="118"/>
      <c r="H591" s="117"/>
      <c r="I591" s="118"/>
      <c r="J591" s="111"/>
      <c r="K591" s="55" t="s">
        <v>803</v>
      </c>
      <c r="AS591" s="56"/>
      <c r="AT591" s="55"/>
      <c r="CB591" s="56"/>
      <c r="CC591" s="54"/>
    </row>
    <row r="592" spans="2:81">
      <c r="B592" s="113" t="str">
        <f>IF(F592&lt;&gt;"",SUBTOTAL(3,$F$5:F592),"")</f>
        <v/>
      </c>
      <c r="C592" s="113"/>
      <c r="D592" s="114"/>
      <c r="E592" s="114"/>
      <c r="F592" s="114"/>
      <c r="G592" s="118"/>
      <c r="H592" s="117"/>
      <c r="I592" s="118"/>
      <c r="J592" s="111"/>
      <c r="K592" s="55" t="s">
        <v>804</v>
      </c>
      <c r="AS592" s="56"/>
      <c r="AT592" s="55"/>
      <c r="CB592" s="56"/>
      <c r="CC592" s="54"/>
    </row>
    <row r="593" spans="2:81">
      <c r="B593" s="113" t="str">
        <f>IF(F593&lt;&gt;"",SUBTOTAL(3,$F$5:F593),"")</f>
        <v/>
      </c>
      <c r="C593" s="113"/>
      <c r="D593" s="114"/>
      <c r="E593" s="114"/>
      <c r="F593" s="114"/>
      <c r="G593" s="118"/>
      <c r="H593" s="117"/>
      <c r="I593" s="118"/>
      <c r="J593" s="111"/>
      <c r="K593" s="55" t="s">
        <v>805</v>
      </c>
      <c r="AS593" s="56"/>
      <c r="AT593" s="55"/>
      <c r="CB593" s="56"/>
      <c r="CC593" s="54"/>
    </row>
    <row r="594" spans="2:81">
      <c r="B594" s="113" t="str">
        <f>IF(F594&lt;&gt;"",SUBTOTAL(3,$F$5:F594),"")</f>
        <v/>
      </c>
      <c r="C594" s="113"/>
      <c r="D594" s="114"/>
      <c r="E594" s="114"/>
      <c r="F594" s="114"/>
      <c r="G594" s="118"/>
      <c r="H594" s="117"/>
      <c r="I594" s="118"/>
      <c r="J594" s="111"/>
      <c r="K594" s="55" t="s">
        <v>806</v>
      </c>
      <c r="AS594" s="56"/>
      <c r="AT594" s="55"/>
      <c r="CB594" s="56"/>
      <c r="CC594" s="54"/>
    </row>
    <row r="595" spans="2:81">
      <c r="B595" s="113" t="str">
        <f>IF(F595&lt;&gt;"",SUBTOTAL(3,$F$5:F595),"")</f>
        <v/>
      </c>
      <c r="C595" s="113"/>
      <c r="D595" s="114"/>
      <c r="E595" s="114"/>
      <c r="F595" s="114"/>
      <c r="G595" s="118"/>
      <c r="H595" s="117"/>
      <c r="I595" s="118"/>
      <c r="J595" s="111"/>
      <c r="K595" s="55" t="s">
        <v>807</v>
      </c>
      <c r="AS595" s="56"/>
      <c r="AT595" s="55"/>
      <c r="CB595" s="56"/>
      <c r="CC595" s="54"/>
    </row>
    <row r="596" spans="2:81">
      <c r="B596" s="52"/>
      <c r="C596" s="52"/>
      <c r="D596" s="53"/>
      <c r="E596" s="53"/>
      <c r="F596" s="53"/>
      <c r="G596" s="106"/>
      <c r="H596" s="100"/>
      <c r="I596" s="106"/>
      <c r="J596" s="102"/>
      <c r="K596" s="55"/>
      <c r="AS596" s="56"/>
      <c r="AT596" s="55"/>
      <c r="CB596" s="56"/>
      <c r="CC596" s="54"/>
    </row>
    <row r="597" spans="2:81">
      <c r="B597" s="52">
        <f>IF(F597&lt;&gt;"",SUBTOTAL(3,$F$5:F597),"")</f>
        <v>113</v>
      </c>
      <c r="C597" s="52"/>
      <c r="D597" s="53" t="s">
        <v>138</v>
      </c>
      <c r="E597" s="53" t="s">
        <v>141</v>
      </c>
      <c r="F597" s="53" t="s">
        <v>653</v>
      </c>
      <c r="G597" s="106">
        <v>44311</v>
      </c>
      <c r="H597" s="100">
        <v>1</v>
      </c>
      <c r="I597" s="106">
        <v>44827</v>
      </c>
      <c r="J597" s="100" t="s">
        <v>684</v>
      </c>
      <c r="K597" s="55" t="s">
        <v>794</v>
      </c>
      <c r="AS597" s="56"/>
      <c r="AT597" s="55"/>
      <c r="CB597" s="56"/>
      <c r="CC597" s="54"/>
    </row>
    <row r="598" spans="2:81" ht="15.75">
      <c r="B598" s="52" t="str">
        <f>IF(F598&lt;&gt;"",SUBTOTAL(3,$F$5:F598),"")</f>
        <v/>
      </c>
      <c r="C598" s="52"/>
      <c r="D598" s="53"/>
      <c r="E598" s="53"/>
      <c r="F598" s="53"/>
      <c r="G598" s="106"/>
      <c r="H598" s="100"/>
      <c r="I598" s="106"/>
      <c r="J598" s="100"/>
      <c r="K598" s="55" t="s">
        <v>795</v>
      </c>
      <c r="AS598" s="56"/>
      <c r="AT598" s="55"/>
      <c r="CB598" s="56"/>
      <c r="CC598" s="54"/>
    </row>
    <row r="599" spans="2:81">
      <c r="B599" s="52" t="str">
        <f>IF(F599&lt;&gt;"",SUBTOTAL(3,$F$5:F599),"")</f>
        <v/>
      </c>
      <c r="C599" s="52"/>
      <c r="D599" s="53"/>
      <c r="E599" s="53"/>
      <c r="F599" s="53"/>
      <c r="G599" s="106"/>
      <c r="H599" s="100"/>
      <c r="I599" s="106"/>
      <c r="J599" s="100"/>
      <c r="K599" s="55" t="s">
        <v>796</v>
      </c>
      <c r="AS599" s="56"/>
      <c r="AT599" s="55"/>
      <c r="CB599" s="56"/>
      <c r="CC599" s="54"/>
    </row>
    <row r="600" spans="2:81">
      <c r="B600" s="52" t="str">
        <f>IF(F600&lt;&gt;"",SUBTOTAL(3,$F$5:F600),"")</f>
        <v/>
      </c>
      <c r="C600" s="52"/>
      <c r="D600" s="53"/>
      <c r="E600" s="53"/>
      <c r="F600" s="53"/>
      <c r="G600" s="106"/>
      <c r="H600" s="100"/>
      <c r="I600" s="106"/>
      <c r="J600" s="100"/>
      <c r="K600" s="55" t="s">
        <v>762</v>
      </c>
      <c r="AS600" s="56"/>
      <c r="AT600" s="55"/>
      <c r="CB600" s="56"/>
      <c r="CC600" s="54"/>
    </row>
    <row r="601" spans="2:81">
      <c r="B601" s="52" t="str">
        <f>IF(F601&lt;&gt;"",SUBTOTAL(3,$F$5:F601),"")</f>
        <v/>
      </c>
      <c r="C601" s="52"/>
      <c r="D601" s="53"/>
      <c r="E601" s="53"/>
      <c r="F601" s="53"/>
      <c r="G601" s="106"/>
      <c r="H601" s="100"/>
      <c r="I601" s="106"/>
      <c r="J601" s="100"/>
      <c r="K601" s="55" t="s">
        <v>763</v>
      </c>
      <c r="AS601" s="56"/>
      <c r="AT601" s="55"/>
      <c r="CB601" s="56"/>
      <c r="CC601" s="54"/>
    </row>
    <row r="602" spans="2:81">
      <c r="B602" s="52" t="str">
        <f>IF(F602&lt;&gt;"",SUBTOTAL(3,$F$5:F602),"")</f>
        <v/>
      </c>
      <c r="C602" s="52"/>
      <c r="D602" s="53"/>
      <c r="E602" s="53"/>
      <c r="F602" s="53"/>
      <c r="G602" s="106"/>
      <c r="H602" s="100"/>
      <c r="I602" s="106"/>
      <c r="J602" s="100"/>
      <c r="K602" s="55"/>
      <c r="AS602" s="56"/>
      <c r="AT602" s="55"/>
      <c r="CB602" s="56"/>
      <c r="CC602" s="54"/>
    </row>
    <row r="603" spans="2:81">
      <c r="B603" s="52">
        <f>IF(F603&lt;&gt;"",SUBTOTAL(3,$F$5:F603),"")</f>
        <v>114</v>
      </c>
      <c r="C603" s="52"/>
      <c r="D603" s="53" t="s">
        <v>138</v>
      </c>
      <c r="E603" s="53" t="s">
        <v>141</v>
      </c>
      <c r="F603" s="53" t="s">
        <v>654</v>
      </c>
      <c r="G603" s="106">
        <v>44315</v>
      </c>
      <c r="H603" s="100">
        <v>1</v>
      </c>
      <c r="I603" s="106">
        <v>44827</v>
      </c>
      <c r="J603" s="100" t="s">
        <v>684</v>
      </c>
      <c r="K603" s="55" t="s">
        <v>791</v>
      </c>
      <c r="AS603" s="56"/>
      <c r="AT603" s="55"/>
      <c r="CB603" s="56"/>
      <c r="CC603" s="54"/>
    </row>
    <row r="604" spans="2:81">
      <c r="B604" s="52" t="str">
        <f>IF(F604&lt;&gt;"",SUBTOTAL(3,$F$5:F604),"")</f>
        <v/>
      </c>
      <c r="C604" s="52"/>
      <c r="D604" s="53"/>
      <c r="E604" s="53"/>
      <c r="F604" s="53"/>
      <c r="G604" s="106"/>
      <c r="H604" s="100"/>
      <c r="I604" s="106"/>
      <c r="J604" s="100"/>
      <c r="K604" s="55" t="s">
        <v>792</v>
      </c>
      <c r="AS604" s="56"/>
      <c r="AT604" s="55"/>
      <c r="CB604" s="56"/>
      <c r="CC604" s="54"/>
    </row>
    <row r="605" spans="2:81">
      <c r="B605" s="52" t="str">
        <f>IF(F605&lt;&gt;"",SUBTOTAL(3,$F$5:F605),"")</f>
        <v/>
      </c>
      <c r="C605" s="52"/>
      <c r="D605" s="53"/>
      <c r="E605" s="53"/>
      <c r="F605" s="53"/>
      <c r="G605" s="106"/>
      <c r="H605" s="100"/>
      <c r="I605" s="106"/>
      <c r="J605" s="100"/>
      <c r="K605" s="55" t="s">
        <v>793</v>
      </c>
      <c r="AS605" s="56"/>
      <c r="AT605" s="55"/>
      <c r="CB605" s="56"/>
      <c r="CC605" s="54"/>
    </row>
    <row r="606" spans="2:81">
      <c r="B606" s="52" t="str">
        <f>IF(F606&lt;&gt;"",SUBTOTAL(3,$F$5:F606),"")</f>
        <v/>
      </c>
      <c r="C606" s="52"/>
      <c r="D606" s="53"/>
      <c r="E606" s="53"/>
      <c r="F606" s="53"/>
      <c r="G606" s="106"/>
      <c r="H606" s="100"/>
      <c r="I606" s="106"/>
      <c r="J606" s="100"/>
      <c r="K606" s="55"/>
      <c r="AS606" s="56"/>
      <c r="AT606" s="55"/>
      <c r="CB606" s="56"/>
      <c r="CC606" s="54"/>
    </row>
    <row r="607" spans="2:81">
      <c r="B607" s="52">
        <f>IF(F607&lt;&gt;"",SUBTOTAL(3,$F$5:F607),"")</f>
        <v>115</v>
      </c>
      <c r="C607" s="52"/>
      <c r="D607" s="53" t="s">
        <v>138</v>
      </c>
      <c r="E607" s="53" t="s">
        <v>141</v>
      </c>
      <c r="F607" s="53" t="s">
        <v>784</v>
      </c>
      <c r="G607" s="106">
        <v>44315</v>
      </c>
      <c r="H607" s="100">
        <v>1</v>
      </c>
      <c r="I607" s="106">
        <v>44815</v>
      </c>
      <c r="J607" s="100" t="s">
        <v>684</v>
      </c>
      <c r="K607" s="55" t="s">
        <v>786</v>
      </c>
      <c r="AS607" s="56"/>
      <c r="AT607" s="55"/>
      <c r="CB607" s="56"/>
      <c r="CC607" s="54"/>
    </row>
    <row r="608" spans="2:81">
      <c r="B608" s="52" t="str">
        <f>IF(F608&lt;&gt;"",SUBTOTAL(3,$F$5:F608),"")</f>
        <v/>
      </c>
      <c r="C608" s="52"/>
      <c r="D608" s="53"/>
      <c r="E608" s="53"/>
      <c r="F608" s="53"/>
      <c r="G608" s="106"/>
      <c r="H608" s="100"/>
      <c r="I608" s="106"/>
      <c r="J608" s="100"/>
      <c r="K608" s="55" t="s">
        <v>787</v>
      </c>
      <c r="AS608" s="56"/>
      <c r="AT608" s="55"/>
      <c r="CB608" s="56"/>
      <c r="CC608" s="54"/>
    </row>
    <row r="609" spans="2:81">
      <c r="B609" s="52" t="str">
        <f>IF(F609&lt;&gt;"",SUBTOTAL(3,$F$5:F609),"")</f>
        <v/>
      </c>
      <c r="C609" s="52"/>
      <c r="D609" s="53"/>
      <c r="E609" s="53"/>
      <c r="F609" s="53"/>
      <c r="G609" s="106"/>
      <c r="H609" s="100"/>
      <c r="I609" s="106"/>
      <c r="J609" s="100"/>
      <c r="K609" s="55" t="s">
        <v>788</v>
      </c>
      <c r="AS609" s="56"/>
      <c r="AT609" s="55"/>
      <c r="CB609" s="56"/>
      <c r="CC609" s="54"/>
    </row>
    <row r="610" spans="2:81">
      <c r="B610" s="52" t="str">
        <f>IF(F610&lt;&gt;"",SUBTOTAL(3,$F$5:F610),"")</f>
        <v/>
      </c>
      <c r="C610" s="52"/>
      <c r="D610" s="53"/>
      <c r="E610" s="53"/>
      <c r="F610" s="53"/>
      <c r="G610" s="106"/>
      <c r="H610" s="100"/>
      <c r="I610" s="106"/>
      <c r="J610" s="100"/>
      <c r="K610" s="55" t="s">
        <v>789</v>
      </c>
      <c r="AS610" s="56"/>
      <c r="AT610" s="55"/>
      <c r="CB610" s="56"/>
      <c r="CC610" s="54"/>
    </row>
    <row r="611" spans="2:81">
      <c r="B611" s="52" t="str">
        <f>IF(F611&lt;&gt;"",SUBTOTAL(3,$F$5:F611),"")</f>
        <v/>
      </c>
      <c r="C611" s="52"/>
      <c r="D611" s="53"/>
      <c r="E611" s="53"/>
      <c r="F611" s="53"/>
      <c r="G611" s="106"/>
      <c r="H611" s="100"/>
      <c r="I611" s="106"/>
      <c r="J611" s="100"/>
      <c r="K611" s="55" t="s">
        <v>790</v>
      </c>
      <c r="AS611" s="56"/>
      <c r="AT611" s="55"/>
      <c r="CB611" s="56"/>
      <c r="CC611" s="54"/>
    </row>
    <row r="612" spans="2:81">
      <c r="B612" s="52" t="str">
        <f>IF(F612&lt;&gt;"",SUBTOTAL(3,$F$5:F612),"")</f>
        <v/>
      </c>
      <c r="C612" s="52"/>
      <c r="D612" s="53"/>
      <c r="E612" s="53"/>
      <c r="F612" s="53"/>
      <c r="G612" s="106"/>
      <c r="H612" s="100"/>
      <c r="I612" s="106"/>
      <c r="J612" s="100"/>
      <c r="K612" s="55" t="s">
        <v>785</v>
      </c>
      <c r="AS612" s="56"/>
      <c r="AT612" s="55"/>
      <c r="CB612" s="56"/>
      <c r="CC612" s="54"/>
    </row>
    <row r="613" spans="2:81" ht="15.75">
      <c r="B613" s="52" t="str">
        <f>IF(F613&lt;&gt;"",SUBTOTAL(3,$F$5:F613),"")</f>
        <v/>
      </c>
      <c r="C613" s="52"/>
      <c r="D613" s="53"/>
      <c r="E613" s="53"/>
      <c r="F613" s="53"/>
      <c r="G613" s="106"/>
      <c r="H613" s="100"/>
      <c r="I613" s="106"/>
      <c r="J613" s="100"/>
      <c r="K613" s="55" t="s">
        <v>775</v>
      </c>
      <c r="AS613" s="56"/>
      <c r="AT613" s="55"/>
      <c r="CB613" s="56"/>
      <c r="CC613" s="54"/>
    </row>
    <row r="614" spans="2:81" ht="15.75">
      <c r="B614" s="52"/>
      <c r="C614" s="52"/>
      <c r="D614" s="53"/>
      <c r="E614" s="53"/>
      <c r="F614" s="53"/>
      <c r="G614" s="106"/>
      <c r="H614" s="100"/>
      <c r="I614" s="106"/>
      <c r="J614" s="100"/>
      <c r="K614" s="55" t="s">
        <v>778</v>
      </c>
      <c r="AS614" s="56"/>
      <c r="AT614" s="55"/>
      <c r="CB614" s="56"/>
      <c r="CC614" s="54"/>
    </row>
    <row r="615" spans="2:81" ht="15.75">
      <c r="B615" s="52"/>
      <c r="C615" s="52"/>
      <c r="D615" s="53"/>
      <c r="E615" s="53"/>
      <c r="F615" s="53"/>
      <c r="G615" s="106"/>
      <c r="H615" s="100"/>
      <c r="I615" s="106"/>
      <c r="J615" s="100"/>
      <c r="K615" s="55" t="s">
        <v>776</v>
      </c>
      <c r="AS615" s="56"/>
      <c r="AT615" s="55"/>
      <c r="CB615" s="56"/>
      <c r="CC615" s="54"/>
    </row>
    <row r="616" spans="2:81" ht="15.75">
      <c r="B616" s="52" t="str">
        <f>IF(F616&lt;&gt;"",SUBTOTAL(3,$F$5:F616),"")</f>
        <v/>
      </c>
      <c r="C616" s="52"/>
      <c r="D616" s="53"/>
      <c r="E616" s="53"/>
      <c r="F616" s="53"/>
      <c r="G616" s="106"/>
      <c r="H616" s="100"/>
      <c r="I616" s="106"/>
      <c r="J616" s="100"/>
      <c r="K616" s="55" t="s">
        <v>777</v>
      </c>
      <c r="AS616" s="56"/>
      <c r="AT616" s="55"/>
      <c r="CB616" s="56"/>
      <c r="CC616" s="54"/>
    </row>
    <row r="617" spans="2:81">
      <c r="B617" s="52"/>
      <c r="C617" s="52"/>
      <c r="D617" s="53"/>
      <c r="E617" s="53"/>
      <c r="F617" s="53"/>
      <c r="G617" s="106"/>
      <c r="H617" s="100"/>
      <c r="I617" s="106"/>
      <c r="J617" s="100"/>
      <c r="K617" s="55"/>
      <c r="AS617" s="56"/>
      <c r="AT617" s="55"/>
      <c r="CB617" s="56"/>
      <c r="CC617" s="54"/>
    </row>
    <row r="618" spans="2:81">
      <c r="B618" s="52"/>
      <c r="C618" s="52"/>
      <c r="D618" s="53"/>
      <c r="E618" s="53"/>
      <c r="F618" s="53"/>
      <c r="G618" s="106"/>
      <c r="H618" s="100"/>
      <c r="I618" s="106"/>
      <c r="J618" s="100"/>
      <c r="K618" s="55" t="s">
        <v>774</v>
      </c>
      <c r="AS618" s="56"/>
      <c r="AT618" s="55"/>
      <c r="CB618" s="56"/>
      <c r="CC618" s="54"/>
    </row>
    <row r="619" spans="2:81">
      <c r="B619" s="52" t="str">
        <f>IF(F619&lt;&gt;"",SUBTOTAL(3,$F$5:F619),"")</f>
        <v/>
      </c>
      <c r="C619" s="52"/>
      <c r="D619" s="53"/>
      <c r="E619" s="53"/>
      <c r="F619" s="53"/>
      <c r="G619" s="106"/>
      <c r="H619" s="100"/>
      <c r="I619" s="106"/>
      <c r="J619" s="100"/>
      <c r="K619" s="55"/>
      <c r="AS619" s="56"/>
      <c r="AT619" s="55"/>
      <c r="CB619" s="56"/>
      <c r="CC619" s="54"/>
    </row>
    <row r="620" spans="2:81">
      <c r="B620" s="52">
        <f>IF(F620&lt;&gt;"",SUBTOTAL(3,$F$5:F620),"")</f>
        <v>116</v>
      </c>
      <c r="C620" s="52"/>
      <c r="D620" s="53" t="s">
        <v>138</v>
      </c>
      <c r="E620" s="53" t="s">
        <v>141</v>
      </c>
      <c r="F620" s="53" t="s">
        <v>655</v>
      </c>
      <c r="G620" s="106">
        <v>44320</v>
      </c>
      <c r="H620" s="100">
        <v>1</v>
      </c>
      <c r="I620" s="106">
        <v>44815</v>
      </c>
      <c r="J620" s="100" t="s">
        <v>684</v>
      </c>
      <c r="K620" s="55" t="s">
        <v>755</v>
      </c>
      <c r="AS620" s="56"/>
      <c r="AT620" s="55"/>
      <c r="CB620" s="56"/>
      <c r="CC620" s="54"/>
    </row>
    <row r="621" spans="2:81">
      <c r="B621" s="52" t="str">
        <f>IF(F621&lt;&gt;"",SUBTOTAL(3,$F$5:F621),"")</f>
        <v/>
      </c>
      <c r="C621" s="52"/>
      <c r="D621" s="53"/>
      <c r="E621" s="53"/>
      <c r="F621" s="53"/>
      <c r="G621" s="106"/>
      <c r="H621" s="100"/>
      <c r="I621" s="106"/>
      <c r="J621" s="100"/>
      <c r="K621" s="51" t="s">
        <v>756</v>
      </c>
      <c r="AS621" s="56"/>
      <c r="AT621" s="55"/>
      <c r="CB621" s="56"/>
      <c r="CC621" s="54"/>
    </row>
    <row r="622" spans="2:81">
      <c r="B622" s="52"/>
      <c r="C622" s="52"/>
      <c r="D622" s="53"/>
      <c r="E622" s="53"/>
      <c r="F622" s="53"/>
      <c r="G622" s="106"/>
      <c r="H622" s="100"/>
      <c r="I622" s="106"/>
      <c r="J622" s="100"/>
      <c r="K622" s="51" t="s">
        <v>757</v>
      </c>
      <c r="AS622" s="56"/>
      <c r="AT622" s="55"/>
      <c r="CB622" s="56"/>
      <c r="CC622" s="54"/>
    </row>
    <row r="623" spans="2:81">
      <c r="B623" s="52" t="str">
        <f>IF(F623&lt;&gt;"",SUBTOTAL(3,$F$5:F623),"")</f>
        <v/>
      </c>
      <c r="C623" s="52"/>
      <c r="D623" s="53"/>
      <c r="E623" s="53"/>
      <c r="F623" s="53"/>
      <c r="G623" s="106"/>
      <c r="H623" s="100"/>
      <c r="I623" s="106"/>
      <c r="J623" s="100"/>
      <c r="K623" s="55" t="s">
        <v>656</v>
      </c>
      <c r="AS623" s="56"/>
      <c r="AT623" s="55"/>
      <c r="CB623" s="56"/>
      <c r="CC623" s="54"/>
    </row>
    <row r="624" spans="2:81">
      <c r="B624" s="52" t="str">
        <f>IF(F624&lt;&gt;"",SUBTOTAL(3,$F$5:F624),"")</f>
        <v/>
      </c>
      <c r="C624" s="52"/>
      <c r="D624" s="53"/>
      <c r="E624" s="53"/>
      <c r="F624" s="53"/>
      <c r="G624" s="106"/>
      <c r="H624" s="100"/>
      <c r="I624" s="106"/>
      <c r="J624" s="100"/>
      <c r="K624" s="55"/>
      <c r="AS624" s="56"/>
      <c r="AT624" s="55"/>
      <c r="CB624" s="56"/>
      <c r="CC624" s="54"/>
    </row>
    <row r="625" spans="2:81">
      <c r="B625" s="52" t="str">
        <f>IF(F625&lt;&gt;"",SUBTOTAL(3,$F$5:F625),"")</f>
        <v/>
      </c>
      <c r="C625" s="52"/>
      <c r="D625" s="53"/>
      <c r="E625" s="53"/>
      <c r="F625" s="53"/>
      <c r="G625" s="106"/>
      <c r="H625" s="100"/>
      <c r="I625" s="106"/>
      <c r="J625" s="100"/>
      <c r="K625" s="55" t="s">
        <v>760</v>
      </c>
      <c r="AS625" s="56"/>
      <c r="AT625" s="55"/>
      <c r="CB625" s="56"/>
      <c r="CC625" s="54"/>
    </row>
    <row r="626" spans="2:81">
      <c r="B626" s="52" t="str">
        <f>IF(F626&lt;&gt;"",SUBTOTAL(3,$F$5:F626),"")</f>
        <v/>
      </c>
      <c r="C626" s="52"/>
      <c r="D626" s="53"/>
      <c r="E626" s="53"/>
      <c r="F626" s="53"/>
      <c r="G626" s="106"/>
      <c r="H626" s="100"/>
      <c r="I626" s="106"/>
      <c r="J626" s="100"/>
      <c r="K626" s="55" t="s">
        <v>758</v>
      </c>
      <c r="AS626" s="56"/>
      <c r="AT626" s="55"/>
      <c r="CB626" s="56"/>
      <c r="CC626" s="54"/>
    </row>
    <row r="627" spans="2:81">
      <c r="B627" s="52" t="str">
        <f>IF(F627&lt;&gt;"",SUBTOTAL(3,$F$5:F627),"")</f>
        <v/>
      </c>
      <c r="C627" s="52"/>
      <c r="D627" s="53"/>
      <c r="E627" s="53"/>
      <c r="F627" s="53"/>
      <c r="G627" s="106"/>
      <c r="H627" s="100"/>
      <c r="I627" s="106"/>
      <c r="J627" s="100"/>
      <c r="K627" s="124" t="s">
        <v>781</v>
      </c>
      <c r="L627" s="124"/>
      <c r="M627" s="124"/>
      <c r="N627" s="124"/>
      <c r="O627" s="124"/>
      <c r="P627" s="124"/>
      <c r="Q627" s="124"/>
      <c r="R627" s="124"/>
      <c r="S627" s="124"/>
      <c r="T627" s="124"/>
      <c r="U627" s="124"/>
      <c r="V627" s="124"/>
      <c r="W627" s="124"/>
      <c r="X627" s="124"/>
      <c r="Y627" s="124"/>
      <c r="Z627" s="124"/>
      <c r="AA627" s="124"/>
      <c r="AB627" s="124"/>
      <c r="AC627" s="124"/>
      <c r="AD627" s="124"/>
      <c r="AE627" s="124"/>
      <c r="AF627" s="124"/>
      <c r="AG627" s="124"/>
      <c r="AH627" s="124"/>
      <c r="AI627" s="124"/>
      <c r="AJ627" s="124"/>
      <c r="AK627" s="124"/>
      <c r="AL627" s="124"/>
      <c r="AM627" s="124"/>
      <c r="AN627" s="124"/>
      <c r="AO627" s="124"/>
      <c r="AP627" s="124"/>
      <c r="AQ627" s="124"/>
      <c r="AR627" s="124"/>
      <c r="AS627" s="125"/>
      <c r="AT627" s="55"/>
      <c r="CB627" s="56"/>
      <c r="CC627" s="54"/>
    </row>
    <row r="628" spans="2:81">
      <c r="B628" s="52"/>
      <c r="C628" s="52"/>
      <c r="D628" s="53"/>
      <c r="E628" s="53"/>
      <c r="F628" s="53"/>
      <c r="G628" s="106"/>
      <c r="H628" s="100"/>
      <c r="I628" s="106"/>
      <c r="J628" s="100"/>
      <c r="K628" s="124" t="s">
        <v>783</v>
      </c>
      <c r="L628" s="124"/>
      <c r="M628" s="124"/>
      <c r="N628" s="124"/>
      <c r="O628" s="124"/>
      <c r="P628" s="124"/>
      <c r="Q628" s="124"/>
      <c r="R628" s="124"/>
      <c r="S628" s="124"/>
      <c r="T628" s="124"/>
      <c r="U628" s="124"/>
      <c r="V628" s="124"/>
      <c r="W628" s="124"/>
      <c r="X628" s="124"/>
      <c r="Y628" s="124"/>
      <c r="Z628" s="124"/>
      <c r="AA628" s="124"/>
      <c r="AB628" s="124"/>
      <c r="AC628" s="124"/>
      <c r="AD628" s="124"/>
      <c r="AE628" s="124"/>
      <c r="AF628" s="124"/>
      <c r="AG628" s="124"/>
      <c r="AH628" s="124"/>
      <c r="AI628" s="124"/>
      <c r="AJ628" s="124"/>
      <c r="AK628" s="124"/>
      <c r="AL628" s="124"/>
      <c r="AM628" s="124"/>
      <c r="AN628" s="124"/>
      <c r="AO628" s="124"/>
      <c r="AP628" s="124"/>
      <c r="AQ628" s="124"/>
      <c r="AR628" s="124"/>
      <c r="AS628" s="125"/>
      <c r="AT628" s="55"/>
      <c r="CB628" s="56"/>
      <c r="CC628" s="54"/>
    </row>
    <row r="629" spans="2:81">
      <c r="B629" s="52"/>
      <c r="C629" s="52"/>
      <c r="D629" s="53"/>
      <c r="E629" s="53"/>
      <c r="F629" s="53"/>
      <c r="G629" s="106"/>
      <c r="H629" s="100"/>
      <c r="I629" s="106"/>
      <c r="J629" s="100"/>
      <c r="K629" s="124" t="s">
        <v>782</v>
      </c>
      <c r="L629" s="124"/>
      <c r="M629" s="124"/>
      <c r="N629" s="124"/>
      <c r="O629" s="124"/>
      <c r="P629" s="124"/>
      <c r="Q629" s="124"/>
      <c r="R629" s="124"/>
      <c r="S629" s="124"/>
      <c r="T629" s="124"/>
      <c r="U629" s="124"/>
      <c r="V629" s="124"/>
      <c r="W629" s="124"/>
      <c r="X629" s="124"/>
      <c r="Y629" s="124"/>
      <c r="Z629" s="124"/>
      <c r="AA629" s="124"/>
      <c r="AB629" s="124"/>
      <c r="AC629" s="124"/>
      <c r="AD629" s="124"/>
      <c r="AE629" s="124"/>
      <c r="AF629" s="124"/>
      <c r="AG629" s="124"/>
      <c r="AH629" s="124"/>
      <c r="AI629" s="124"/>
      <c r="AJ629" s="124"/>
      <c r="AK629" s="124"/>
      <c r="AL629" s="124"/>
      <c r="AM629" s="124"/>
      <c r="AN629" s="124"/>
      <c r="AO629" s="124"/>
      <c r="AP629" s="124"/>
      <c r="AQ629" s="124"/>
      <c r="AR629" s="124"/>
      <c r="AS629" s="125"/>
      <c r="AT629" s="55"/>
      <c r="CB629" s="56"/>
      <c r="CC629" s="54"/>
    </row>
    <row r="630" spans="2:81">
      <c r="B630" s="52"/>
      <c r="C630" s="52"/>
      <c r="D630" s="53"/>
      <c r="E630" s="53"/>
      <c r="F630" s="53"/>
      <c r="G630" s="106"/>
      <c r="H630" s="100"/>
      <c r="I630" s="106"/>
      <c r="J630" s="100"/>
      <c r="K630" s="124" t="s">
        <v>779</v>
      </c>
      <c r="L630" s="124"/>
      <c r="M630" s="124"/>
      <c r="N630" s="124"/>
      <c r="O630" s="124"/>
      <c r="P630" s="124"/>
      <c r="Q630" s="124"/>
      <c r="R630" s="124"/>
      <c r="S630" s="124"/>
      <c r="T630" s="124"/>
      <c r="U630" s="124"/>
      <c r="V630" s="124"/>
      <c r="W630" s="124"/>
      <c r="X630" s="124"/>
      <c r="Y630" s="124"/>
      <c r="Z630" s="124"/>
      <c r="AA630" s="124"/>
      <c r="AB630" s="124"/>
      <c r="AC630" s="124"/>
      <c r="AD630" s="124"/>
      <c r="AE630" s="124"/>
      <c r="AF630" s="124"/>
      <c r="AG630" s="124"/>
      <c r="AH630" s="124"/>
      <c r="AI630" s="124"/>
      <c r="AJ630" s="124"/>
      <c r="AK630" s="124"/>
      <c r="AL630" s="124"/>
      <c r="AM630" s="124"/>
      <c r="AN630" s="124"/>
      <c r="AO630" s="124"/>
      <c r="AP630" s="124"/>
      <c r="AQ630" s="124"/>
      <c r="AR630" s="124"/>
      <c r="AS630" s="125"/>
      <c r="AT630" s="55"/>
      <c r="CB630" s="56"/>
      <c r="CC630" s="54"/>
    </row>
    <row r="631" spans="2:81">
      <c r="B631" s="52"/>
      <c r="C631" s="52"/>
      <c r="D631" s="53"/>
      <c r="E631" s="53"/>
      <c r="F631" s="53"/>
      <c r="G631" s="106"/>
      <c r="H631" s="100"/>
      <c r="I631" s="106"/>
      <c r="J631" s="100"/>
      <c r="K631" s="124" t="s">
        <v>780</v>
      </c>
      <c r="L631" s="124"/>
      <c r="M631" s="124"/>
      <c r="N631" s="124"/>
      <c r="O631" s="124"/>
      <c r="P631" s="124"/>
      <c r="Q631" s="124"/>
      <c r="R631" s="124"/>
      <c r="S631" s="124"/>
      <c r="T631" s="124"/>
      <c r="U631" s="124"/>
      <c r="V631" s="124"/>
      <c r="W631" s="124"/>
      <c r="X631" s="124"/>
      <c r="Y631" s="124"/>
      <c r="Z631" s="124"/>
      <c r="AA631" s="124"/>
      <c r="AB631" s="124"/>
      <c r="AC631" s="124"/>
      <c r="AD631" s="124"/>
      <c r="AE631" s="124"/>
      <c r="AF631" s="124"/>
      <c r="AG631" s="124"/>
      <c r="AH631" s="124"/>
      <c r="AI631" s="124"/>
      <c r="AJ631" s="124"/>
      <c r="AK631" s="124"/>
      <c r="AL631" s="124"/>
      <c r="AM631" s="124"/>
      <c r="AN631" s="124"/>
      <c r="AO631" s="124"/>
      <c r="AP631" s="124"/>
      <c r="AQ631" s="124"/>
      <c r="AR631" s="124"/>
      <c r="AS631" s="125"/>
      <c r="AT631" s="55"/>
      <c r="CB631" s="56"/>
      <c r="CC631" s="54"/>
    </row>
    <row r="632" spans="2:81">
      <c r="B632" s="52" t="str">
        <f>IF(F632&lt;&gt;"",SUBTOTAL(3,$F$5:F632),"")</f>
        <v/>
      </c>
      <c r="C632" s="52"/>
      <c r="D632" s="53"/>
      <c r="E632" s="53"/>
      <c r="F632" s="53"/>
      <c r="G632" s="106"/>
      <c r="H632" s="100"/>
      <c r="I632" s="106"/>
      <c r="J632" s="100"/>
      <c r="K632" s="55" t="s">
        <v>761</v>
      </c>
      <c r="AS632" s="56"/>
      <c r="AT632" s="55"/>
      <c r="CB632" s="56"/>
      <c r="CC632" s="54"/>
    </row>
    <row r="633" spans="2:81">
      <c r="B633" s="52"/>
      <c r="C633" s="52"/>
      <c r="D633" s="53"/>
      <c r="E633" s="53"/>
      <c r="F633" s="53"/>
      <c r="G633" s="106"/>
      <c r="H633" s="100"/>
      <c r="I633" s="106"/>
      <c r="J633" s="100"/>
      <c r="K633" s="55" t="s">
        <v>759</v>
      </c>
      <c r="AS633" s="56"/>
      <c r="AT633" s="55"/>
      <c r="CB633" s="56"/>
      <c r="CC633" s="54"/>
    </row>
    <row r="634" spans="2:81">
      <c r="B634" s="52"/>
      <c r="C634" s="52"/>
      <c r="D634" s="53"/>
      <c r="E634" s="53"/>
      <c r="F634" s="53"/>
      <c r="G634" s="106"/>
      <c r="H634" s="100"/>
      <c r="I634" s="106"/>
      <c r="J634" s="100"/>
      <c r="K634" s="55" t="s">
        <v>656</v>
      </c>
      <c r="AS634" s="56"/>
      <c r="AT634" s="55"/>
      <c r="CB634" s="56"/>
      <c r="CC634" s="54"/>
    </row>
    <row r="635" spans="2:81">
      <c r="B635" s="52" t="str">
        <f>IF(F635&lt;&gt;"",SUBTOTAL(3,$F$5:F635),"")</f>
        <v/>
      </c>
      <c r="C635" s="52"/>
      <c r="D635" s="53"/>
      <c r="E635" s="53"/>
      <c r="F635" s="53"/>
      <c r="G635" s="106"/>
      <c r="H635" s="100"/>
      <c r="I635" s="106"/>
      <c r="J635" s="100"/>
      <c r="K635" s="55"/>
      <c r="AS635" s="56"/>
      <c r="AT635" s="55"/>
      <c r="CB635" s="56"/>
      <c r="CC635" s="54"/>
    </row>
    <row r="636" spans="2:81">
      <c r="B636" s="52">
        <f>IF(F636&lt;&gt;"",SUBTOTAL(3,$F$5:F636),"")</f>
        <v>117</v>
      </c>
      <c r="C636" s="52"/>
      <c r="D636" s="53" t="s">
        <v>138</v>
      </c>
      <c r="E636" s="53" t="s">
        <v>141</v>
      </c>
      <c r="F636" s="53" t="s">
        <v>657</v>
      </c>
      <c r="G636" s="106">
        <v>44321</v>
      </c>
      <c r="H636" s="100">
        <v>1</v>
      </c>
      <c r="I636" s="106">
        <v>44808</v>
      </c>
      <c r="J636" s="100" t="s">
        <v>684</v>
      </c>
      <c r="K636" s="55" t="s">
        <v>753</v>
      </c>
      <c r="AS636" s="56"/>
      <c r="AT636" s="55"/>
      <c r="CB636" s="56"/>
      <c r="CC636" s="54"/>
    </row>
    <row r="637" spans="2:81">
      <c r="B637" s="52" t="str">
        <f>IF(F637&lt;&gt;"",SUBTOTAL(3,$F$5:F637),"")</f>
        <v/>
      </c>
      <c r="C637" s="52"/>
      <c r="D637" s="53"/>
      <c r="E637" s="53"/>
      <c r="F637" s="53"/>
      <c r="G637" s="106"/>
      <c r="H637" s="100"/>
      <c r="I637" s="106"/>
      <c r="J637" s="100"/>
      <c r="K637" s="55" t="s">
        <v>754</v>
      </c>
      <c r="AS637" s="56"/>
      <c r="AT637" s="55"/>
      <c r="CB637" s="56"/>
      <c r="CC637" s="54"/>
    </row>
    <row r="638" spans="2:81">
      <c r="B638" s="52" t="str">
        <f>IF(F638&lt;&gt;"",SUBTOTAL(3,$F$5:F638),"")</f>
        <v/>
      </c>
      <c r="C638" s="52"/>
      <c r="D638" s="53"/>
      <c r="E638" s="53"/>
      <c r="F638" s="53"/>
      <c r="G638" s="106"/>
      <c r="H638" s="100"/>
      <c r="I638" s="106"/>
      <c r="J638" s="100"/>
      <c r="K638" s="55" t="s">
        <v>751</v>
      </c>
      <c r="AS638" s="56"/>
      <c r="AT638" s="55"/>
      <c r="CB638" s="56"/>
      <c r="CC638" s="54"/>
    </row>
    <row r="639" spans="2:81">
      <c r="B639" s="52" t="str">
        <f>IF(F639&lt;&gt;"",SUBTOTAL(3,$F$5:F639),"")</f>
        <v/>
      </c>
      <c r="C639" s="52"/>
      <c r="D639" s="53"/>
      <c r="E639" s="53"/>
      <c r="F639" s="53"/>
      <c r="G639" s="106"/>
      <c r="H639" s="100"/>
      <c r="I639" s="106"/>
      <c r="J639" s="100"/>
      <c r="K639" s="55" t="s">
        <v>752</v>
      </c>
      <c r="AS639" s="56"/>
      <c r="AT639" s="55"/>
      <c r="CB639" s="56"/>
      <c r="CC639" s="54"/>
    </row>
    <row r="640" spans="2:81">
      <c r="B640" s="52" t="str">
        <f>IF(F640&lt;&gt;"",SUBTOTAL(3,$F$5:F640),"")</f>
        <v/>
      </c>
      <c r="C640" s="52"/>
      <c r="D640" s="53"/>
      <c r="E640" s="53"/>
      <c r="F640" s="53"/>
      <c r="G640" s="106"/>
      <c r="H640" s="100"/>
      <c r="I640" s="106"/>
      <c r="J640" s="100"/>
      <c r="K640" s="55"/>
      <c r="AS640" s="56"/>
      <c r="AT640" s="55"/>
      <c r="CB640" s="56"/>
      <c r="CC640" s="54"/>
    </row>
    <row r="641" spans="2:84">
      <c r="B641" s="52">
        <f>IF(F641&lt;&gt;"",SUBTOTAL(3,$F$5:F641),"")</f>
        <v>118</v>
      </c>
      <c r="C641" s="52"/>
      <c r="D641" s="53" t="s">
        <v>138</v>
      </c>
      <c r="E641" s="53" t="s">
        <v>141</v>
      </c>
      <c r="F641" s="53" t="s">
        <v>658</v>
      </c>
      <c r="G641" s="106">
        <v>44321</v>
      </c>
      <c r="H641" s="100">
        <v>1</v>
      </c>
      <c r="I641" s="106">
        <v>44807</v>
      </c>
      <c r="J641" s="100" t="s">
        <v>684</v>
      </c>
      <c r="K641" s="55" t="s">
        <v>773</v>
      </c>
      <c r="AS641" s="56"/>
      <c r="AT641" s="55"/>
      <c r="CB641" s="56"/>
      <c r="CC641" s="54"/>
    </row>
    <row r="642" spans="2:84">
      <c r="B642" s="52" t="str">
        <f>IF(F642&lt;&gt;"",SUBTOTAL(3,$F$5:F642),"")</f>
        <v/>
      </c>
      <c r="C642" s="52"/>
      <c r="D642" s="53"/>
      <c r="E642" s="53"/>
      <c r="F642" s="53"/>
      <c r="G642" s="106"/>
      <c r="H642" s="100"/>
      <c r="I642" s="106"/>
      <c r="J642" s="100"/>
      <c r="K642" s="55" t="s">
        <v>771</v>
      </c>
      <c r="AS642" s="56"/>
      <c r="AT642" s="55"/>
      <c r="CB642" s="56"/>
      <c r="CC642" s="54"/>
    </row>
    <row r="643" spans="2:84">
      <c r="B643" s="52" t="str">
        <f>IF(F643&lt;&gt;"",SUBTOTAL(3,$F$5:F643),"")</f>
        <v/>
      </c>
      <c r="C643" s="52"/>
      <c r="D643" s="53"/>
      <c r="E643" s="53"/>
      <c r="F643" s="53"/>
      <c r="G643" s="106"/>
      <c r="H643" s="100"/>
      <c r="I643" s="106"/>
      <c r="J643" s="100"/>
      <c r="K643" s="55" t="s">
        <v>772</v>
      </c>
      <c r="AS643" s="56"/>
      <c r="AT643" s="55"/>
      <c r="CB643" s="56"/>
      <c r="CC643" s="54"/>
    </row>
    <row r="644" spans="2:84">
      <c r="B644" s="52" t="str">
        <f>IF(F644&lt;&gt;"",SUBTOTAL(3,$F$5:F644),"")</f>
        <v/>
      </c>
      <c r="C644" s="52"/>
      <c r="D644" s="53"/>
      <c r="E644" s="53"/>
      <c r="F644" s="53"/>
      <c r="G644" s="106"/>
      <c r="H644" s="100"/>
      <c r="I644" s="106"/>
      <c r="J644" s="100"/>
      <c r="K644" s="55" t="s">
        <v>750</v>
      </c>
      <c r="AS644" s="56"/>
      <c r="AT644" s="55"/>
      <c r="CB644" s="56"/>
      <c r="CC644" s="54"/>
    </row>
    <row r="645" spans="2:84">
      <c r="B645" s="52" t="str">
        <f>IF(F645&lt;&gt;"",SUBTOTAL(3,$F$5:F645),"")</f>
        <v/>
      </c>
      <c r="C645" s="52"/>
      <c r="D645" s="53"/>
      <c r="E645" s="53"/>
      <c r="F645" s="53"/>
      <c r="G645" s="106"/>
      <c r="H645" s="100"/>
      <c r="I645" s="106"/>
      <c r="J645" s="100"/>
      <c r="K645" s="55"/>
      <c r="AS645" s="56"/>
      <c r="AT645" s="55"/>
      <c r="CB645" s="56"/>
      <c r="CC645" s="54"/>
      <c r="CE645" s="51" t="s">
        <v>1</v>
      </c>
      <c r="CF645" s="51" t="s">
        <v>680</v>
      </c>
    </row>
    <row r="646" spans="2:84">
      <c r="B646" s="52">
        <f>IF(F646&lt;&gt;"",SUBTOTAL(3,$F$5:F646),"")</f>
        <v>119</v>
      </c>
      <c r="C646" s="52"/>
      <c r="D646" s="53" t="s">
        <v>138</v>
      </c>
      <c r="E646" s="53" t="s">
        <v>141</v>
      </c>
      <c r="F646" s="53" t="s">
        <v>659</v>
      </c>
      <c r="G646" s="106">
        <v>44327</v>
      </c>
      <c r="H646" s="100">
        <v>1</v>
      </c>
      <c r="I646" s="106">
        <v>44807</v>
      </c>
      <c r="J646" s="100" t="s">
        <v>684</v>
      </c>
      <c r="K646" s="55" t="s">
        <v>677</v>
      </c>
      <c r="AS646" s="56"/>
      <c r="AT646" s="55"/>
      <c r="CB646" s="56"/>
      <c r="CC646" s="54"/>
      <c r="CE646" s="51" t="s">
        <v>1</v>
      </c>
      <c r="CF646" s="51" t="s">
        <v>679</v>
      </c>
    </row>
    <row r="647" spans="2:84">
      <c r="B647" s="52" t="str">
        <f>IF(F647&lt;&gt;"",SUBTOTAL(3,$F$5:F647),"")</f>
        <v/>
      </c>
      <c r="C647" s="52"/>
      <c r="D647" s="53"/>
      <c r="E647" s="53"/>
      <c r="F647" s="53"/>
      <c r="G647" s="106"/>
      <c r="H647" s="100"/>
      <c r="I647" s="106"/>
      <c r="J647" s="100"/>
      <c r="K647" s="55" t="s">
        <v>678</v>
      </c>
      <c r="AS647" s="56"/>
      <c r="AT647" s="55"/>
      <c r="CB647" s="56"/>
      <c r="CC647" s="54"/>
    </row>
    <row r="648" spans="2:84">
      <c r="B648" s="52" t="str">
        <f>IF(F648&lt;&gt;"",SUBTOTAL(3,$F$5:F648),"")</f>
        <v/>
      </c>
      <c r="C648" s="52"/>
      <c r="D648" s="53"/>
      <c r="E648" s="53"/>
      <c r="F648" s="53"/>
      <c r="G648" s="106"/>
      <c r="H648" s="100"/>
      <c r="I648" s="106"/>
      <c r="J648" s="100"/>
      <c r="K648" s="55" t="s">
        <v>766</v>
      </c>
      <c r="AS648" s="56"/>
      <c r="AT648" s="55"/>
      <c r="CB648" s="56"/>
      <c r="CC648" s="54"/>
    </row>
    <row r="649" spans="2:84">
      <c r="B649" s="52" t="str">
        <f>IF(F649&lt;&gt;"",SUBTOTAL(3,$F$5:F649),"")</f>
        <v/>
      </c>
      <c r="C649" s="52"/>
      <c r="D649" s="53"/>
      <c r="E649" s="53"/>
      <c r="F649" s="53"/>
      <c r="G649" s="106"/>
      <c r="H649" s="100"/>
      <c r="I649" s="106"/>
      <c r="J649" s="100"/>
      <c r="K649" s="55" t="s">
        <v>765</v>
      </c>
      <c r="AS649" s="56"/>
      <c r="AT649" s="55"/>
      <c r="CB649" s="56"/>
      <c r="CC649" s="54"/>
    </row>
    <row r="650" spans="2:84">
      <c r="B650" s="52" t="str">
        <f>IF(F650&lt;&gt;"",SUBTOTAL(3,$F$5:F650),"")</f>
        <v/>
      </c>
      <c r="C650" s="52"/>
      <c r="D650" s="53"/>
      <c r="E650" s="53"/>
      <c r="F650" s="53"/>
      <c r="G650" s="106"/>
      <c r="H650" s="100"/>
      <c r="I650" s="106"/>
      <c r="J650" s="100"/>
      <c r="K650" s="55"/>
      <c r="AS650" s="56"/>
      <c r="AT650" s="55"/>
      <c r="CB650" s="56"/>
      <c r="CC650" s="54"/>
    </row>
    <row r="651" spans="2:84">
      <c r="B651" s="52" t="str">
        <f>IF(F651&lt;&gt;"",SUBTOTAL(3,$F$5:F651),"")</f>
        <v/>
      </c>
      <c r="C651" s="52"/>
      <c r="D651" s="53"/>
      <c r="E651" s="53"/>
      <c r="F651" s="53"/>
      <c r="G651" s="106"/>
      <c r="H651" s="100"/>
      <c r="I651" s="106"/>
      <c r="J651" s="100"/>
      <c r="K651" s="55" t="s">
        <v>1</v>
      </c>
      <c r="L651"/>
      <c r="M651"/>
      <c r="N651" s="51" t="s">
        <v>768</v>
      </c>
      <c r="U651" s="51" t="s">
        <v>769</v>
      </c>
      <c r="AS651" s="56"/>
      <c r="AT651" s="55"/>
      <c r="CB651" s="56"/>
      <c r="CC651" s="54"/>
      <c r="CE651" s="51" t="s">
        <v>770</v>
      </c>
    </row>
    <row r="652" spans="2:84">
      <c r="B652" s="52" t="str">
        <f>IF(F652&lt;&gt;"",SUBTOTAL(3,$F$5:F652),"")</f>
        <v/>
      </c>
      <c r="C652" s="52"/>
      <c r="D652" s="53"/>
      <c r="E652" s="53"/>
      <c r="F652" s="53"/>
      <c r="G652" s="106"/>
      <c r="H652" s="100"/>
      <c r="I652" s="106"/>
      <c r="J652" s="100"/>
      <c r="K652" s="55"/>
      <c r="M652"/>
      <c r="N652"/>
      <c r="AS652" s="56"/>
      <c r="AT652" s="55"/>
      <c r="CB652" s="56"/>
      <c r="CC652" s="54"/>
      <c r="CE652" s="51" t="s">
        <v>767</v>
      </c>
    </row>
    <row r="653" spans="2:84">
      <c r="B653" s="52" t="str">
        <f>IF(F653&lt;&gt;"",SUBTOTAL(3,$F$5:F653),"")</f>
        <v/>
      </c>
      <c r="C653" s="52"/>
      <c r="D653" s="53"/>
      <c r="E653" s="53"/>
      <c r="F653" s="53"/>
      <c r="G653" s="106"/>
      <c r="H653" s="100"/>
      <c r="I653" s="106"/>
      <c r="J653" s="100"/>
      <c r="K653" s="55"/>
      <c r="M653"/>
      <c r="AS653" s="56"/>
      <c r="AT653" s="55"/>
      <c r="CB653" s="56"/>
      <c r="CC653" s="54"/>
    </row>
    <row r="654" spans="2:84">
      <c r="B654" s="52" t="str">
        <f>IF(F654&lt;&gt;"",SUBTOTAL(3,$F$5:F654),"")</f>
        <v/>
      </c>
      <c r="C654" s="52"/>
      <c r="D654" s="53"/>
      <c r="E654" s="53"/>
      <c r="F654" s="53"/>
      <c r="G654" s="106"/>
      <c r="H654" s="100"/>
      <c r="I654" s="106"/>
      <c r="J654" s="100"/>
      <c r="K654" s="55"/>
      <c r="AS654" s="56"/>
      <c r="AT654" s="55"/>
      <c r="CB654" s="56"/>
      <c r="CC654" s="54"/>
    </row>
    <row r="655" spans="2:84">
      <c r="B655" s="52" t="str">
        <f>IF(F655&lt;&gt;"",SUBTOTAL(3,$F$5:F655),"")</f>
        <v/>
      </c>
      <c r="C655" s="52"/>
      <c r="D655" s="53"/>
      <c r="E655" s="53"/>
      <c r="F655" s="53"/>
      <c r="G655" s="106"/>
      <c r="H655" s="100"/>
      <c r="I655" s="106"/>
      <c r="J655" s="100"/>
      <c r="K655" s="55"/>
      <c r="AS655" s="56"/>
      <c r="AT655" s="55"/>
      <c r="CB655" s="56"/>
      <c r="CC655" s="54"/>
    </row>
    <row r="656" spans="2:84">
      <c r="B656" s="52" t="str">
        <f>IF(F656&lt;&gt;"",SUBTOTAL(3,$F$5:F656),"")</f>
        <v/>
      </c>
      <c r="C656" s="52"/>
      <c r="D656" s="53"/>
      <c r="E656" s="53"/>
      <c r="F656" s="53"/>
      <c r="G656" s="106"/>
      <c r="H656" s="100"/>
      <c r="I656" s="106"/>
      <c r="J656" s="100"/>
      <c r="K656" s="55"/>
      <c r="AS656" s="56"/>
      <c r="AT656" s="55"/>
      <c r="CB656" s="56"/>
      <c r="CC656" s="54"/>
    </row>
    <row r="657" spans="2:81">
      <c r="B657" s="52" t="str">
        <f>IF(F657&lt;&gt;"",SUBTOTAL(3,$F$5:F657),"")</f>
        <v/>
      </c>
      <c r="C657" s="52"/>
      <c r="D657" s="53"/>
      <c r="E657" s="53"/>
      <c r="F657" s="53"/>
      <c r="G657" s="106"/>
      <c r="H657" s="100"/>
      <c r="I657" s="106"/>
      <c r="J657" s="100"/>
      <c r="K657" s="55"/>
      <c r="AS657" s="56"/>
      <c r="AT657" s="55"/>
      <c r="CB657" s="56"/>
      <c r="CC657" s="54"/>
    </row>
    <row r="658" spans="2:81">
      <c r="B658" s="52" t="str">
        <f>IF(F658&lt;&gt;"",SUBTOTAL(3,$F$5:F658),"")</f>
        <v/>
      </c>
      <c r="C658" s="52"/>
      <c r="D658" s="53"/>
      <c r="E658" s="53"/>
      <c r="F658" s="53"/>
      <c r="G658" s="106"/>
      <c r="H658" s="100"/>
      <c r="I658" s="106"/>
      <c r="J658" s="100"/>
      <c r="K658" s="55"/>
      <c r="AS658" s="56"/>
      <c r="AT658" s="55"/>
      <c r="CB658" s="56"/>
      <c r="CC658" s="54"/>
    </row>
    <row r="659" spans="2:81">
      <c r="B659" s="52" t="str">
        <f>IF(F659&lt;&gt;"",SUBTOTAL(3,$F$5:F659),"")</f>
        <v/>
      </c>
      <c r="C659" s="52"/>
      <c r="D659" s="53"/>
      <c r="E659" s="53"/>
      <c r="F659" s="53"/>
      <c r="G659" s="106"/>
      <c r="H659" s="100"/>
      <c r="I659" s="106"/>
      <c r="J659" s="100"/>
      <c r="K659" s="55"/>
      <c r="AS659" s="56"/>
      <c r="AT659" s="55"/>
      <c r="CB659" s="56"/>
      <c r="CC659" s="54"/>
    </row>
    <row r="660" spans="2:81">
      <c r="B660" s="52" t="str">
        <f>IF(F660&lt;&gt;"",SUBTOTAL(3,$F$5:F660),"")</f>
        <v/>
      </c>
      <c r="C660" s="52"/>
      <c r="D660" s="53"/>
      <c r="E660" s="53"/>
      <c r="F660" s="53"/>
      <c r="G660" s="106"/>
      <c r="H660" s="100"/>
      <c r="I660" s="106"/>
      <c r="J660" s="100"/>
      <c r="K660" s="55"/>
      <c r="AS660" s="56"/>
      <c r="AT660" s="55"/>
      <c r="CB660" s="56"/>
      <c r="CC660" s="54"/>
    </row>
    <row r="661" spans="2:81">
      <c r="B661" s="52" t="str">
        <f>IF(F661&lt;&gt;"",SUBTOTAL(3,$F$5:F661),"")</f>
        <v/>
      </c>
      <c r="C661" s="52"/>
      <c r="D661" s="53"/>
      <c r="E661" s="53"/>
      <c r="F661" s="53"/>
      <c r="G661" s="106"/>
      <c r="H661" s="100"/>
      <c r="I661" s="106"/>
      <c r="J661" s="100"/>
      <c r="K661" s="55"/>
      <c r="AS661" s="56"/>
      <c r="AT661" s="55"/>
      <c r="CB661" s="56"/>
      <c r="CC661" s="54"/>
    </row>
    <row r="662" spans="2:81">
      <c r="B662" s="52" t="str">
        <f>IF(F662&lt;&gt;"",SUBTOTAL(3,$F$5:F662),"")</f>
        <v/>
      </c>
      <c r="C662" s="52"/>
      <c r="D662" s="53"/>
      <c r="E662" s="53"/>
      <c r="F662" s="53"/>
      <c r="G662" s="106"/>
      <c r="H662" s="100"/>
      <c r="I662" s="106"/>
      <c r="J662" s="100"/>
      <c r="K662" s="55"/>
      <c r="AS662" s="56"/>
      <c r="AT662" s="55"/>
      <c r="CB662" s="56"/>
      <c r="CC662" s="54"/>
    </row>
    <row r="663" spans="2:81">
      <c r="B663" s="52" t="str">
        <f>IF(F663&lt;&gt;"",SUBTOTAL(3,$F$5:F663),"")</f>
        <v/>
      </c>
      <c r="C663" s="52"/>
      <c r="D663" s="53"/>
      <c r="E663" s="53"/>
      <c r="F663" s="53"/>
      <c r="G663" s="106"/>
      <c r="H663" s="100"/>
      <c r="I663" s="106"/>
      <c r="J663" s="100"/>
      <c r="K663" s="55"/>
      <c r="AS663" s="56"/>
      <c r="AT663" s="55"/>
      <c r="CB663" s="56"/>
      <c r="CC663" s="54"/>
    </row>
    <row r="664" spans="2:81">
      <c r="B664" s="52" t="str">
        <f>IF(F664&lt;&gt;"",SUBTOTAL(3,$F$5:F664),"")</f>
        <v/>
      </c>
      <c r="C664" s="52"/>
      <c r="D664" s="53"/>
      <c r="E664" s="53"/>
      <c r="F664" s="53"/>
      <c r="G664" s="106"/>
      <c r="H664" s="100"/>
      <c r="I664" s="106"/>
      <c r="J664" s="100"/>
      <c r="K664" s="55"/>
      <c r="AS664" s="56"/>
      <c r="AT664" s="55"/>
      <c r="CB664" s="56"/>
      <c r="CC664" s="54"/>
    </row>
    <row r="665" spans="2:81">
      <c r="B665" s="52" t="str">
        <f>IF(F665&lt;&gt;"",SUBTOTAL(3,$F$5:F665),"")</f>
        <v/>
      </c>
      <c r="C665" s="52"/>
      <c r="D665" s="53"/>
      <c r="E665" s="53"/>
      <c r="F665" s="53"/>
      <c r="G665" s="106"/>
      <c r="H665" s="100"/>
      <c r="I665" s="106"/>
      <c r="J665" s="100"/>
      <c r="K665" s="55"/>
      <c r="AS665" s="56"/>
      <c r="AT665" s="55"/>
      <c r="CB665" s="56"/>
      <c r="CC665" s="54"/>
    </row>
    <row r="666" spans="2:81">
      <c r="B666" s="52" t="str">
        <f>IF(F666&lt;&gt;"",SUBTOTAL(3,$F$5:F666),"")</f>
        <v/>
      </c>
      <c r="C666" s="52"/>
      <c r="D666" s="53"/>
      <c r="E666" s="53"/>
      <c r="F666" s="53"/>
      <c r="G666" s="106"/>
      <c r="H666" s="100"/>
      <c r="I666" s="106"/>
      <c r="J666" s="100"/>
      <c r="K666" s="55"/>
      <c r="AS666" s="56"/>
      <c r="AT666" s="55"/>
      <c r="CB666" s="56"/>
      <c r="CC666" s="54"/>
    </row>
    <row r="667" spans="2:81">
      <c r="B667" s="52" t="str">
        <f>IF(F667&lt;&gt;"",SUBTOTAL(3,$F$5:F667),"")</f>
        <v/>
      </c>
      <c r="C667" s="52"/>
      <c r="D667" s="53"/>
      <c r="E667" s="53"/>
      <c r="F667" s="53"/>
      <c r="G667" s="106"/>
      <c r="H667" s="100"/>
      <c r="I667" s="106"/>
      <c r="J667" s="100"/>
      <c r="K667" s="55"/>
      <c r="AS667" s="56"/>
      <c r="AT667" s="55"/>
      <c r="CB667" s="56"/>
      <c r="CC667" s="54"/>
    </row>
    <row r="668" spans="2:81">
      <c r="B668" s="52" t="str">
        <f>IF(F668&lt;&gt;"",SUBTOTAL(3,$F$5:F668),"")</f>
        <v/>
      </c>
      <c r="C668" s="52"/>
      <c r="D668" s="53"/>
      <c r="E668" s="53"/>
      <c r="F668" s="53"/>
      <c r="G668" s="106"/>
      <c r="H668" s="100"/>
      <c r="I668" s="106"/>
      <c r="J668" s="100"/>
      <c r="K668" s="55"/>
      <c r="AS668" s="56"/>
      <c r="AT668" s="55"/>
      <c r="CB668" s="56"/>
      <c r="CC668" s="54"/>
    </row>
    <row r="669" spans="2:81">
      <c r="B669" s="52" t="str">
        <f>IF(F669&lt;&gt;"",SUBTOTAL(3,$F$5:F669),"")</f>
        <v/>
      </c>
      <c r="C669" s="52"/>
      <c r="D669" s="53"/>
      <c r="E669" s="53"/>
      <c r="F669" s="53"/>
      <c r="G669" s="106"/>
      <c r="H669" s="100"/>
      <c r="I669" s="106"/>
      <c r="J669" s="100"/>
      <c r="K669" s="55"/>
      <c r="AS669" s="56"/>
      <c r="AT669" s="55"/>
      <c r="CB669" s="56"/>
      <c r="CC669" s="54"/>
    </row>
    <row r="670" spans="2:81">
      <c r="B670" s="52" t="str">
        <f>IF(F670&lt;&gt;"",SUBTOTAL(3,$F$5:F670),"")</f>
        <v/>
      </c>
      <c r="C670" s="52"/>
      <c r="D670" s="53"/>
      <c r="E670" s="53"/>
      <c r="F670" s="53"/>
      <c r="G670" s="106"/>
      <c r="H670" s="100"/>
      <c r="I670" s="106"/>
      <c r="J670" s="100"/>
      <c r="K670" s="55"/>
      <c r="AS670" s="56"/>
      <c r="AT670" s="55"/>
      <c r="CB670" s="56"/>
      <c r="CC670" s="54"/>
    </row>
    <row r="671" spans="2:81">
      <c r="B671" s="52" t="str">
        <f>IF(F671&lt;&gt;"",SUBTOTAL(3,$F$5:F671),"")</f>
        <v/>
      </c>
      <c r="C671" s="52"/>
      <c r="D671" s="53"/>
      <c r="E671" s="53"/>
      <c r="F671" s="53"/>
      <c r="G671" s="106"/>
      <c r="H671" s="100"/>
      <c r="I671" s="106"/>
      <c r="J671" s="100"/>
      <c r="K671" s="55"/>
      <c r="AS671" s="56"/>
      <c r="AT671" s="55"/>
      <c r="CB671" s="56"/>
      <c r="CC671" s="54"/>
    </row>
    <row r="672" spans="2:81">
      <c r="B672" s="52" t="str">
        <f>IF(F672&lt;&gt;"",SUBTOTAL(3,$F$5:F672),"")</f>
        <v/>
      </c>
      <c r="C672" s="52"/>
      <c r="D672" s="53"/>
      <c r="E672" s="53"/>
      <c r="F672" s="53"/>
      <c r="G672" s="106"/>
      <c r="H672" s="100"/>
      <c r="I672" s="106"/>
      <c r="J672" s="100"/>
      <c r="K672" s="55"/>
      <c r="AS672" s="56"/>
      <c r="AT672" s="55"/>
      <c r="CB672" s="56"/>
      <c r="CC672" s="54"/>
    </row>
    <row r="673" spans="2:81">
      <c r="B673" s="52" t="str">
        <f>IF(F673&lt;&gt;"",SUBTOTAL(3,$F$5:F673),"")</f>
        <v/>
      </c>
      <c r="C673" s="52"/>
      <c r="D673" s="53"/>
      <c r="E673" s="53"/>
      <c r="F673" s="53"/>
      <c r="G673" s="106"/>
      <c r="H673" s="100"/>
      <c r="I673" s="106"/>
      <c r="J673" s="100"/>
      <c r="K673" s="55"/>
      <c r="AS673" s="56"/>
      <c r="AT673" s="55"/>
      <c r="CB673" s="56"/>
      <c r="CC673" s="54"/>
    </row>
    <row r="674" spans="2:81">
      <c r="B674" s="52" t="str">
        <f>IF(F674&lt;&gt;"",SUBTOTAL(3,$F$5:F674),"")</f>
        <v/>
      </c>
      <c r="C674" s="52"/>
      <c r="D674" s="53"/>
      <c r="E674" s="53"/>
      <c r="F674" s="53"/>
      <c r="G674" s="106"/>
      <c r="H674" s="100"/>
      <c r="I674" s="106"/>
      <c r="J674" s="100"/>
      <c r="K674" s="55"/>
      <c r="AS674" s="56"/>
      <c r="AT674" s="55"/>
      <c r="CB674" s="56"/>
      <c r="CC674" s="54"/>
    </row>
    <row r="675" spans="2:81">
      <c r="B675" s="52" t="str">
        <f>IF(F675&lt;&gt;"",SUBTOTAL(3,$F$5:F675),"")</f>
        <v/>
      </c>
      <c r="C675" s="52"/>
      <c r="D675" s="53"/>
      <c r="E675" s="53"/>
      <c r="F675" s="53"/>
      <c r="G675" s="106"/>
      <c r="H675" s="100"/>
      <c r="I675" s="106"/>
      <c r="J675" s="100"/>
      <c r="K675" s="55"/>
      <c r="AS675" s="56"/>
      <c r="AT675" s="55"/>
      <c r="CB675" s="56"/>
      <c r="CC675" s="54"/>
    </row>
    <row r="676" spans="2:81">
      <c r="B676" s="52" t="str">
        <f>IF(F676&lt;&gt;"",SUBTOTAL(3,$F$5:F676),"")</f>
        <v/>
      </c>
      <c r="C676" s="52"/>
      <c r="D676" s="53"/>
      <c r="E676" s="53"/>
      <c r="F676" s="53"/>
      <c r="G676" s="106"/>
      <c r="H676" s="100"/>
      <c r="I676" s="106"/>
      <c r="J676" s="100"/>
      <c r="K676" s="55"/>
      <c r="AS676" s="56"/>
      <c r="AT676" s="55"/>
      <c r="CB676" s="56"/>
      <c r="CC676" s="54"/>
    </row>
    <row r="677" spans="2:81">
      <c r="B677" s="52" t="str">
        <f>IF(F677&lt;&gt;"",SUBTOTAL(3,$F$5:F677),"")</f>
        <v/>
      </c>
      <c r="C677" s="52"/>
      <c r="D677" s="53"/>
      <c r="E677" s="53"/>
      <c r="F677" s="53"/>
      <c r="G677" s="106"/>
      <c r="H677" s="100"/>
      <c r="I677" s="106"/>
      <c r="J677" s="100"/>
      <c r="K677" s="55"/>
      <c r="AS677" s="56"/>
      <c r="AT677" s="55"/>
      <c r="CB677" s="56"/>
      <c r="CC677" s="54"/>
    </row>
    <row r="678" spans="2:81">
      <c r="B678" s="52" t="str">
        <f>IF(F678&lt;&gt;"",SUBTOTAL(3,$F$5:F678),"")</f>
        <v/>
      </c>
      <c r="C678" s="52"/>
      <c r="D678" s="53"/>
      <c r="E678" s="53"/>
      <c r="F678" s="53"/>
      <c r="G678" s="106"/>
      <c r="H678" s="100"/>
      <c r="I678" s="106"/>
      <c r="J678" s="100"/>
      <c r="K678" s="55"/>
      <c r="AS678" s="56"/>
      <c r="AT678" s="55"/>
      <c r="CB678" s="56"/>
      <c r="CC678" s="54"/>
    </row>
    <row r="679" spans="2:81">
      <c r="B679" s="52" t="str">
        <f>IF(F679&lt;&gt;"",SUBTOTAL(3,$F$5:F679),"")</f>
        <v/>
      </c>
      <c r="C679" s="52"/>
      <c r="D679" s="53"/>
      <c r="E679" s="53"/>
      <c r="F679" s="53"/>
      <c r="G679" s="106"/>
      <c r="H679" s="100"/>
      <c r="I679" s="106"/>
      <c r="J679" s="100"/>
      <c r="K679" s="55"/>
      <c r="AS679" s="56"/>
      <c r="AT679" s="55"/>
      <c r="CB679" s="56"/>
      <c r="CC679" s="54"/>
    </row>
    <row r="680" spans="2:81">
      <c r="B680" s="52" t="str">
        <f>IF(F680&lt;&gt;"",SUBTOTAL(3,$F$5:F680),"")</f>
        <v/>
      </c>
      <c r="C680" s="52"/>
      <c r="D680" s="53"/>
      <c r="E680" s="53"/>
      <c r="F680" s="53"/>
      <c r="G680" s="106"/>
      <c r="H680" s="100"/>
      <c r="I680" s="106"/>
      <c r="J680" s="100"/>
      <c r="K680" s="55"/>
      <c r="AS680" s="56"/>
      <c r="AT680" s="55"/>
      <c r="CB680" s="56"/>
      <c r="CC680" s="54"/>
    </row>
    <row r="681" spans="2:81">
      <c r="B681" s="52" t="str">
        <f>IF(F681&lt;&gt;"",SUBTOTAL(3,$F$5:F681),"")</f>
        <v/>
      </c>
      <c r="C681" s="52"/>
      <c r="D681" s="53"/>
      <c r="E681" s="53"/>
      <c r="F681" s="53"/>
      <c r="G681" s="106"/>
      <c r="H681" s="100"/>
      <c r="I681" s="106"/>
      <c r="J681" s="100"/>
      <c r="K681" s="55"/>
      <c r="AS681" s="56"/>
      <c r="AT681" s="55"/>
      <c r="CB681" s="56"/>
      <c r="CC681" s="54"/>
    </row>
    <row r="682" spans="2:81">
      <c r="B682" s="52" t="str">
        <f>IF(F682&lt;&gt;"",SUBTOTAL(3,$F$5:F682),"")</f>
        <v/>
      </c>
      <c r="C682" s="52"/>
      <c r="D682" s="53"/>
      <c r="E682" s="53"/>
      <c r="F682" s="53"/>
      <c r="G682" s="106"/>
      <c r="H682" s="100"/>
      <c r="I682" s="106"/>
      <c r="J682" s="100"/>
      <c r="K682" s="55"/>
      <c r="AS682" s="56"/>
      <c r="AT682" s="55"/>
      <c r="CB682" s="56"/>
      <c r="CC682" s="54"/>
    </row>
    <row r="683" spans="2:81">
      <c r="B683" s="52" t="str">
        <f>IF(F683&lt;&gt;"",SUBTOTAL(3,$F$5:F683),"")</f>
        <v/>
      </c>
      <c r="C683" s="52"/>
      <c r="D683" s="53"/>
      <c r="E683" s="53"/>
      <c r="F683" s="53"/>
      <c r="G683" s="106"/>
      <c r="H683" s="100"/>
      <c r="I683" s="106"/>
      <c r="J683" s="100"/>
      <c r="K683" s="55"/>
      <c r="AS683" s="56"/>
      <c r="AT683" s="55"/>
      <c r="CB683" s="56"/>
      <c r="CC683" s="54"/>
    </row>
    <row r="684" spans="2:81">
      <c r="B684" s="52" t="str">
        <f>IF(F684&lt;&gt;"",SUBTOTAL(3,$F$5:F684),"")</f>
        <v/>
      </c>
      <c r="C684" s="52"/>
      <c r="D684" s="53"/>
      <c r="E684" s="53"/>
      <c r="F684" s="53"/>
      <c r="G684" s="106"/>
      <c r="H684" s="100"/>
      <c r="I684" s="106"/>
      <c r="J684" s="100"/>
      <c r="K684" s="55"/>
      <c r="AS684" s="56"/>
      <c r="AT684" s="55"/>
      <c r="CB684" s="56"/>
      <c r="CC684" s="54"/>
    </row>
    <row r="685" spans="2:81">
      <c r="B685" s="52" t="str">
        <f>IF(F685&lt;&gt;"",SUBTOTAL(3,$F$5:F685),"")</f>
        <v/>
      </c>
      <c r="C685" s="52"/>
      <c r="D685" s="53"/>
      <c r="E685" s="53"/>
      <c r="F685" s="53"/>
      <c r="G685" s="106"/>
      <c r="H685" s="100"/>
      <c r="I685" s="106"/>
      <c r="J685" s="100"/>
      <c r="K685" s="55"/>
      <c r="AS685" s="56"/>
      <c r="AT685" s="55"/>
      <c r="CB685" s="56"/>
      <c r="CC685" s="54"/>
    </row>
    <row r="686" spans="2:81">
      <c r="B686" s="52" t="str">
        <f>IF(F686&lt;&gt;"",SUBTOTAL(3,$F$5:F686),"")</f>
        <v/>
      </c>
      <c r="C686" s="52"/>
      <c r="D686" s="53"/>
      <c r="E686" s="53"/>
      <c r="F686" s="53"/>
      <c r="G686" s="106"/>
      <c r="H686" s="100"/>
      <c r="I686" s="106"/>
      <c r="J686" s="100"/>
      <c r="K686" s="55"/>
      <c r="AS686" s="56"/>
      <c r="AT686" s="55"/>
      <c r="CB686" s="56"/>
      <c r="CC686" s="54"/>
    </row>
    <row r="687" spans="2:81">
      <c r="B687" s="52" t="str">
        <f>IF(F687&lt;&gt;"",SUBTOTAL(3,$F$5:F687),"")</f>
        <v/>
      </c>
      <c r="C687" s="52"/>
      <c r="D687" s="53"/>
      <c r="E687" s="53"/>
      <c r="F687" s="53"/>
      <c r="G687" s="106"/>
      <c r="H687" s="100"/>
      <c r="I687" s="106"/>
      <c r="J687" s="100"/>
      <c r="K687" s="55"/>
      <c r="AS687" s="56"/>
      <c r="AT687" s="55"/>
      <c r="CB687" s="56"/>
      <c r="CC687" s="54"/>
    </row>
    <row r="688" spans="2:81">
      <c r="B688" s="52" t="str">
        <f>IF(F688&lt;&gt;"",SUBTOTAL(3,$F$5:F688),"")</f>
        <v/>
      </c>
      <c r="C688" s="52"/>
      <c r="D688" s="53"/>
      <c r="E688" s="53"/>
      <c r="F688" s="53"/>
      <c r="G688" s="106"/>
      <c r="H688" s="100"/>
      <c r="I688" s="106"/>
      <c r="J688" s="100"/>
      <c r="K688" s="55"/>
      <c r="AS688" s="56"/>
      <c r="AT688" s="55"/>
      <c r="CB688" s="56"/>
      <c r="CC688" s="54"/>
    </row>
    <row r="689" spans="2:81">
      <c r="B689" s="52" t="str">
        <f>IF(F689&lt;&gt;"",SUBTOTAL(3,$F$5:F689),"")</f>
        <v/>
      </c>
      <c r="C689" s="52"/>
      <c r="D689" s="53"/>
      <c r="E689" s="53"/>
      <c r="F689" s="53"/>
      <c r="G689" s="106"/>
      <c r="H689" s="100"/>
      <c r="I689" s="106"/>
      <c r="J689" s="100"/>
      <c r="K689" s="55"/>
      <c r="AS689" s="56"/>
      <c r="AT689" s="55"/>
      <c r="CB689" s="56"/>
      <c r="CC689" s="54"/>
    </row>
    <row r="690" spans="2:81">
      <c r="B690" s="52" t="str">
        <f>IF(F690&lt;&gt;"",SUBTOTAL(3,$F$5:F690),"")</f>
        <v/>
      </c>
      <c r="C690" s="52"/>
      <c r="D690" s="53"/>
      <c r="E690" s="53"/>
      <c r="F690" s="53"/>
      <c r="G690" s="106"/>
      <c r="H690" s="100"/>
      <c r="I690" s="106"/>
      <c r="J690" s="100"/>
      <c r="K690" s="55"/>
      <c r="AS690" s="56"/>
      <c r="AT690" s="55"/>
      <c r="CB690" s="56"/>
      <c r="CC690" s="54"/>
    </row>
    <row r="691" spans="2:81">
      <c r="B691" s="52" t="str">
        <f>IF(F691&lt;&gt;"",SUBTOTAL(3,$F$5:F691),"")</f>
        <v/>
      </c>
      <c r="C691" s="52"/>
      <c r="D691" s="53"/>
      <c r="E691" s="53"/>
      <c r="F691" s="53"/>
      <c r="G691" s="106"/>
      <c r="H691" s="100"/>
      <c r="I691" s="106"/>
      <c r="J691" s="100"/>
      <c r="K691" s="55"/>
      <c r="AS691" s="56"/>
      <c r="AT691" s="55"/>
      <c r="CB691" s="56"/>
      <c r="CC691" s="54"/>
    </row>
    <row r="692" spans="2:81">
      <c r="B692" s="52" t="str">
        <f>IF(F692&lt;&gt;"",SUBTOTAL(3,$F$5:F692),"")</f>
        <v/>
      </c>
      <c r="C692" s="52"/>
      <c r="D692" s="53"/>
      <c r="E692" s="53"/>
      <c r="F692" s="53"/>
      <c r="G692" s="106"/>
      <c r="H692" s="100"/>
      <c r="I692" s="106"/>
      <c r="J692" s="100"/>
      <c r="K692" s="55"/>
      <c r="AS692" s="56"/>
      <c r="AT692" s="55"/>
      <c r="CB692" s="56"/>
      <c r="CC692" s="54"/>
    </row>
    <row r="693" spans="2:81">
      <c r="B693" s="52" t="str">
        <f>IF(F693&lt;&gt;"",SUBTOTAL(3,$F$5:F693),"")</f>
        <v/>
      </c>
      <c r="C693" s="52"/>
      <c r="D693" s="53"/>
      <c r="E693" s="53"/>
      <c r="F693" s="53"/>
      <c r="G693" s="106"/>
      <c r="H693" s="100"/>
      <c r="I693" s="106"/>
      <c r="J693" s="100"/>
      <c r="K693" s="55"/>
      <c r="AS693" s="56"/>
      <c r="AT693" s="55"/>
      <c r="CB693" s="56"/>
      <c r="CC693" s="54"/>
    </row>
    <row r="694" spans="2:81">
      <c r="B694" s="52" t="str">
        <f>IF(F694&lt;&gt;"",SUBTOTAL(3,$F$5:F694),"")</f>
        <v/>
      </c>
      <c r="C694" s="52"/>
      <c r="D694" s="53"/>
      <c r="E694" s="53"/>
      <c r="F694" s="53"/>
      <c r="G694" s="106"/>
      <c r="H694" s="100"/>
      <c r="I694" s="106"/>
      <c r="J694" s="100"/>
      <c r="K694" s="55"/>
      <c r="AS694" s="56"/>
      <c r="AT694" s="55"/>
      <c r="CB694" s="56"/>
      <c r="CC694" s="54"/>
    </row>
    <row r="695" spans="2:81">
      <c r="B695" s="52" t="str">
        <f>IF(F695&lt;&gt;"",SUBTOTAL(3,$F$5:F695),"")</f>
        <v/>
      </c>
      <c r="C695" s="52"/>
      <c r="D695" s="53"/>
      <c r="E695" s="53"/>
      <c r="F695" s="53"/>
      <c r="G695" s="106"/>
      <c r="H695" s="100"/>
      <c r="I695" s="106"/>
      <c r="J695" s="100"/>
      <c r="K695" s="55"/>
      <c r="AS695" s="56"/>
      <c r="AT695" s="55"/>
      <c r="CB695" s="56"/>
      <c r="CC695" s="54"/>
    </row>
    <row r="696" spans="2:81">
      <c r="B696" s="52" t="str">
        <f>IF(F696&lt;&gt;"",SUBTOTAL(3,$F$5:F696),"")</f>
        <v/>
      </c>
      <c r="C696" s="52"/>
      <c r="D696" s="53"/>
      <c r="E696" s="53"/>
      <c r="F696" s="53"/>
      <c r="G696" s="106"/>
      <c r="H696" s="100"/>
      <c r="I696" s="106"/>
      <c r="J696" s="100"/>
      <c r="K696" s="55"/>
      <c r="AS696" s="56"/>
      <c r="AT696" s="55"/>
      <c r="CB696" s="56"/>
      <c r="CC696" s="54"/>
    </row>
    <row r="697" spans="2:81">
      <c r="B697" s="52" t="str">
        <f>IF(F697&lt;&gt;"",SUBTOTAL(3,$F$5:F697),"")</f>
        <v/>
      </c>
      <c r="C697" s="52"/>
      <c r="D697" s="53"/>
      <c r="E697" s="53"/>
      <c r="F697" s="53"/>
      <c r="G697" s="106"/>
      <c r="H697" s="100"/>
      <c r="I697" s="106"/>
      <c r="J697" s="100"/>
      <c r="K697" s="55"/>
      <c r="AS697" s="56"/>
      <c r="AT697" s="55"/>
      <c r="CB697" s="56"/>
      <c r="CC697" s="54"/>
    </row>
    <row r="698" spans="2:81">
      <c r="B698" s="52" t="str">
        <f>IF(F698&lt;&gt;"",SUBTOTAL(3,$F$5:F698),"")</f>
        <v/>
      </c>
      <c r="C698" s="52"/>
      <c r="D698" s="53"/>
      <c r="E698" s="53"/>
      <c r="F698" s="53"/>
      <c r="G698" s="106"/>
      <c r="H698" s="100"/>
      <c r="I698" s="106"/>
      <c r="J698" s="100"/>
      <c r="K698" s="55"/>
      <c r="AS698" s="56"/>
      <c r="AT698" s="55"/>
      <c r="CB698" s="56"/>
      <c r="CC698" s="54"/>
    </row>
    <row r="699" spans="2:81">
      <c r="B699" s="52" t="str">
        <f>IF(F699&lt;&gt;"",SUBTOTAL(3,$F$5:F699),"")</f>
        <v/>
      </c>
      <c r="C699" s="52"/>
      <c r="D699" s="53"/>
      <c r="E699" s="53"/>
      <c r="F699" s="53"/>
      <c r="G699" s="106"/>
      <c r="H699" s="100"/>
      <c r="I699" s="106"/>
      <c r="J699" s="100"/>
      <c r="K699" s="55"/>
      <c r="AS699" s="56"/>
      <c r="AT699" s="55"/>
      <c r="CB699" s="56"/>
      <c r="CC699" s="54"/>
    </row>
    <row r="700" spans="2:81">
      <c r="B700" s="52" t="str">
        <f>IF(F700&lt;&gt;"",SUBTOTAL(3,$F$5:F700),"")</f>
        <v/>
      </c>
      <c r="C700" s="52"/>
      <c r="D700" s="53"/>
      <c r="E700" s="53"/>
      <c r="F700" s="53"/>
      <c r="G700" s="106"/>
      <c r="H700" s="100"/>
      <c r="I700" s="106"/>
      <c r="J700" s="100"/>
      <c r="K700" s="55"/>
      <c r="AS700" s="56"/>
      <c r="AT700" s="55"/>
      <c r="CB700" s="56"/>
      <c r="CC700" s="54"/>
    </row>
    <row r="701" spans="2:81">
      <c r="B701" s="52" t="str">
        <f>IF(F701&lt;&gt;"",SUBTOTAL(3,$F$5:F701),"")</f>
        <v/>
      </c>
      <c r="C701" s="52"/>
      <c r="D701" s="53"/>
      <c r="E701" s="53"/>
      <c r="F701" s="53"/>
      <c r="G701" s="106"/>
      <c r="H701" s="100"/>
      <c r="I701" s="106"/>
      <c r="J701" s="100"/>
      <c r="K701" s="55"/>
      <c r="AS701" s="56"/>
      <c r="AT701" s="55"/>
      <c r="CB701" s="56"/>
      <c r="CC701" s="54"/>
    </row>
    <row r="702" spans="2:81">
      <c r="B702" s="52" t="str">
        <f>IF(F702&lt;&gt;"",SUBTOTAL(3,$F$5:F702),"")</f>
        <v/>
      </c>
      <c r="C702" s="52"/>
      <c r="D702" s="53"/>
      <c r="E702" s="53"/>
      <c r="F702" s="53"/>
      <c r="G702" s="106"/>
      <c r="H702" s="100"/>
      <c r="I702" s="106"/>
      <c r="J702" s="100"/>
      <c r="K702" s="55"/>
      <c r="AS702" s="56"/>
      <c r="AT702" s="55"/>
      <c r="CB702" s="56"/>
      <c r="CC702" s="54"/>
    </row>
    <row r="703" spans="2:81">
      <c r="B703" s="52" t="str">
        <f>IF(F703&lt;&gt;"",SUBTOTAL(3,$F$5:F703),"")</f>
        <v/>
      </c>
      <c r="C703" s="52"/>
      <c r="D703" s="53"/>
      <c r="E703" s="53"/>
      <c r="F703" s="53"/>
      <c r="G703" s="106"/>
      <c r="H703" s="100"/>
      <c r="I703" s="106"/>
      <c r="J703" s="100"/>
      <c r="K703" s="55"/>
      <c r="AS703" s="56"/>
      <c r="AT703" s="55"/>
      <c r="CB703" s="56"/>
      <c r="CC703" s="54"/>
    </row>
    <row r="704" spans="2:81">
      <c r="B704" s="52" t="str">
        <f>IF(F704&lt;&gt;"",SUBTOTAL(3,$F$5:F704),"")</f>
        <v/>
      </c>
      <c r="C704" s="52"/>
      <c r="D704" s="53"/>
      <c r="E704" s="53"/>
      <c r="F704" s="53"/>
      <c r="G704" s="106"/>
      <c r="H704" s="100"/>
      <c r="I704" s="106"/>
      <c r="J704" s="100"/>
      <c r="K704" s="55"/>
      <c r="AS704" s="56"/>
      <c r="AT704" s="55"/>
      <c r="CB704" s="56"/>
      <c r="CC704" s="54"/>
    </row>
    <row r="705" spans="2:81">
      <c r="B705" s="52" t="str">
        <f>IF(F705&lt;&gt;"",SUBTOTAL(3,$F$5:F705),"")</f>
        <v/>
      </c>
      <c r="C705" s="52"/>
      <c r="D705" s="53"/>
      <c r="E705" s="53"/>
      <c r="F705" s="53"/>
      <c r="G705" s="106"/>
      <c r="H705" s="100"/>
      <c r="I705" s="106"/>
      <c r="J705" s="100"/>
      <c r="K705" s="55"/>
      <c r="AS705" s="56"/>
      <c r="AT705" s="55"/>
      <c r="CB705" s="56"/>
      <c r="CC705" s="54"/>
    </row>
    <row r="706" spans="2:81">
      <c r="B706" s="52" t="str">
        <f>IF(F706&lt;&gt;"",SUBTOTAL(3,$F$5:F706),"")</f>
        <v/>
      </c>
      <c r="C706" s="52"/>
      <c r="D706" s="53"/>
      <c r="E706" s="53"/>
      <c r="F706" s="53"/>
      <c r="G706" s="106"/>
      <c r="H706" s="100"/>
      <c r="I706" s="106"/>
      <c r="J706" s="100"/>
      <c r="K706" s="55"/>
      <c r="AS706" s="56"/>
      <c r="AT706" s="55"/>
      <c r="CB706" s="56"/>
      <c r="CC706" s="54"/>
    </row>
    <row r="707" spans="2:81">
      <c r="B707" s="52" t="str">
        <f>IF(F707&lt;&gt;"",SUBTOTAL(3,$F$5:F707),"")</f>
        <v/>
      </c>
      <c r="C707" s="52"/>
      <c r="D707" s="53"/>
      <c r="E707" s="53"/>
      <c r="F707" s="53"/>
      <c r="G707" s="106"/>
      <c r="H707" s="100"/>
      <c r="I707" s="106"/>
      <c r="J707" s="100"/>
      <c r="K707" s="55"/>
      <c r="AS707" s="56"/>
      <c r="AT707" s="55"/>
      <c r="CB707" s="56"/>
      <c r="CC707" s="54"/>
    </row>
    <row r="708" spans="2:81">
      <c r="B708" s="52" t="str">
        <f>IF(F708&lt;&gt;"",SUBTOTAL(3,$F$5:F708),"")</f>
        <v/>
      </c>
      <c r="C708" s="52"/>
      <c r="D708" s="53"/>
      <c r="E708" s="53"/>
      <c r="F708" s="53"/>
      <c r="G708" s="106"/>
      <c r="H708" s="100"/>
      <c r="I708" s="106"/>
      <c r="J708" s="100"/>
      <c r="K708" s="55"/>
      <c r="AS708" s="56"/>
      <c r="AT708" s="55"/>
      <c r="CB708" s="56"/>
      <c r="CC708" s="54"/>
    </row>
    <row r="709" spans="2:81">
      <c r="B709" s="52" t="str">
        <f>IF(F709&lt;&gt;"",SUBTOTAL(3,$F$5:F709),"")</f>
        <v/>
      </c>
      <c r="C709" s="52"/>
      <c r="D709" s="53"/>
      <c r="E709" s="53"/>
      <c r="F709" s="53"/>
      <c r="G709" s="106"/>
      <c r="H709" s="100"/>
      <c r="I709" s="106"/>
      <c r="J709" s="100"/>
      <c r="K709" s="55"/>
      <c r="AS709" s="56"/>
      <c r="AT709" s="55"/>
      <c r="CB709" s="56"/>
      <c r="CC709" s="54"/>
    </row>
    <row r="710" spans="2:81">
      <c r="B710" s="52" t="str">
        <f>IF(F710&lt;&gt;"",SUBTOTAL(3,$F$5:F710),"")</f>
        <v/>
      </c>
      <c r="C710" s="52"/>
      <c r="D710" s="53"/>
      <c r="E710" s="53"/>
      <c r="F710" s="53"/>
      <c r="G710" s="106"/>
      <c r="H710" s="100"/>
      <c r="I710" s="106"/>
      <c r="J710" s="100"/>
      <c r="K710" s="55"/>
      <c r="AS710" s="56"/>
      <c r="AT710" s="55"/>
      <c r="CB710" s="56"/>
      <c r="CC710" s="54"/>
    </row>
    <row r="711" spans="2:81">
      <c r="B711" s="52" t="str">
        <f>IF(F711&lt;&gt;"",SUBTOTAL(3,$F$5:F711),"")</f>
        <v/>
      </c>
      <c r="C711" s="52"/>
      <c r="D711" s="53"/>
      <c r="E711" s="53"/>
      <c r="F711" s="53"/>
      <c r="G711" s="106"/>
      <c r="H711" s="100"/>
      <c r="I711" s="106"/>
      <c r="J711" s="100"/>
      <c r="K711" s="55"/>
      <c r="AS711" s="56"/>
      <c r="AT711" s="55"/>
      <c r="CB711" s="56"/>
      <c r="CC711" s="54"/>
    </row>
    <row r="712" spans="2:81">
      <c r="B712" s="52" t="str">
        <f>IF(F712&lt;&gt;"",SUBTOTAL(3,$F$5:F712),"")</f>
        <v/>
      </c>
      <c r="C712" s="52"/>
      <c r="D712" s="53"/>
      <c r="E712" s="53"/>
      <c r="F712" s="53"/>
      <c r="G712" s="106"/>
      <c r="H712" s="100"/>
      <c r="I712" s="106"/>
      <c r="J712" s="100"/>
      <c r="K712" s="55"/>
      <c r="AS712" s="56"/>
      <c r="AT712" s="55"/>
      <c r="CB712" s="56"/>
      <c r="CC712" s="54"/>
    </row>
    <row r="713" spans="2:81">
      <c r="B713" s="52" t="str">
        <f>IF(F713&lt;&gt;"",SUBTOTAL(3,$F$5:F713),"")</f>
        <v/>
      </c>
      <c r="C713" s="52"/>
      <c r="D713" s="53"/>
      <c r="E713" s="53"/>
      <c r="F713" s="53"/>
      <c r="G713" s="106"/>
      <c r="H713" s="100"/>
      <c r="I713" s="106"/>
      <c r="J713" s="100"/>
      <c r="K713" s="55"/>
      <c r="AS713" s="56"/>
      <c r="AT713" s="55"/>
      <c r="CB713" s="56"/>
      <c r="CC713" s="54"/>
    </row>
    <row r="714" spans="2:81">
      <c r="B714" s="52" t="str">
        <f>IF(F714&lt;&gt;"",SUBTOTAL(3,$F$5:F714),"")</f>
        <v/>
      </c>
      <c r="C714" s="52"/>
      <c r="D714" s="53"/>
      <c r="E714" s="53"/>
      <c r="F714" s="53"/>
      <c r="G714" s="106"/>
      <c r="H714" s="100"/>
      <c r="I714" s="106"/>
      <c r="J714" s="100"/>
      <c r="K714" s="55"/>
      <c r="AS714" s="56"/>
      <c r="AT714" s="55"/>
      <c r="CB714" s="56"/>
      <c r="CC714" s="54"/>
    </row>
    <row r="715" spans="2:81">
      <c r="B715" s="52" t="str">
        <f>IF(F715&lt;&gt;"",SUBTOTAL(3,$F$5:F715),"")</f>
        <v/>
      </c>
      <c r="C715" s="52"/>
      <c r="D715" s="53"/>
      <c r="E715" s="53"/>
      <c r="F715" s="53"/>
      <c r="G715" s="106"/>
      <c r="H715" s="100"/>
      <c r="I715" s="106"/>
      <c r="J715" s="100"/>
      <c r="K715" s="55"/>
      <c r="AS715" s="56"/>
      <c r="AT715" s="55"/>
      <c r="CB715" s="56"/>
      <c r="CC715" s="54"/>
    </row>
    <row r="716" spans="2:81">
      <c r="B716" s="52" t="str">
        <f>IF(F716&lt;&gt;"",SUBTOTAL(3,$F$5:F716),"")</f>
        <v/>
      </c>
      <c r="C716" s="52"/>
      <c r="D716" s="53"/>
      <c r="E716" s="53"/>
      <c r="F716" s="53"/>
      <c r="G716" s="106"/>
      <c r="H716" s="100"/>
      <c r="I716" s="106"/>
      <c r="J716" s="100"/>
      <c r="K716" s="55"/>
      <c r="AS716" s="56"/>
      <c r="AT716" s="55"/>
      <c r="CB716" s="56"/>
      <c r="CC716" s="54"/>
    </row>
    <row r="717" spans="2:81">
      <c r="B717" s="52" t="str">
        <f>IF(F717&lt;&gt;"",SUBTOTAL(3,$F$5:F717),"")</f>
        <v/>
      </c>
      <c r="C717" s="52"/>
      <c r="D717" s="53"/>
      <c r="E717" s="53"/>
      <c r="F717" s="53"/>
      <c r="G717" s="106"/>
      <c r="H717" s="100"/>
      <c r="I717" s="106"/>
      <c r="J717" s="100"/>
      <c r="K717" s="55"/>
      <c r="AS717" s="56"/>
      <c r="AT717" s="55"/>
      <c r="CB717" s="56"/>
      <c r="CC717" s="54"/>
    </row>
    <row r="718" spans="2:81">
      <c r="B718" s="52" t="str">
        <f>IF(F718&lt;&gt;"",SUBTOTAL(3,$F$5:F718),"")</f>
        <v/>
      </c>
      <c r="C718" s="52"/>
      <c r="D718" s="53"/>
      <c r="E718" s="53"/>
      <c r="F718" s="53"/>
      <c r="G718" s="106"/>
      <c r="H718" s="100"/>
      <c r="I718" s="106"/>
      <c r="J718" s="100"/>
      <c r="K718" s="55"/>
      <c r="AS718" s="56"/>
      <c r="AT718" s="55"/>
      <c r="CB718" s="56"/>
      <c r="CC718" s="54"/>
    </row>
    <row r="719" spans="2:81">
      <c r="B719" s="52" t="str">
        <f>IF(F719&lt;&gt;"",SUBTOTAL(3,$F$5:F719),"")</f>
        <v/>
      </c>
      <c r="C719" s="52"/>
      <c r="D719" s="53"/>
      <c r="E719" s="53"/>
      <c r="F719" s="53"/>
      <c r="G719" s="106"/>
      <c r="H719" s="100"/>
      <c r="I719" s="106"/>
      <c r="J719" s="100"/>
      <c r="K719" s="55"/>
      <c r="AS719" s="56"/>
      <c r="AT719" s="55"/>
      <c r="CB719" s="56"/>
      <c r="CC719" s="54"/>
    </row>
    <row r="720" spans="2:81">
      <c r="B720" s="52" t="str">
        <f>IF(F720&lt;&gt;"",SUBTOTAL(3,$F$5:F720),"")</f>
        <v/>
      </c>
      <c r="C720" s="52"/>
      <c r="D720" s="53"/>
      <c r="E720" s="53"/>
      <c r="F720" s="53"/>
      <c r="G720" s="106"/>
      <c r="H720" s="100"/>
      <c r="I720" s="106"/>
      <c r="J720" s="100"/>
      <c r="K720" s="55"/>
      <c r="AS720" s="56"/>
      <c r="AT720" s="55"/>
      <c r="CB720" s="56"/>
      <c r="CC720" s="54"/>
    </row>
    <row r="721" spans="2:81">
      <c r="B721" s="52" t="str">
        <f>IF(F721&lt;&gt;"",SUBTOTAL(3,$F$5:F721),"")</f>
        <v/>
      </c>
      <c r="C721" s="52"/>
      <c r="D721" s="53"/>
      <c r="E721" s="53"/>
      <c r="F721" s="53"/>
      <c r="G721" s="106"/>
      <c r="H721" s="100"/>
      <c r="I721" s="106"/>
      <c r="J721" s="100"/>
      <c r="K721" s="55"/>
      <c r="AS721" s="56"/>
      <c r="AT721" s="55"/>
      <c r="CB721" s="56"/>
      <c r="CC721" s="54"/>
    </row>
    <row r="722" spans="2:81">
      <c r="B722" s="52" t="str">
        <f>IF(F722&lt;&gt;"",SUBTOTAL(3,$F$5:F722),"")</f>
        <v/>
      </c>
      <c r="C722" s="52"/>
      <c r="D722" s="53"/>
      <c r="E722" s="53"/>
      <c r="F722" s="53"/>
      <c r="G722" s="106"/>
      <c r="H722" s="100"/>
      <c r="I722" s="106"/>
      <c r="J722" s="100"/>
      <c r="K722" s="55"/>
      <c r="AS722" s="56"/>
      <c r="AT722" s="55"/>
      <c r="CB722" s="56"/>
      <c r="CC722" s="54"/>
    </row>
    <row r="723" spans="2:81">
      <c r="B723" s="52" t="str">
        <f>IF(F723&lt;&gt;"",SUBTOTAL(3,$F$5:F723),"")</f>
        <v/>
      </c>
      <c r="C723" s="52"/>
      <c r="D723" s="53"/>
      <c r="E723" s="53"/>
      <c r="F723" s="53"/>
      <c r="G723" s="106"/>
      <c r="H723" s="100"/>
      <c r="I723" s="106"/>
      <c r="J723" s="100"/>
      <c r="K723" s="55"/>
      <c r="AS723" s="56"/>
      <c r="AT723" s="55"/>
      <c r="CB723" s="56"/>
      <c r="CC723" s="54"/>
    </row>
    <row r="724" spans="2:81">
      <c r="B724" s="52" t="str">
        <f>IF(F724&lt;&gt;"",SUBTOTAL(3,$F$5:F724),"")</f>
        <v/>
      </c>
      <c r="C724" s="52"/>
      <c r="D724" s="53"/>
      <c r="E724" s="53"/>
      <c r="F724" s="53"/>
      <c r="G724" s="106"/>
      <c r="H724" s="100"/>
      <c r="I724" s="106"/>
      <c r="J724" s="100"/>
      <c r="K724" s="55"/>
      <c r="AS724" s="56"/>
      <c r="AT724" s="55"/>
      <c r="CB724" s="56"/>
      <c r="CC724" s="54"/>
    </row>
    <row r="725" spans="2:81">
      <c r="B725" s="52" t="str">
        <f>IF(F725&lt;&gt;"",SUBTOTAL(3,$F$5:F725),"")</f>
        <v/>
      </c>
      <c r="C725" s="52"/>
      <c r="D725" s="53"/>
      <c r="E725" s="53"/>
      <c r="F725" s="53"/>
      <c r="G725" s="106"/>
      <c r="H725" s="100"/>
      <c r="I725" s="106"/>
      <c r="J725" s="100"/>
      <c r="K725" s="55"/>
      <c r="AS725" s="56"/>
      <c r="AT725" s="55"/>
      <c r="CB725" s="56"/>
      <c r="CC725" s="54"/>
    </row>
    <row r="726" spans="2:81">
      <c r="B726" s="52" t="str">
        <f>IF(F726&lt;&gt;"",SUBTOTAL(3,$F$5:F726),"")</f>
        <v/>
      </c>
      <c r="C726" s="52"/>
      <c r="D726" s="53"/>
      <c r="E726" s="53"/>
      <c r="F726" s="53"/>
      <c r="G726" s="106"/>
      <c r="H726" s="100"/>
      <c r="I726" s="106"/>
      <c r="J726" s="100"/>
      <c r="K726" s="55"/>
      <c r="AS726" s="56"/>
      <c r="AT726" s="55"/>
      <c r="CB726" s="56"/>
      <c r="CC726" s="54"/>
    </row>
    <row r="727" spans="2:81">
      <c r="B727" s="52" t="str">
        <f>IF(F727&lt;&gt;"",SUBTOTAL(3,$F$5:F727),"")</f>
        <v/>
      </c>
      <c r="C727" s="52"/>
      <c r="D727" s="53"/>
      <c r="E727" s="53"/>
      <c r="F727" s="53"/>
      <c r="G727" s="106"/>
      <c r="H727" s="100"/>
      <c r="I727" s="106"/>
      <c r="J727" s="100"/>
      <c r="K727" s="55"/>
      <c r="AS727" s="56"/>
      <c r="AT727" s="55"/>
      <c r="CB727" s="56"/>
      <c r="CC727" s="54"/>
    </row>
    <row r="728" spans="2:81">
      <c r="B728" s="52" t="str">
        <f>IF(F728&lt;&gt;"",SUBTOTAL(3,$F$5:F728),"")</f>
        <v/>
      </c>
      <c r="C728" s="52"/>
      <c r="D728" s="53"/>
      <c r="E728" s="53"/>
      <c r="F728" s="53"/>
      <c r="G728" s="106"/>
      <c r="H728" s="100"/>
      <c r="I728" s="106"/>
      <c r="J728" s="100"/>
      <c r="K728" s="55"/>
      <c r="AS728" s="56"/>
      <c r="AT728" s="55"/>
      <c r="CB728" s="56"/>
      <c r="CC728" s="54"/>
    </row>
    <row r="729" spans="2:81">
      <c r="B729" s="52" t="str">
        <f>IF(F729&lt;&gt;"",SUBTOTAL(3,$F$5:F729),"")</f>
        <v/>
      </c>
      <c r="C729" s="52"/>
      <c r="D729" s="53"/>
      <c r="E729" s="53"/>
      <c r="F729" s="53"/>
      <c r="G729" s="106"/>
      <c r="H729" s="100"/>
      <c r="I729" s="106"/>
      <c r="J729" s="100"/>
      <c r="K729" s="55"/>
      <c r="AS729" s="56"/>
      <c r="AT729" s="55"/>
      <c r="CB729" s="56"/>
      <c r="CC729" s="54"/>
    </row>
    <row r="730" spans="2:81">
      <c r="B730" s="52" t="str">
        <f>IF(F730&lt;&gt;"",SUBTOTAL(3,$F$5:F730),"")</f>
        <v/>
      </c>
      <c r="C730" s="52"/>
      <c r="D730" s="53"/>
      <c r="E730" s="53"/>
      <c r="F730" s="53"/>
      <c r="G730" s="106"/>
      <c r="H730" s="100"/>
      <c r="I730" s="106"/>
      <c r="J730" s="100"/>
      <c r="K730" s="55"/>
      <c r="AS730" s="56"/>
      <c r="AT730" s="55"/>
      <c r="CB730" s="56"/>
      <c r="CC730" s="54"/>
    </row>
    <row r="731" spans="2:81">
      <c r="B731" s="52" t="str">
        <f>IF(F731&lt;&gt;"",SUBTOTAL(3,$F$5:F731),"")</f>
        <v/>
      </c>
      <c r="C731" s="52"/>
      <c r="D731" s="53"/>
      <c r="E731" s="53"/>
      <c r="F731" s="53"/>
      <c r="G731" s="106"/>
      <c r="H731" s="100"/>
      <c r="I731" s="106"/>
      <c r="J731" s="100"/>
      <c r="K731" s="55"/>
      <c r="AS731" s="56"/>
      <c r="AT731" s="55"/>
      <c r="CB731" s="56"/>
      <c r="CC731" s="54"/>
    </row>
    <row r="732" spans="2:81">
      <c r="B732" s="52" t="str">
        <f>IF(F732&lt;&gt;"",SUBTOTAL(3,$F$5:F732),"")</f>
        <v/>
      </c>
      <c r="C732" s="52"/>
      <c r="D732" s="53"/>
      <c r="E732" s="53"/>
      <c r="F732" s="53"/>
      <c r="G732" s="106"/>
      <c r="H732" s="100"/>
      <c r="I732" s="106"/>
      <c r="J732" s="100"/>
      <c r="K732" s="55"/>
      <c r="AS732" s="56"/>
      <c r="AT732" s="55"/>
      <c r="CB732" s="56"/>
      <c r="CC732" s="54"/>
    </row>
    <row r="733" spans="2:81">
      <c r="B733" s="52" t="str">
        <f>IF(F733&lt;&gt;"",SUBTOTAL(3,$F$5:F733),"")</f>
        <v/>
      </c>
      <c r="C733" s="52"/>
      <c r="D733" s="53"/>
      <c r="E733" s="53"/>
      <c r="F733" s="53"/>
      <c r="G733" s="106"/>
      <c r="H733" s="100"/>
      <c r="I733" s="106"/>
      <c r="J733" s="100"/>
      <c r="K733" s="55"/>
      <c r="AS733" s="56"/>
      <c r="AT733" s="55"/>
      <c r="CB733" s="56"/>
      <c r="CC733" s="54"/>
    </row>
    <row r="734" spans="2:81">
      <c r="B734" s="52" t="str">
        <f>IF(F734&lt;&gt;"",SUBTOTAL(3,$F$5:F734),"")</f>
        <v/>
      </c>
      <c r="C734" s="52"/>
      <c r="D734" s="53"/>
      <c r="E734" s="53"/>
      <c r="F734" s="53"/>
      <c r="G734" s="106"/>
      <c r="H734" s="100"/>
      <c r="I734" s="106"/>
      <c r="J734" s="100"/>
      <c r="K734" s="55"/>
      <c r="AS734" s="56"/>
      <c r="AT734" s="55"/>
      <c r="CB734" s="56"/>
      <c r="CC734" s="54"/>
    </row>
    <row r="735" spans="2:81">
      <c r="B735" s="52" t="str">
        <f>IF(F735&lt;&gt;"",SUBTOTAL(3,$F$5:F735),"")</f>
        <v/>
      </c>
      <c r="C735" s="52"/>
      <c r="D735" s="53"/>
      <c r="E735" s="53"/>
      <c r="F735" s="53"/>
      <c r="G735" s="106"/>
      <c r="H735" s="100"/>
      <c r="I735" s="106"/>
      <c r="J735" s="100"/>
      <c r="K735" s="55"/>
      <c r="AS735" s="56"/>
      <c r="AT735" s="55"/>
      <c r="CB735" s="56"/>
      <c r="CC735" s="54"/>
    </row>
    <row r="736" spans="2:81">
      <c r="B736" s="52" t="str">
        <f>IF(F736&lt;&gt;"",SUBTOTAL(3,$F$5:F736),"")</f>
        <v/>
      </c>
      <c r="C736" s="52"/>
      <c r="D736" s="53"/>
      <c r="E736" s="53"/>
      <c r="F736" s="53"/>
      <c r="G736" s="106"/>
      <c r="H736" s="100"/>
      <c r="I736" s="106"/>
      <c r="J736" s="100"/>
      <c r="K736" s="55"/>
      <c r="AS736" s="56"/>
      <c r="AT736" s="55"/>
      <c r="CB736" s="56"/>
      <c r="CC736" s="54"/>
    </row>
    <row r="737" spans="2:81">
      <c r="B737" s="52" t="str">
        <f>IF(F737&lt;&gt;"",SUBTOTAL(3,$F$5:F737),"")</f>
        <v/>
      </c>
      <c r="C737" s="52"/>
      <c r="D737" s="53"/>
      <c r="E737" s="53"/>
      <c r="F737" s="53"/>
      <c r="G737" s="106"/>
      <c r="H737" s="100"/>
      <c r="I737" s="106"/>
      <c r="J737" s="100"/>
      <c r="K737" s="55"/>
      <c r="AS737" s="56"/>
      <c r="AT737" s="55"/>
      <c r="CB737" s="56"/>
      <c r="CC737" s="54"/>
    </row>
    <row r="738" spans="2:81">
      <c r="B738" s="52" t="str">
        <f>IF(F738&lt;&gt;"",SUBTOTAL(3,$F$5:F738),"")</f>
        <v/>
      </c>
      <c r="C738" s="52"/>
      <c r="D738" s="53"/>
      <c r="E738" s="53"/>
      <c r="F738" s="53"/>
      <c r="G738" s="106"/>
      <c r="H738" s="100"/>
      <c r="I738" s="106"/>
      <c r="J738" s="100"/>
      <c r="K738" s="55"/>
      <c r="AS738" s="56"/>
      <c r="AT738" s="55"/>
      <c r="CB738" s="56"/>
      <c r="CC738" s="54"/>
    </row>
    <row r="739" spans="2:81">
      <c r="B739" s="52" t="str">
        <f>IF(F739&lt;&gt;"",SUBTOTAL(3,$F$5:F739),"")</f>
        <v/>
      </c>
      <c r="C739" s="52"/>
      <c r="D739" s="53"/>
      <c r="E739" s="53"/>
      <c r="F739" s="53"/>
      <c r="G739" s="106"/>
      <c r="H739" s="100"/>
      <c r="I739" s="106"/>
      <c r="J739" s="100"/>
      <c r="K739" s="55"/>
      <c r="AS739" s="56"/>
      <c r="AT739" s="55"/>
      <c r="CB739" s="56"/>
      <c r="CC739" s="54"/>
    </row>
    <row r="740" spans="2:81">
      <c r="B740" s="52" t="str">
        <f>IF(F740&lt;&gt;"",SUBTOTAL(3,$F$5:F740),"")</f>
        <v/>
      </c>
      <c r="C740" s="52"/>
      <c r="D740" s="53"/>
      <c r="E740" s="53"/>
      <c r="F740" s="53"/>
      <c r="G740" s="106"/>
      <c r="H740" s="100"/>
      <c r="I740" s="106"/>
      <c r="J740" s="100"/>
      <c r="K740" s="55"/>
      <c r="AS740" s="56"/>
      <c r="AT740" s="55"/>
      <c r="CB740" s="56"/>
      <c r="CC740" s="54"/>
    </row>
    <row r="741" spans="2:81">
      <c r="B741" s="52" t="str">
        <f>IF(F741&lt;&gt;"",SUBTOTAL(3,$F$5:F741),"")</f>
        <v/>
      </c>
      <c r="C741" s="52"/>
      <c r="D741" s="53"/>
      <c r="E741" s="53"/>
      <c r="F741" s="53"/>
      <c r="G741" s="106"/>
      <c r="H741" s="100"/>
      <c r="I741" s="106"/>
      <c r="J741" s="100"/>
      <c r="K741" s="55"/>
      <c r="AS741" s="56"/>
      <c r="AT741" s="55"/>
      <c r="CB741" s="56"/>
      <c r="CC741" s="54"/>
    </row>
    <row r="742" spans="2:81">
      <c r="B742" s="52" t="str">
        <f>IF(F742&lt;&gt;"",SUBTOTAL(3,$F$5:F742),"")</f>
        <v/>
      </c>
      <c r="C742" s="52"/>
      <c r="D742" s="53"/>
      <c r="E742" s="53"/>
      <c r="F742" s="53"/>
      <c r="G742" s="106"/>
      <c r="H742" s="100"/>
      <c r="I742" s="106"/>
      <c r="J742" s="100"/>
      <c r="K742" s="55"/>
      <c r="AS742" s="56"/>
      <c r="AT742" s="55"/>
      <c r="CB742" s="56"/>
      <c r="CC742" s="54"/>
    </row>
    <row r="743" spans="2:81">
      <c r="B743" s="52" t="str">
        <f>IF(F743&lt;&gt;"",SUBTOTAL(3,$F$5:F743),"")</f>
        <v/>
      </c>
      <c r="C743" s="52"/>
      <c r="D743" s="53"/>
      <c r="E743" s="53"/>
      <c r="F743" s="53"/>
      <c r="G743" s="106"/>
      <c r="H743" s="100"/>
      <c r="I743" s="106"/>
      <c r="J743" s="100"/>
      <c r="K743" s="55"/>
      <c r="AS743" s="56"/>
      <c r="AT743" s="55"/>
      <c r="CB743" s="56"/>
      <c r="CC743" s="54"/>
    </row>
    <row r="744" spans="2:81">
      <c r="B744" s="52" t="str">
        <f>IF(F744&lt;&gt;"",SUBTOTAL(3,$F$5:F744),"")</f>
        <v/>
      </c>
      <c r="C744" s="52"/>
      <c r="D744" s="53"/>
      <c r="E744" s="53"/>
      <c r="F744" s="53"/>
      <c r="G744" s="106"/>
      <c r="H744" s="100"/>
      <c r="I744" s="106"/>
      <c r="J744" s="100"/>
      <c r="K744" s="55"/>
      <c r="AS744" s="56"/>
      <c r="AT744" s="55"/>
      <c r="CB744" s="56"/>
      <c r="CC744" s="54"/>
    </row>
    <row r="745" spans="2:81">
      <c r="B745" s="52" t="str">
        <f>IF(F745&lt;&gt;"",SUBTOTAL(3,$F$5:F745),"")</f>
        <v/>
      </c>
      <c r="C745" s="52"/>
      <c r="D745" s="53"/>
      <c r="E745" s="53"/>
      <c r="F745" s="53"/>
      <c r="G745" s="106"/>
      <c r="H745" s="100"/>
      <c r="I745" s="106"/>
      <c r="J745" s="100"/>
      <c r="K745" s="55"/>
      <c r="AS745" s="56"/>
      <c r="AT745" s="55"/>
      <c r="CB745" s="56"/>
      <c r="CC745" s="54"/>
    </row>
    <row r="746" spans="2:81">
      <c r="B746" s="52" t="str">
        <f>IF(F746&lt;&gt;"",SUBTOTAL(3,$F$5:F746),"")</f>
        <v/>
      </c>
      <c r="C746" s="52"/>
      <c r="D746" s="53"/>
      <c r="E746" s="53"/>
      <c r="F746" s="53"/>
      <c r="G746" s="106"/>
      <c r="H746" s="100"/>
      <c r="I746" s="106"/>
      <c r="J746" s="100"/>
      <c r="K746" s="55"/>
      <c r="AS746" s="56"/>
      <c r="AT746" s="55"/>
      <c r="CB746" s="56"/>
      <c r="CC746" s="54"/>
    </row>
    <row r="747" spans="2:81">
      <c r="B747" s="52" t="str">
        <f>IF(F747&lt;&gt;"",SUBTOTAL(3,$F$5:F747),"")</f>
        <v/>
      </c>
      <c r="C747" s="52"/>
      <c r="D747" s="53"/>
      <c r="E747" s="53"/>
      <c r="F747" s="53"/>
      <c r="G747" s="106"/>
      <c r="H747" s="100"/>
      <c r="I747" s="106"/>
      <c r="J747" s="100"/>
      <c r="K747" s="55"/>
      <c r="AS747" s="56"/>
      <c r="AT747" s="55"/>
      <c r="CB747" s="56"/>
      <c r="CC747" s="54"/>
    </row>
    <row r="748" spans="2:81">
      <c r="B748" s="52" t="str">
        <f>IF(F748&lt;&gt;"",SUBTOTAL(3,$F$5:F748),"")</f>
        <v/>
      </c>
      <c r="C748" s="52"/>
      <c r="D748" s="53"/>
      <c r="E748" s="53"/>
      <c r="F748" s="53"/>
      <c r="G748" s="106"/>
      <c r="H748" s="100"/>
      <c r="I748" s="106"/>
      <c r="J748" s="100"/>
      <c r="K748" s="55"/>
      <c r="AS748" s="56"/>
      <c r="AT748" s="55"/>
      <c r="CB748" s="56"/>
      <c r="CC748" s="54"/>
    </row>
    <row r="749" spans="2:81">
      <c r="B749" s="52" t="str">
        <f>IF(F749&lt;&gt;"",SUBTOTAL(3,$F$5:F749),"")</f>
        <v/>
      </c>
      <c r="C749" s="52"/>
      <c r="D749" s="53"/>
      <c r="E749" s="53"/>
      <c r="F749" s="53"/>
      <c r="G749" s="106"/>
      <c r="H749" s="100"/>
      <c r="I749" s="106"/>
      <c r="J749" s="100"/>
      <c r="K749" s="55"/>
      <c r="AS749" s="56"/>
      <c r="AT749" s="55"/>
      <c r="CB749" s="56"/>
      <c r="CC749" s="54"/>
    </row>
    <row r="750" spans="2:81">
      <c r="B750" s="52" t="str">
        <f>IF(F750&lt;&gt;"",SUBTOTAL(3,$F$5:F750),"")</f>
        <v/>
      </c>
      <c r="C750" s="52"/>
      <c r="D750" s="53"/>
      <c r="E750" s="53"/>
      <c r="F750" s="53"/>
      <c r="G750" s="106"/>
      <c r="H750" s="100"/>
      <c r="I750" s="106"/>
      <c r="J750" s="100"/>
      <c r="K750" s="55"/>
      <c r="AS750" s="56"/>
      <c r="AT750" s="55"/>
      <c r="CB750" s="56"/>
      <c r="CC750" s="54"/>
    </row>
    <row r="751" spans="2:81">
      <c r="B751" s="52" t="str">
        <f>IF(F751&lt;&gt;"",SUBTOTAL(3,$F$5:F751),"")</f>
        <v/>
      </c>
      <c r="C751" s="52"/>
      <c r="D751" s="53"/>
      <c r="E751" s="53"/>
      <c r="F751" s="53"/>
      <c r="G751" s="106"/>
      <c r="H751" s="100"/>
      <c r="I751" s="106"/>
      <c r="J751" s="100"/>
      <c r="K751" s="55"/>
      <c r="AS751" s="56"/>
      <c r="AT751" s="55"/>
      <c r="CB751" s="56"/>
      <c r="CC751" s="54"/>
    </row>
    <row r="752" spans="2:81">
      <c r="B752" s="52" t="str">
        <f>IF(F752&lt;&gt;"",SUBTOTAL(3,$F$5:F752),"")</f>
        <v/>
      </c>
      <c r="C752" s="52"/>
      <c r="D752" s="53"/>
      <c r="E752" s="53"/>
      <c r="F752" s="53"/>
      <c r="G752" s="106"/>
      <c r="H752" s="100"/>
      <c r="I752" s="106"/>
      <c r="J752" s="100"/>
      <c r="K752" s="55"/>
      <c r="AS752" s="56"/>
      <c r="AT752" s="55"/>
      <c r="CB752" s="56"/>
      <c r="CC752" s="54"/>
    </row>
    <row r="753" spans="2:81">
      <c r="B753" s="52" t="str">
        <f>IF(F753&lt;&gt;"",SUBTOTAL(3,$F$5:F753),"")</f>
        <v/>
      </c>
      <c r="C753" s="52"/>
      <c r="D753" s="53"/>
      <c r="E753" s="53"/>
      <c r="F753" s="53"/>
      <c r="G753" s="106"/>
      <c r="H753" s="100"/>
      <c r="I753" s="106"/>
      <c r="J753" s="100"/>
      <c r="K753" s="55"/>
      <c r="AS753" s="56"/>
      <c r="AT753" s="55"/>
      <c r="CB753" s="56"/>
      <c r="CC753" s="54"/>
    </row>
    <row r="754" spans="2:81">
      <c r="B754" s="52" t="str">
        <f>IF(F754&lt;&gt;"",SUBTOTAL(3,$F$5:F754),"")</f>
        <v/>
      </c>
      <c r="C754" s="52"/>
      <c r="D754" s="53"/>
      <c r="E754" s="53"/>
      <c r="F754" s="53"/>
      <c r="G754" s="106"/>
      <c r="H754" s="100"/>
      <c r="I754" s="106"/>
      <c r="J754" s="100"/>
      <c r="K754" s="55"/>
      <c r="AS754" s="56"/>
      <c r="AT754" s="55"/>
      <c r="CB754" s="56"/>
      <c r="CC754" s="54"/>
    </row>
    <row r="755" spans="2:81">
      <c r="B755" s="52" t="str">
        <f>IF(F755&lt;&gt;"",SUBTOTAL(3,$F$5:F755),"")</f>
        <v/>
      </c>
      <c r="C755" s="52"/>
      <c r="D755" s="53"/>
      <c r="E755" s="53"/>
      <c r="F755" s="53"/>
      <c r="G755" s="106"/>
      <c r="H755" s="100"/>
      <c r="I755" s="106"/>
      <c r="J755" s="100"/>
      <c r="K755" s="55"/>
      <c r="AS755" s="56"/>
      <c r="AT755" s="55"/>
      <c r="CB755" s="56"/>
      <c r="CC755" s="54"/>
    </row>
    <row r="756" spans="2:81">
      <c r="B756" s="52" t="str">
        <f>IF(F756&lt;&gt;"",SUBTOTAL(3,$F$5:F756),"")</f>
        <v/>
      </c>
      <c r="C756" s="52"/>
      <c r="D756" s="53"/>
      <c r="E756" s="53"/>
      <c r="F756" s="53"/>
      <c r="G756" s="106"/>
      <c r="H756" s="100"/>
      <c r="I756" s="106"/>
      <c r="J756" s="100"/>
      <c r="K756" s="55"/>
      <c r="AS756" s="56"/>
      <c r="AT756" s="55"/>
      <c r="CB756" s="56"/>
      <c r="CC756" s="54"/>
    </row>
    <row r="757" spans="2:81">
      <c r="B757" s="52" t="str">
        <f>IF(F757&lt;&gt;"",SUBTOTAL(3,$F$5:F757),"")</f>
        <v/>
      </c>
      <c r="C757" s="52"/>
      <c r="D757" s="53"/>
      <c r="E757" s="53"/>
      <c r="F757" s="53"/>
      <c r="G757" s="106"/>
      <c r="H757" s="100"/>
      <c r="I757" s="106"/>
      <c r="J757" s="100"/>
      <c r="K757" s="55"/>
      <c r="AS757" s="56"/>
      <c r="AT757" s="55"/>
      <c r="CB757" s="56"/>
      <c r="CC757" s="54"/>
    </row>
    <row r="758" spans="2:81">
      <c r="B758" s="52" t="str">
        <f>IF(F758&lt;&gt;"",SUBTOTAL(3,$F$5:F758),"")</f>
        <v/>
      </c>
      <c r="C758" s="52"/>
      <c r="D758" s="53"/>
      <c r="E758" s="53"/>
      <c r="F758" s="53"/>
      <c r="G758" s="106"/>
      <c r="H758" s="100"/>
      <c r="I758" s="106"/>
      <c r="J758" s="100"/>
      <c r="K758" s="55"/>
      <c r="AS758" s="56"/>
      <c r="AT758" s="55"/>
      <c r="CB758" s="56"/>
      <c r="CC758" s="54"/>
    </row>
    <row r="759" spans="2:81">
      <c r="B759" s="52" t="str">
        <f>IF(F759&lt;&gt;"",SUBTOTAL(3,$F$5:F759),"")</f>
        <v/>
      </c>
      <c r="C759" s="52"/>
      <c r="D759" s="53"/>
      <c r="E759" s="53"/>
      <c r="F759" s="53"/>
      <c r="G759" s="106"/>
      <c r="H759" s="100"/>
      <c r="I759" s="106"/>
      <c r="J759" s="100"/>
      <c r="K759" s="55"/>
      <c r="AS759" s="56"/>
      <c r="AT759" s="55"/>
      <c r="CB759" s="56"/>
      <c r="CC759" s="54"/>
    </row>
    <row r="760" spans="2:81">
      <c r="B760" s="52" t="str">
        <f>IF(F760&lt;&gt;"",SUBTOTAL(3,$F$5:F760),"")</f>
        <v/>
      </c>
      <c r="C760" s="52"/>
      <c r="D760" s="53"/>
      <c r="E760" s="53"/>
      <c r="F760" s="53"/>
      <c r="G760" s="106"/>
      <c r="H760" s="100"/>
      <c r="I760" s="106"/>
      <c r="J760" s="100"/>
      <c r="K760" s="55"/>
      <c r="AS760" s="56"/>
      <c r="AT760" s="55"/>
      <c r="CB760" s="56"/>
      <c r="CC760" s="54"/>
    </row>
    <row r="761" spans="2:81">
      <c r="B761" s="52" t="str">
        <f>IF(F761&lt;&gt;"",SUBTOTAL(3,$F$5:F761),"")</f>
        <v/>
      </c>
      <c r="C761" s="52"/>
      <c r="D761" s="53"/>
      <c r="E761" s="53"/>
      <c r="F761" s="53"/>
      <c r="G761" s="106"/>
      <c r="H761" s="100"/>
      <c r="I761" s="106"/>
      <c r="J761" s="100"/>
      <c r="K761" s="55"/>
      <c r="AS761" s="56"/>
      <c r="AT761" s="55"/>
      <c r="CB761" s="56"/>
      <c r="CC761" s="54"/>
    </row>
    <row r="762" spans="2:81">
      <c r="B762" s="52" t="str">
        <f>IF(F762&lt;&gt;"",SUBTOTAL(3,$F$5:F762),"")</f>
        <v/>
      </c>
      <c r="C762" s="52"/>
      <c r="D762" s="53"/>
      <c r="E762" s="53"/>
      <c r="F762" s="53"/>
      <c r="G762" s="106"/>
      <c r="H762" s="100"/>
      <c r="I762" s="106"/>
      <c r="J762" s="100"/>
      <c r="K762" s="55"/>
      <c r="AS762" s="56"/>
      <c r="AT762" s="55"/>
      <c r="CB762" s="56"/>
      <c r="CC762" s="54"/>
    </row>
    <row r="763" spans="2:81">
      <c r="B763" s="52" t="str">
        <f>IF(F763&lt;&gt;"",SUBTOTAL(3,$F$5:F763),"")</f>
        <v/>
      </c>
      <c r="C763" s="52"/>
      <c r="D763" s="53"/>
      <c r="E763" s="53"/>
      <c r="F763" s="53"/>
      <c r="G763" s="106"/>
      <c r="H763" s="100"/>
      <c r="I763" s="106"/>
      <c r="J763" s="100"/>
      <c r="K763" s="55"/>
      <c r="AS763" s="56"/>
      <c r="AT763" s="55"/>
      <c r="CB763" s="56"/>
      <c r="CC763" s="54"/>
    </row>
    <row r="764" spans="2:81">
      <c r="B764" s="52" t="str">
        <f>IF(F764&lt;&gt;"",SUBTOTAL(3,$F$5:F764),"")</f>
        <v/>
      </c>
      <c r="C764" s="52"/>
      <c r="D764" s="53"/>
      <c r="E764" s="53"/>
      <c r="F764" s="53"/>
      <c r="G764" s="106"/>
      <c r="H764" s="100"/>
      <c r="I764" s="106"/>
      <c r="J764" s="100"/>
      <c r="K764" s="55"/>
      <c r="AS764" s="56"/>
      <c r="AT764" s="55"/>
      <c r="CB764" s="56"/>
      <c r="CC764" s="54"/>
    </row>
    <row r="765" spans="2:81">
      <c r="B765" s="52" t="str">
        <f>IF(F765&lt;&gt;"",SUBTOTAL(3,$F$5:F765),"")</f>
        <v/>
      </c>
      <c r="C765" s="52"/>
      <c r="D765" s="53"/>
      <c r="E765" s="53"/>
      <c r="F765" s="53"/>
      <c r="G765" s="106"/>
      <c r="H765" s="100"/>
      <c r="I765" s="106"/>
      <c r="J765" s="100"/>
      <c r="K765" s="55"/>
      <c r="AS765" s="56"/>
      <c r="AT765" s="55"/>
      <c r="CB765" s="56"/>
      <c r="CC765" s="54"/>
    </row>
    <row r="766" spans="2:81">
      <c r="B766" s="52" t="str">
        <f>IF(F766&lt;&gt;"",SUBTOTAL(3,$F$5:F766),"")</f>
        <v/>
      </c>
      <c r="C766" s="52"/>
      <c r="D766" s="53"/>
      <c r="E766" s="53"/>
      <c r="F766" s="53"/>
      <c r="G766" s="106"/>
      <c r="H766" s="100"/>
      <c r="I766" s="106"/>
      <c r="J766" s="100"/>
      <c r="K766" s="55"/>
      <c r="AS766" s="56"/>
      <c r="AT766" s="55"/>
      <c r="CB766" s="56"/>
      <c r="CC766" s="54"/>
    </row>
    <row r="767" spans="2:81">
      <c r="B767" s="52" t="str">
        <f>IF(F767&lt;&gt;"",SUBTOTAL(3,$F$5:F767),"")</f>
        <v/>
      </c>
      <c r="C767" s="52"/>
      <c r="D767" s="53"/>
      <c r="E767" s="53"/>
      <c r="F767" s="53"/>
      <c r="G767" s="106"/>
      <c r="H767" s="100"/>
      <c r="I767" s="106"/>
      <c r="J767" s="100"/>
      <c r="K767" s="55"/>
      <c r="AS767" s="56"/>
      <c r="AT767" s="55"/>
      <c r="CB767" s="56"/>
      <c r="CC767" s="54"/>
    </row>
    <row r="768" spans="2:81">
      <c r="B768" s="52" t="str">
        <f>IF(F768&lt;&gt;"",SUBTOTAL(3,$F$5:F768),"")</f>
        <v/>
      </c>
      <c r="C768" s="52"/>
      <c r="D768" s="53"/>
      <c r="E768" s="53"/>
      <c r="F768" s="53"/>
      <c r="G768" s="106"/>
      <c r="H768" s="100"/>
      <c r="I768" s="106"/>
      <c r="J768" s="100"/>
      <c r="K768" s="55"/>
      <c r="AS768" s="56"/>
      <c r="AT768" s="55"/>
      <c r="CB768" s="56"/>
      <c r="CC768" s="54"/>
    </row>
    <row r="769" spans="2:81">
      <c r="B769" s="52" t="str">
        <f>IF(F769&lt;&gt;"",SUBTOTAL(3,$F$5:F769),"")</f>
        <v/>
      </c>
      <c r="C769" s="52"/>
      <c r="D769" s="53"/>
      <c r="E769" s="53"/>
      <c r="F769" s="53"/>
      <c r="G769" s="106"/>
      <c r="H769" s="100"/>
      <c r="I769" s="106"/>
      <c r="J769" s="100"/>
      <c r="K769" s="55"/>
      <c r="AS769" s="56"/>
      <c r="AT769" s="55"/>
      <c r="CB769" s="56"/>
      <c r="CC769" s="54"/>
    </row>
    <row r="770" spans="2:81">
      <c r="B770" s="52" t="str">
        <f>IF(F770&lt;&gt;"",SUBTOTAL(3,$F$5:F770),"")</f>
        <v/>
      </c>
      <c r="C770" s="52"/>
      <c r="D770" s="53"/>
      <c r="E770" s="53"/>
      <c r="F770" s="53"/>
      <c r="G770" s="106"/>
      <c r="H770" s="100"/>
      <c r="I770" s="106"/>
      <c r="J770" s="100"/>
      <c r="K770" s="55"/>
      <c r="AS770" s="56"/>
      <c r="AT770" s="55"/>
      <c r="CB770" s="56"/>
      <c r="CC770" s="54"/>
    </row>
    <row r="771" spans="2:81">
      <c r="B771" s="52" t="str">
        <f>IF(F771&lt;&gt;"",SUBTOTAL(3,$F$5:F771),"")</f>
        <v/>
      </c>
      <c r="C771" s="52"/>
      <c r="D771" s="53"/>
      <c r="E771" s="53"/>
      <c r="F771" s="53"/>
      <c r="G771" s="106"/>
      <c r="H771" s="100"/>
      <c r="I771" s="106"/>
      <c r="J771" s="100"/>
      <c r="K771" s="55"/>
      <c r="AS771" s="56"/>
      <c r="AT771" s="55"/>
      <c r="CB771" s="56"/>
      <c r="CC771" s="54"/>
    </row>
    <row r="772" spans="2:81">
      <c r="B772" s="52" t="str">
        <f>IF(F772&lt;&gt;"",SUBTOTAL(3,$F$5:F772),"")</f>
        <v/>
      </c>
      <c r="C772" s="52"/>
      <c r="D772" s="53"/>
      <c r="E772" s="53"/>
      <c r="F772" s="53"/>
      <c r="G772" s="106"/>
      <c r="H772" s="100"/>
      <c r="I772" s="106"/>
      <c r="J772" s="100"/>
      <c r="K772" s="55"/>
      <c r="AS772" s="56"/>
      <c r="AT772" s="55"/>
      <c r="CB772" s="56"/>
      <c r="CC772" s="54"/>
    </row>
    <row r="773" spans="2:81">
      <c r="B773" s="52" t="str">
        <f>IF(F773&lt;&gt;"",SUBTOTAL(3,$F$5:F773),"")</f>
        <v/>
      </c>
      <c r="C773" s="52"/>
      <c r="D773" s="53"/>
      <c r="E773" s="53"/>
      <c r="F773" s="53"/>
      <c r="G773" s="106"/>
      <c r="H773" s="100"/>
      <c r="I773" s="106"/>
      <c r="J773" s="100"/>
      <c r="K773" s="55"/>
      <c r="AS773" s="56"/>
      <c r="AT773" s="55"/>
      <c r="CB773" s="56"/>
      <c r="CC773" s="54"/>
    </row>
    <row r="774" spans="2:81">
      <c r="B774" s="52" t="str">
        <f>IF(F774&lt;&gt;"",SUBTOTAL(3,$F$5:F774),"")</f>
        <v/>
      </c>
      <c r="C774" s="52"/>
      <c r="D774" s="53"/>
      <c r="E774" s="53"/>
      <c r="F774" s="53"/>
      <c r="G774" s="106"/>
      <c r="H774" s="100"/>
      <c r="I774" s="106"/>
      <c r="J774" s="100"/>
      <c r="K774" s="55"/>
      <c r="AS774" s="56"/>
      <c r="AT774" s="55"/>
      <c r="CB774" s="56"/>
      <c r="CC774" s="54"/>
    </row>
    <row r="775" spans="2:81">
      <c r="B775" s="52" t="str">
        <f>IF(F775&lt;&gt;"",SUBTOTAL(3,$F$5:F775),"")</f>
        <v/>
      </c>
      <c r="C775" s="52"/>
      <c r="D775" s="53"/>
      <c r="E775" s="53"/>
      <c r="F775" s="53"/>
      <c r="G775" s="106"/>
      <c r="H775" s="100"/>
      <c r="I775" s="106"/>
      <c r="J775" s="100"/>
      <c r="K775" s="55"/>
      <c r="AS775" s="56"/>
      <c r="AT775" s="55"/>
      <c r="CB775" s="56"/>
      <c r="CC775" s="54"/>
    </row>
    <row r="776" spans="2:81">
      <c r="B776" s="52" t="str">
        <f>IF(F776&lt;&gt;"",SUBTOTAL(3,$F$5:F776),"")</f>
        <v/>
      </c>
      <c r="C776" s="52"/>
      <c r="D776" s="53"/>
      <c r="E776" s="53"/>
      <c r="F776" s="53"/>
      <c r="G776" s="106"/>
      <c r="H776" s="100"/>
      <c r="I776" s="106"/>
      <c r="J776" s="100"/>
      <c r="K776" s="55"/>
      <c r="AS776" s="56"/>
      <c r="AT776" s="55"/>
      <c r="CB776" s="56"/>
      <c r="CC776" s="54"/>
    </row>
    <row r="777" spans="2:81">
      <c r="B777" s="52" t="str">
        <f>IF(F777&lt;&gt;"",SUBTOTAL(3,$F$5:F777),"")</f>
        <v/>
      </c>
      <c r="C777" s="52"/>
      <c r="D777" s="53"/>
      <c r="E777" s="53"/>
      <c r="F777" s="53"/>
      <c r="G777" s="106"/>
      <c r="H777" s="100"/>
      <c r="I777" s="106"/>
      <c r="J777" s="100"/>
      <c r="K777" s="55"/>
      <c r="AS777" s="56"/>
      <c r="AT777" s="55"/>
      <c r="CB777" s="56"/>
      <c r="CC777" s="54"/>
    </row>
    <row r="778" spans="2:81">
      <c r="B778" s="52" t="str">
        <f>IF(F778&lt;&gt;"",SUBTOTAL(3,$F$5:F778),"")</f>
        <v/>
      </c>
      <c r="C778" s="52"/>
      <c r="D778" s="53"/>
      <c r="E778" s="53"/>
      <c r="F778" s="53"/>
      <c r="G778" s="106"/>
      <c r="H778" s="100"/>
      <c r="I778" s="106"/>
      <c r="J778" s="100"/>
      <c r="K778" s="55"/>
      <c r="AS778" s="56"/>
      <c r="AT778" s="55"/>
      <c r="CB778" s="56"/>
      <c r="CC778" s="54"/>
    </row>
    <row r="779" spans="2:81">
      <c r="B779" s="52" t="str">
        <f>IF(F779&lt;&gt;"",SUBTOTAL(3,$F$5:F779),"")</f>
        <v/>
      </c>
      <c r="C779" s="52"/>
      <c r="D779" s="53"/>
      <c r="E779" s="53"/>
      <c r="F779" s="53"/>
      <c r="G779" s="106"/>
      <c r="H779" s="100"/>
      <c r="I779" s="106"/>
      <c r="J779" s="100"/>
      <c r="K779" s="55"/>
      <c r="AS779" s="56"/>
      <c r="AT779" s="55"/>
      <c r="CB779" s="56"/>
      <c r="CC779" s="54"/>
    </row>
    <row r="780" spans="2:81">
      <c r="B780" s="52" t="str">
        <f>IF(F780&lt;&gt;"",SUBTOTAL(3,$F$5:F780),"")</f>
        <v/>
      </c>
      <c r="C780" s="52"/>
      <c r="D780" s="53"/>
      <c r="E780" s="53"/>
      <c r="F780" s="53"/>
      <c r="G780" s="106"/>
      <c r="H780" s="100"/>
      <c r="I780" s="106"/>
      <c r="J780" s="100"/>
      <c r="K780" s="55"/>
      <c r="AS780" s="56"/>
      <c r="AT780" s="55"/>
      <c r="CB780" s="56"/>
      <c r="CC780" s="54"/>
    </row>
    <row r="781" spans="2:81">
      <c r="B781" s="52" t="str">
        <f>IF(F781&lt;&gt;"",SUBTOTAL(3,$F$5:F781),"")</f>
        <v/>
      </c>
      <c r="C781" s="52"/>
      <c r="D781" s="53"/>
      <c r="E781" s="53"/>
      <c r="F781" s="53"/>
      <c r="G781" s="106"/>
      <c r="H781" s="100"/>
      <c r="I781" s="106"/>
      <c r="J781" s="100"/>
      <c r="K781" s="55"/>
      <c r="AS781" s="56"/>
      <c r="AT781" s="55"/>
      <c r="CB781" s="56"/>
      <c r="CC781" s="54"/>
    </row>
    <row r="782" spans="2:81">
      <c r="B782" s="52" t="str">
        <f>IF(F782&lt;&gt;"",SUBTOTAL(3,$F$5:F782),"")</f>
        <v/>
      </c>
      <c r="C782" s="52"/>
      <c r="D782" s="53"/>
      <c r="E782" s="53"/>
      <c r="F782" s="53"/>
      <c r="G782" s="106"/>
      <c r="H782" s="100"/>
      <c r="I782" s="106"/>
      <c r="J782" s="100"/>
      <c r="K782" s="55"/>
      <c r="AS782" s="56"/>
      <c r="AT782" s="55"/>
      <c r="CB782" s="56"/>
      <c r="CC782" s="54"/>
    </row>
    <row r="783" spans="2:81">
      <c r="B783" s="52" t="str">
        <f>IF(F783&lt;&gt;"",SUBTOTAL(3,$F$5:F783),"")</f>
        <v/>
      </c>
      <c r="C783" s="52"/>
      <c r="D783" s="53"/>
      <c r="E783" s="53"/>
      <c r="F783" s="53"/>
      <c r="G783" s="106"/>
      <c r="H783" s="100"/>
      <c r="I783" s="106"/>
      <c r="J783" s="100"/>
      <c r="K783" s="55"/>
      <c r="AS783" s="56"/>
      <c r="AT783" s="55"/>
      <c r="CB783" s="56"/>
      <c r="CC783" s="54"/>
    </row>
    <row r="784" spans="2:81">
      <c r="B784" s="52" t="str">
        <f>IF(F784&lt;&gt;"",SUBTOTAL(3,$F$5:F784),"")</f>
        <v/>
      </c>
      <c r="C784" s="52"/>
      <c r="D784" s="53"/>
      <c r="E784" s="53"/>
      <c r="F784" s="53"/>
      <c r="G784" s="106"/>
      <c r="H784" s="100"/>
      <c r="I784" s="106"/>
      <c r="J784" s="100"/>
      <c r="K784" s="55"/>
      <c r="AS784" s="56"/>
      <c r="AT784" s="55"/>
      <c r="CB784" s="56"/>
      <c r="CC784" s="54"/>
    </row>
    <row r="785" spans="2:81">
      <c r="B785" s="52" t="str">
        <f>IF(F785&lt;&gt;"",SUBTOTAL(3,$F$5:F785),"")</f>
        <v/>
      </c>
      <c r="C785" s="52"/>
      <c r="D785" s="53"/>
      <c r="E785" s="53"/>
      <c r="F785" s="53"/>
      <c r="G785" s="106"/>
      <c r="H785" s="100"/>
      <c r="I785" s="106"/>
      <c r="J785" s="100"/>
      <c r="K785" s="55"/>
      <c r="AS785" s="56"/>
      <c r="AT785" s="55"/>
      <c r="CB785" s="56"/>
      <c r="CC785" s="54"/>
    </row>
    <row r="786" spans="2:81">
      <c r="B786" s="52" t="str">
        <f>IF(F786&lt;&gt;"",SUBTOTAL(3,$F$5:F786),"")</f>
        <v/>
      </c>
      <c r="C786" s="52"/>
      <c r="D786" s="53"/>
      <c r="E786" s="53"/>
      <c r="F786" s="53"/>
      <c r="G786" s="106"/>
      <c r="H786" s="100"/>
      <c r="I786" s="106"/>
      <c r="J786" s="100"/>
      <c r="K786" s="55"/>
      <c r="AS786" s="56"/>
      <c r="AT786" s="55"/>
      <c r="CB786" s="56"/>
      <c r="CC786" s="54"/>
    </row>
    <row r="787" spans="2:81">
      <c r="B787" s="52" t="str">
        <f>IF(F787&lt;&gt;"",SUBTOTAL(3,$F$5:F787),"")</f>
        <v/>
      </c>
      <c r="C787" s="52"/>
      <c r="D787" s="53"/>
      <c r="E787" s="53"/>
      <c r="F787" s="53"/>
      <c r="G787" s="106"/>
      <c r="H787" s="100"/>
      <c r="I787" s="106"/>
      <c r="J787" s="100"/>
      <c r="K787" s="55"/>
      <c r="AS787" s="56"/>
      <c r="AT787" s="55"/>
      <c r="CB787" s="56"/>
      <c r="CC787" s="54"/>
    </row>
    <row r="788" spans="2:81">
      <c r="B788" s="52" t="str">
        <f>IF(F788&lt;&gt;"",SUBTOTAL(3,$F$5:F788),"")</f>
        <v/>
      </c>
      <c r="C788" s="52"/>
      <c r="D788" s="53"/>
      <c r="E788" s="53"/>
      <c r="F788" s="53"/>
      <c r="G788" s="106"/>
      <c r="H788" s="100"/>
      <c r="I788" s="106"/>
      <c r="J788" s="100"/>
      <c r="K788" s="55"/>
      <c r="AS788" s="56"/>
      <c r="AT788" s="55"/>
      <c r="CB788" s="56"/>
      <c r="CC788" s="54"/>
    </row>
    <row r="789" spans="2:81">
      <c r="B789" s="52" t="str">
        <f>IF(F789&lt;&gt;"",SUBTOTAL(3,$F$5:F789),"")</f>
        <v/>
      </c>
      <c r="C789" s="52"/>
      <c r="D789" s="53"/>
      <c r="E789" s="53"/>
      <c r="F789" s="53"/>
      <c r="G789" s="106"/>
      <c r="H789" s="100"/>
      <c r="I789" s="106"/>
      <c r="J789" s="100"/>
      <c r="K789" s="55"/>
      <c r="AS789" s="56"/>
      <c r="AT789" s="55"/>
      <c r="CB789" s="56"/>
      <c r="CC789" s="54"/>
    </row>
    <row r="790" spans="2:81">
      <c r="B790" s="52" t="str">
        <f>IF(F790&lt;&gt;"",SUBTOTAL(3,$F$5:F790),"")</f>
        <v/>
      </c>
      <c r="C790" s="52"/>
      <c r="D790" s="53"/>
      <c r="E790" s="53"/>
      <c r="F790" s="53"/>
      <c r="G790" s="106"/>
      <c r="H790" s="100"/>
      <c r="I790" s="106"/>
      <c r="J790" s="100"/>
      <c r="K790" s="55"/>
      <c r="AS790" s="56"/>
      <c r="AT790" s="55"/>
      <c r="CB790" s="56"/>
      <c r="CC790" s="54"/>
    </row>
    <row r="791" spans="2:81">
      <c r="B791" s="52" t="str">
        <f>IF(F791&lt;&gt;"",SUBTOTAL(3,$F$5:F791),"")</f>
        <v/>
      </c>
      <c r="C791" s="52"/>
      <c r="D791" s="53"/>
      <c r="E791" s="53"/>
      <c r="F791" s="53"/>
      <c r="G791" s="106"/>
      <c r="H791" s="100"/>
      <c r="I791" s="106"/>
      <c r="J791" s="100"/>
      <c r="K791" s="55"/>
      <c r="AS791" s="56"/>
      <c r="AT791" s="55"/>
      <c r="CB791" s="56"/>
      <c r="CC791" s="54"/>
    </row>
    <row r="792" spans="2:81">
      <c r="B792" s="52" t="str">
        <f>IF(F792&lt;&gt;"",SUBTOTAL(3,$F$5:F792),"")</f>
        <v/>
      </c>
      <c r="C792" s="52"/>
      <c r="D792" s="53"/>
      <c r="E792" s="53"/>
      <c r="F792" s="53"/>
      <c r="G792" s="106"/>
      <c r="H792" s="100"/>
      <c r="I792" s="106"/>
      <c r="J792" s="100"/>
      <c r="K792" s="55"/>
      <c r="AS792" s="56"/>
      <c r="AT792" s="55"/>
      <c r="CB792" s="56"/>
      <c r="CC792" s="54"/>
    </row>
    <row r="793" spans="2:81">
      <c r="B793" s="52" t="str">
        <f>IF(F793&lt;&gt;"",SUBTOTAL(3,$F$5:F793),"")</f>
        <v/>
      </c>
      <c r="C793" s="52"/>
      <c r="D793" s="53"/>
      <c r="E793" s="53"/>
      <c r="F793" s="53"/>
      <c r="G793" s="106"/>
      <c r="H793" s="100"/>
      <c r="I793" s="106"/>
      <c r="J793" s="100"/>
      <c r="K793" s="55"/>
      <c r="AS793" s="56"/>
      <c r="AT793" s="55"/>
      <c r="CB793" s="56"/>
      <c r="CC793" s="54"/>
    </row>
    <row r="794" spans="2:81">
      <c r="B794" s="52" t="str">
        <f>IF(F794&lt;&gt;"",SUBTOTAL(3,$F$5:F794),"")</f>
        <v/>
      </c>
      <c r="C794" s="52"/>
      <c r="D794" s="53"/>
      <c r="E794" s="53"/>
      <c r="F794" s="53"/>
      <c r="G794" s="106"/>
      <c r="H794" s="100"/>
      <c r="I794" s="106"/>
      <c r="J794" s="100"/>
      <c r="K794" s="55"/>
      <c r="AS794" s="56"/>
      <c r="AT794" s="55"/>
      <c r="CB794" s="56"/>
      <c r="CC794" s="54"/>
    </row>
    <row r="795" spans="2:81">
      <c r="B795" s="52" t="str">
        <f>IF(F795&lt;&gt;"",SUBTOTAL(3,$F$5:F795),"")</f>
        <v/>
      </c>
      <c r="C795" s="52"/>
      <c r="D795" s="53"/>
      <c r="E795" s="53"/>
      <c r="F795" s="53"/>
      <c r="G795" s="106"/>
      <c r="H795" s="100"/>
      <c r="I795" s="106"/>
      <c r="J795" s="100"/>
      <c r="K795" s="55"/>
      <c r="AS795" s="56"/>
      <c r="AT795" s="55"/>
      <c r="CB795" s="56"/>
      <c r="CC795" s="54"/>
    </row>
    <row r="796" spans="2:81">
      <c r="B796" s="52" t="str">
        <f>IF(F796&lt;&gt;"",SUBTOTAL(3,$F$5:F796),"")</f>
        <v/>
      </c>
      <c r="C796" s="52"/>
      <c r="D796" s="53"/>
      <c r="E796" s="53"/>
      <c r="F796" s="53"/>
      <c r="G796" s="106"/>
      <c r="H796" s="100"/>
      <c r="I796" s="106"/>
      <c r="J796" s="100"/>
      <c r="K796" s="55"/>
      <c r="AS796" s="56"/>
      <c r="AT796" s="55"/>
      <c r="CB796" s="56"/>
      <c r="CC796" s="54"/>
    </row>
    <row r="797" spans="2:81">
      <c r="B797" s="52" t="str">
        <f>IF(F797&lt;&gt;"",SUBTOTAL(3,$F$5:F797),"")</f>
        <v/>
      </c>
      <c r="C797" s="52"/>
      <c r="D797" s="53"/>
      <c r="E797" s="53"/>
      <c r="F797" s="53"/>
      <c r="G797" s="106"/>
      <c r="H797" s="100"/>
      <c r="I797" s="106"/>
      <c r="J797" s="100"/>
      <c r="K797" s="55"/>
      <c r="AS797" s="56"/>
      <c r="AT797" s="55"/>
      <c r="CB797" s="56"/>
      <c r="CC797" s="54"/>
    </row>
    <row r="798" spans="2:81">
      <c r="B798" s="52" t="str">
        <f>IF(F798&lt;&gt;"",SUBTOTAL(3,$F$5:F798),"")</f>
        <v/>
      </c>
      <c r="C798" s="52"/>
      <c r="D798" s="53"/>
      <c r="E798" s="53"/>
      <c r="F798" s="53"/>
      <c r="G798" s="106"/>
      <c r="H798" s="100"/>
      <c r="I798" s="106"/>
      <c r="J798" s="100"/>
      <c r="K798" s="55"/>
      <c r="AS798" s="56"/>
      <c r="AT798" s="55"/>
      <c r="CB798" s="56"/>
      <c r="CC798" s="54"/>
    </row>
    <row r="799" spans="2:81">
      <c r="B799" s="52" t="str">
        <f>IF(F799&lt;&gt;"",SUBTOTAL(3,$F$5:F799),"")</f>
        <v/>
      </c>
      <c r="C799" s="52"/>
      <c r="D799" s="53"/>
      <c r="E799" s="53"/>
      <c r="F799" s="53"/>
      <c r="G799" s="106"/>
      <c r="H799" s="100"/>
      <c r="I799" s="106"/>
      <c r="J799" s="100"/>
      <c r="K799" s="55"/>
      <c r="AS799" s="56"/>
      <c r="AT799" s="55"/>
      <c r="CB799" s="56"/>
      <c r="CC799" s="54"/>
    </row>
    <row r="800" spans="2:81">
      <c r="B800" s="52" t="str">
        <f>IF(F800&lt;&gt;"",SUBTOTAL(3,$F$5:F800),"")</f>
        <v/>
      </c>
      <c r="C800" s="52"/>
      <c r="D800" s="53"/>
      <c r="E800" s="53"/>
      <c r="F800" s="53"/>
      <c r="G800" s="106"/>
      <c r="H800" s="100"/>
      <c r="I800" s="106"/>
      <c r="J800" s="100"/>
      <c r="K800" s="55"/>
      <c r="AS800" s="56"/>
      <c r="AT800" s="55"/>
      <c r="CB800" s="56"/>
      <c r="CC800" s="54"/>
    </row>
    <row r="801" spans="2:81">
      <c r="B801" s="52" t="str">
        <f>IF(F801&lt;&gt;"",SUBTOTAL(3,$F$5:F801),"")</f>
        <v/>
      </c>
      <c r="C801" s="52"/>
      <c r="D801" s="53"/>
      <c r="E801" s="53"/>
      <c r="F801" s="53"/>
      <c r="G801" s="106"/>
      <c r="H801" s="100"/>
      <c r="I801" s="106"/>
      <c r="J801" s="100"/>
      <c r="K801" s="55"/>
      <c r="AS801" s="56"/>
      <c r="AT801" s="55"/>
      <c r="CB801" s="56"/>
      <c r="CC801" s="54"/>
    </row>
    <row r="802" spans="2:81">
      <c r="B802" s="52" t="str">
        <f>IF(F802&lt;&gt;"",SUBTOTAL(3,$F$5:F802),"")</f>
        <v/>
      </c>
      <c r="C802" s="52"/>
      <c r="D802" s="53"/>
      <c r="E802" s="53"/>
      <c r="F802" s="53"/>
      <c r="G802" s="106"/>
      <c r="H802" s="100"/>
      <c r="I802" s="106"/>
      <c r="J802" s="100"/>
      <c r="K802" s="55"/>
      <c r="AS802" s="56"/>
      <c r="AT802" s="55"/>
      <c r="CB802" s="56"/>
      <c r="CC802" s="54"/>
    </row>
    <row r="803" spans="2:81">
      <c r="B803" s="52" t="str">
        <f>IF(F803&lt;&gt;"",SUBTOTAL(3,$F$5:F803),"")</f>
        <v/>
      </c>
      <c r="C803" s="52"/>
      <c r="D803" s="53"/>
      <c r="E803" s="53"/>
      <c r="F803" s="53"/>
      <c r="G803" s="106"/>
      <c r="H803" s="100"/>
      <c r="I803" s="106"/>
      <c r="J803" s="100"/>
      <c r="K803" s="55"/>
      <c r="AS803" s="56"/>
      <c r="AT803" s="55"/>
      <c r="CB803" s="56"/>
      <c r="CC803" s="54"/>
    </row>
    <row r="804" spans="2:81">
      <c r="B804" s="52" t="str">
        <f>IF(F804&lt;&gt;"",SUBTOTAL(3,$F$5:F804),"")</f>
        <v/>
      </c>
      <c r="C804" s="52"/>
      <c r="D804" s="53"/>
      <c r="E804" s="53"/>
      <c r="F804" s="53"/>
      <c r="G804" s="106"/>
      <c r="H804" s="100"/>
      <c r="I804" s="106"/>
      <c r="J804" s="100"/>
      <c r="K804" s="55"/>
      <c r="AS804" s="56"/>
      <c r="AT804" s="55"/>
      <c r="CB804" s="56"/>
      <c r="CC804" s="54"/>
    </row>
    <row r="805" spans="2:81">
      <c r="B805" s="52" t="str">
        <f>IF(F805&lt;&gt;"",SUBTOTAL(3,$F$5:F805),"")</f>
        <v/>
      </c>
      <c r="C805" s="52"/>
      <c r="D805" s="53"/>
      <c r="E805" s="53"/>
      <c r="F805" s="53"/>
      <c r="G805" s="106"/>
      <c r="H805" s="100"/>
      <c r="I805" s="106"/>
      <c r="J805" s="100"/>
      <c r="K805" s="55"/>
      <c r="AS805" s="56"/>
      <c r="AT805" s="55"/>
      <c r="CB805" s="56"/>
      <c r="CC805" s="54"/>
    </row>
    <row r="806" spans="2:81">
      <c r="B806" s="52" t="str">
        <f>IF(F806&lt;&gt;"",SUBTOTAL(3,$F$5:F806),"")</f>
        <v/>
      </c>
      <c r="C806" s="52"/>
      <c r="D806" s="53"/>
      <c r="E806" s="53"/>
      <c r="F806" s="53"/>
      <c r="G806" s="106"/>
      <c r="H806" s="100"/>
      <c r="I806" s="106"/>
      <c r="J806" s="100"/>
      <c r="K806" s="55"/>
      <c r="AS806" s="56"/>
      <c r="AT806" s="55"/>
      <c r="CB806" s="56"/>
      <c r="CC806" s="54"/>
    </row>
    <row r="807" spans="2:81">
      <c r="B807" s="52" t="str">
        <f>IF(F807&lt;&gt;"",SUBTOTAL(3,$F$5:F807),"")</f>
        <v/>
      </c>
      <c r="C807" s="52"/>
      <c r="D807" s="53"/>
      <c r="E807" s="53"/>
      <c r="F807" s="53"/>
      <c r="G807" s="106"/>
      <c r="H807" s="100"/>
      <c r="I807" s="106"/>
      <c r="J807" s="100"/>
      <c r="K807" s="55"/>
      <c r="AS807" s="56"/>
      <c r="AT807" s="55"/>
      <c r="CB807" s="56"/>
      <c r="CC807" s="54"/>
    </row>
    <row r="808" spans="2:81">
      <c r="B808" s="52" t="str">
        <f>IF(F808&lt;&gt;"",SUBTOTAL(3,$F$5:F808),"")</f>
        <v/>
      </c>
      <c r="C808" s="52"/>
      <c r="D808" s="53"/>
      <c r="E808" s="53"/>
      <c r="F808" s="53"/>
      <c r="G808" s="106"/>
      <c r="H808" s="100"/>
      <c r="I808" s="106"/>
      <c r="J808" s="100"/>
      <c r="K808" s="55"/>
      <c r="AS808" s="56"/>
      <c r="AT808" s="55"/>
      <c r="CB808" s="56"/>
      <c r="CC808" s="54"/>
    </row>
    <row r="809" spans="2:81">
      <c r="B809" s="52" t="str">
        <f>IF(F809&lt;&gt;"",SUBTOTAL(3,$F$5:F809),"")</f>
        <v/>
      </c>
      <c r="C809" s="52"/>
      <c r="D809" s="53"/>
      <c r="E809" s="53"/>
      <c r="F809" s="53"/>
      <c r="G809" s="106"/>
      <c r="H809" s="100"/>
      <c r="I809" s="106"/>
      <c r="J809" s="100"/>
      <c r="K809" s="55"/>
      <c r="AS809" s="56"/>
      <c r="AT809" s="55"/>
      <c r="CB809" s="56"/>
      <c r="CC809" s="54"/>
    </row>
    <row r="810" spans="2:81">
      <c r="B810" s="52" t="str">
        <f>IF(F810&lt;&gt;"",SUBTOTAL(3,$F$5:F810),"")</f>
        <v/>
      </c>
      <c r="C810" s="52"/>
      <c r="D810" s="53"/>
      <c r="E810" s="53"/>
      <c r="F810" s="53"/>
      <c r="G810" s="106"/>
      <c r="H810" s="100"/>
      <c r="I810" s="106"/>
      <c r="J810" s="100"/>
      <c r="K810" s="55"/>
      <c r="AS810" s="56"/>
      <c r="AT810" s="55"/>
      <c r="CB810" s="56"/>
      <c r="CC810" s="54"/>
    </row>
    <row r="811" spans="2:81">
      <c r="B811" s="52" t="str">
        <f>IF(F811&lt;&gt;"",SUBTOTAL(3,$F$5:F811),"")</f>
        <v/>
      </c>
      <c r="C811" s="52"/>
      <c r="D811" s="53"/>
      <c r="E811" s="53"/>
      <c r="F811" s="53"/>
      <c r="G811" s="106"/>
      <c r="H811" s="100"/>
      <c r="I811" s="106"/>
      <c r="J811" s="100"/>
      <c r="K811" s="55"/>
      <c r="AS811" s="56"/>
      <c r="AT811" s="55"/>
      <c r="CB811" s="56"/>
      <c r="CC811" s="54"/>
    </row>
    <row r="812" spans="2:81">
      <c r="B812" s="52" t="str">
        <f>IF(F812&lt;&gt;"",SUBTOTAL(3,$F$5:F812),"")</f>
        <v/>
      </c>
      <c r="C812" s="52"/>
      <c r="D812" s="53"/>
      <c r="E812" s="53"/>
      <c r="F812" s="53"/>
      <c r="G812" s="106"/>
      <c r="H812" s="100"/>
      <c r="I812" s="106"/>
      <c r="J812" s="100"/>
      <c r="K812" s="55"/>
      <c r="AS812" s="56"/>
      <c r="AT812" s="55"/>
      <c r="CB812" s="56"/>
      <c r="CC812" s="54"/>
    </row>
    <row r="813" spans="2:81">
      <c r="B813" s="52" t="str">
        <f>IF(F813&lt;&gt;"",SUBTOTAL(3,$F$5:F813),"")</f>
        <v/>
      </c>
      <c r="C813" s="52"/>
      <c r="D813" s="53"/>
      <c r="E813" s="53"/>
      <c r="F813" s="53"/>
      <c r="G813" s="106"/>
      <c r="H813" s="100"/>
      <c r="I813" s="106"/>
      <c r="J813" s="100"/>
      <c r="K813" s="55"/>
      <c r="AS813" s="56"/>
      <c r="AT813" s="55"/>
      <c r="CB813" s="56"/>
      <c r="CC813" s="54"/>
    </row>
    <row r="814" spans="2:81">
      <c r="B814" s="52" t="str">
        <f>IF(F814&lt;&gt;"",SUBTOTAL(3,$F$5:F814),"")</f>
        <v/>
      </c>
      <c r="C814" s="52"/>
      <c r="D814" s="53"/>
      <c r="E814" s="53"/>
      <c r="F814" s="53"/>
      <c r="G814" s="106"/>
      <c r="H814" s="100"/>
      <c r="I814" s="106"/>
      <c r="J814" s="100"/>
      <c r="K814" s="55"/>
      <c r="AS814" s="56"/>
      <c r="AT814" s="55"/>
      <c r="CB814" s="56"/>
      <c r="CC814" s="54"/>
    </row>
    <row r="815" spans="2:81">
      <c r="B815" s="52" t="str">
        <f>IF(F815&lt;&gt;"",SUBTOTAL(3,$F$5:F815),"")</f>
        <v/>
      </c>
      <c r="C815" s="52"/>
      <c r="D815" s="53"/>
      <c r="E815" s="53"/>
      <c r="F815" s="53"/>
      <c r="G815" s="106"/>
      <c r="H815" s="100"/>
      <c r="I815" s="106"/>
      <c r="J815" s="100"/>
      <c r="K815" s="55"/>
      <c r="AS815" s="56"/>
      <c r="AT815" s="55"/>
      <c r="CB815" s="56"/>
      <c r="CC815" s="54"/>
    </row>
    <row r="816" spans="2:81">
      <c r="B816" s="52" t="str">
        <f>IF(F816&lt;&gt;"",SUBTOTAL(3,$F$5:F816),"")</f>
        <v/>
      </c>
      <c r="C816" s="52"/>
      <c r="D816" s="53"/>
      <c r="E816" s="53"/>
      <c r="F816" s="53"/>
      <c r="G816" s="106"/>
      <c r="H816" s="100"/>
      <c r="I816" s="106"/>
      <c r="J816" s="100"/>
      <c r="K816" s="55"/>
      <c r="AS816" s="56"/>
      <c r="AT816" s="55"/>
      <c r="CB816" s="56"/>
      <c r="CC816" s="54"/>
    </row>
    <row r="817" spans="2:81">
      <c r="B817" s="52" t="str">
        <f>IF(F817&lt;&gt;"",SUBTOTAL(3,$F$5:F817),"")</f>
        <v/>
      </c>
      <c r="C817" s="52"/>
      <c r="D817" s="53"/>
      <c r="E817" s="53"/>
      <c r="F817" s="53"/>
      <c r="G817" s="106"/>
      <c r="H817" s="100"/>
      <c r="I817" s="106"/>
      <c r="J817" s="100"/>
      <c r="K817" s="55"/>
      <c r="AS817" s="56"/>
      <c r="AT817" s="55"/>
      <c r="CB817" s="56"/>
      <c r="CC817" s="54"/>
    </row>
    <row r="818" spans="2:81">
      <c r="B818" s="52" t="str">
        <f>IF(F818&lt;&gt;"",SUBTOTAL(3,$F$5:F818),"")</f>
        <v/>
      </c>
      <c r="C818" s="52"/>
      <c r="D818" s="53"/>
      <c r="E818" s="53"/>
      <c r="F818" s="53"/>
      <c r="G818" s="106"/>
      <c r="H818" s="100"/>
      <c r="I818" s="106"/>
      <c r="J818" s="100"/>
      <c r="K818" s="55"/>
      <c r="AS818" s="56"/>
      <c r="AT818" s="55"/>
      <c r="CB818" s="56"/>
      <c r="CC818" s="54"/>
    </row>
    <row r="819" spans="2:81">
      <c r="B819" s="52" t="str">
        <f>IF(F819&lt;&gt;"",SUBTOTAL(3,$F$5:F819),"")</f>
        <v/>
      </c>
      <c r="C819" s="52"/>
      <c r="D819" s="53"/>
      <c r="E819" s="53"/>
      <c r="F819" s="53"/>
      <c r="G819" s="106"/>
      <c r="H819" s="100"/>
      <c r="I819" s="106"/>
      <c r="J819" s="100"/>
      <c r="K819" s="55"/>
      <c r="AS819" s="56"/>
      <c r="AT819" s="55"/>
      <c r="CB819" s="56"/>
      <c r="CC819" s="54"/>
    </row>
    <row r="820" spans="2:81">
      <c r="B820" s="52" t="str">
        <f>IF(F820&lt;&gt;"",SUBTOTAL(3,$F$5:F820),"")</f>
        <v/>
      </c>
      <c r="C820" s="52"/>
      <c r="D820" s="53"/>
      <c r="E820" s="53"/>
      <c r="F820" s="53"/>
      <c r="G820" s="106"/>
      <c r="H820" s="100"/>
      <c r="I820" s="106"/>
      <c r="J820" s="100"/>
      <c r="K820" s="55"/>
      <c r="AS820" s="56"/>
      <c r="AT820" s="55"/>
      <c r="CB820" s="56"/>
      <c r="CC820" s="54"/>
    </row>
    <row r="821" spans="2:81">
      <c r="B821" s="52" t="str">
        <f>IF(F821&lt;&gt;"",SUBTOTAL(3,$F$5:F821),"")</f>
        <v/>
      </c>
      <c r="C821" s="52"/>
      <c r="D821" s="53"/>
      <c r="E821" s="53"/>
      <c r="F821" s="53"/>
      <c r="G821" s="106"/>
      <c r="H821" s="100"/>
      <c r="I821" s="106"/>
      <c r="J821" s="100"/>
      <c r="K821" s="55"/>
      <c r="AS821" s="56"/>
      <c r="AT821" s="55"/>
      <c r="CB821" s="56"/>
      <c r="CC821" s="54"/>
    </row>
    <row r="822" spans="2:81">
      <c r="B822" s="52" t="str">
        <f>IF(F822&lt;&gt;"",SUBTOTAL(3,$F$5:F822),"")</f>
        <v/>
      </c>
      <c r="C822" s="52"/>
      <c r="D822" s="53"/>
      <c r="E822" s="53"/>
      <c r="F822" s="53"/>
      <c r="G822" s="106"/>
      <c r="H822" s="100"/>
      <c r="I822" s="106"/>
      <c r="J822" s="100"/>
      <c r="K822" s="55"/>
      <c r="AS822" s="56"/>
      <c r="AT822" s="55"/>
      <c r="CB822" s="56"/>
      <c r="CC822" s="54"/>
    </row>
    <row r="823" spans="2:81">
      <c r="B823" s="52" t="str">
        <f>IF(F823&lt;&gt;"",SUBTOTAL(3,$F$5:F823),"")</f>
        <v/>
      </c>
      <c r="C823" s="52"/>
      <c r="D823" s="53"/>
      <c r="E823" s="53"/>
      <c r="F823" s="53"/>
      <c r="G823" s="106"/>
      <c r="H823" s="100"/>
      <c r="I823" s="106"/>
      <c r="J823" s="100"/>
      <c r="K823" s="55"/>
      <c r="AS823" s="56"/>
      <c r="AT823" s="55"/>
      <c r="CB823" s="56"/>
      <c r="CC823" s="54"/>
    </row>
    <row r="824" spans="2:81">
      <c r="B824" s="52" t="str">
        <f>IF(F824&lt;&gt;"",SUBTOTAL(3,$F$5:F824),"")</f>
        <v/>
      </c>
      <c r="C824" s="52"/>
      <c r="D824" s="53"/>
      <c r="E824" s="53"/>
      <c r="F824" s="53"/>
      <c r="G824" s="106"/>
      <c r="H824" s="100"/>
      <c r="I824" s="106"/>
      <c r="J824" s="100"/>
      <c r="K824" s="55"/>
      <c r="AS824" s="56"/>
      <c r="AT824" s="55"/>
      <c r="CB824" s="56"/>
      <c r="CC824" s="54"/>
    </row>
    <row r="825" spans="2:81">
      <c r="B825" s="52" t="str">
        <f>IF(F825&lt;&gt;"",SUBTOTAL(3,$F$5:F825),"")</f>
        <v/>
      </c>
      <c r="C825" s="52"/>
      <c r="D825" s="53"/>
      <c r="E825" s="53"/>
      <c r="F825" s="53"/>
      <c r="G825" s="106"/>
      <c r="H825" s="100"/>
      <c r="I825" s="106"/>
      <c r="J825" s="100"/>
      <c r="K825" s="55"/>
      <c r="AS825" s="56"/>
      <c r="AT825" s="55"/>
      <c r="CB825" s="56"/>
      <c r="CC825" s="54"/>
    </row>
    <row r="826" spans="2:81">
      <c r="B826" s="52" t="str">
        <f>IF(F826&lt;&gt;"",SUBTOTAL(3,$F$5:F826),"")</f>
        <v/>
      </c>
      <c r="C826" s="52"/>
      <c r="D826" s="53"/>
      <c r="E826" s="53"/>
      <c r="F826" s="53"/>
      <c r="G826" s="106"/>
      <c r="H826" s="100"/>
      <c r="I826" s="106"/>
      <c r="J826" s="100"/>
      <c r="K826" s="55"/>
      <c r="AS826" s="56"/>
      <c r="AT826" s="55"/>
      <c r="CB826" s="56"/>
      <c r="CC826" s="54"/>
    </row>
    <row r="827" spans="2:81">
      <c r="B827" s="52" t="str">
        <f>IF(F827&lt;&gt;"",SUBTOTAL(3,$F$5:F827),"")</f>
        <v/>
      </c>
      <c r="C827" s="52"/>
      <c r="D827" s="53"/>
      <c r="E827" s="53"/>
      <c r="F827" s="53"/>
      <c r="G827" s="106"/>
      <c r="H827" s="100"/>
      <c r="I827" s="106"/>
      <c r="J827" s="100"/>
      <c r="K827" s="55"/>
      <c r="AS827" s="56"/>
      <c r="AT827" s="55"/>
      <c r="CB827" s="56"/>
      <c r="CC827" s="54"/>
    </row>
    <row r="828" spans="2:81">
      <c r="B828" s="52" t="str">
        <f>IF(F828&lt;&gt;"",SUBTOTAL(3,$F$5:F828),"")</f>
        <v/>
      </c>
      <c r="C828" s="52"/>
      <c r="D828" s="53"/>
      <c r="E828" s="53"/>
      <c r="F828" s="53"/>
      <c r="G828" s="106"/>
      <c r="H828" s="100"/>
      <c r="I828" s="106"/>
      <c r="J828" s="100"/>
      <c r="K828" s="55"/>
      <c r="AS828" s="56"/>
      <c r="AT828" s="55"/>
      <c r="CB828" s="56"/>
      <c r="CC828" s="54"/>
    </row>
    <row r="829" spans="2:81">
      <c r="B829" s="52" t="str">
        <f>IF(F829&lt;&gt;"",SUBTOTAL(3,$F$5:F829),"")</f>
        <v/>
      </c>
      <c r="C829" s="52"/>
      <c r="D829" s="53"/>
      <c r="E829" s="53"/>
      <c r="F829" s="53"/>
      <c r="G829" s="106"/>
      <c r="H829" s="100"/>
      <c r="I829" s="106"/>
      <c r="J829" s="100"/>
      <c r="K829" s="55"/>
      <c r="AS829" s="56"/>
      <c r="AT829" s="55"/>
      <c r="CB829" s="56"/>
      <c r="CC829" s="54"/>
    </row>
    <row r="830" spans="2:81">
      <c r="B830" s="52" t="str">
        <f>IF(F830&lt;&gt;"",SUBTOTAL(3,$F$5:F830),"")</f>
        <v/>
      </c>
      <c r="C830" s="52"/>
      <c r="D830" s="53"/>
      <c r="E830" s="53"/>
      <c r="F830" s="53"/>
      <c r="G830" s="106"/>
      <c r="H830" s="100"/>
      <c r="I830" s="106"/>
      <c r="J830" s="100"/>
      <c r="K830" s="55"/>
      <c r="AS830" s="56"/>
      <c r="AT830" s="55"/>
      <c r="CB830" s="56"/>
      <c r="CC830" s="54"/>
    </row>
    <row r="831" spans="2:81">
      <c r="B831" s="52" t="str">
        <f>IF(F831&lt;&gt;"",SUBTOTAL(3,$F$5:F831),"")</f>
        <v/>
      </c>
      <c r="C831" s="52"/>
      <c r="D831" s="53"/>
      <c r="E831" s="53"/>
      <c r="F831" s="53"/>
      <c r="G831" s="106"/>
      <c r="H831" s="100"/>
      <c r="I831" s="106"/>
      <c r="J831" s="100"/>
      <c r="K831" s="55"/>
      <c r="AS831" s="56"/>
      <c r="AT831" s="55"/>
      <c r="CB831" s="56"/>
      <c r="CC831" s="54"/>
    </row>
    <row r="832" spans="2:81">
      <c r="B832" s="52" t="str">
        <f>IF(F832&lt;&gt;"",SUBTOTAL(3,$F$5:F832),"")</f>
        <v/>
      </c>
      <c r="C832" s="52"/>
      <c r="D832" s="53"/>
      <c r="E832" s="53"/>
      <c r="F832" s="53"/>
      <c r="G832" s="106"/>
      <c r="H832" s="100"/>
      <c r="I832" s="106"/>
      <c r="J832" s="100"/>
      <c r="K832" s="55"/>
      <c r="AS832" s="56"/>
      <c r="AT832" s="55"/>
      <c r="CB832" s="56"/>
      <c r="CC832" s="54"/>
    </row>
    <row r="833" spans="2:81">
      <c r="B833" s="52" t="str">
        <f>IF(F833&lt;&gt;"",SUBTOTAL(3,$F$5:F833),"")</f>
        <v/>
      </c>
      <c r="C833" s="52"/>
      <c r="D833" s="53"/>
      <c r="E833" s="53"/>
      <c r="F833" s="53"/>
      <c r="G833" s="106"/>
      <c r="H833" s="100"/>
      <c r="I833" s="106"/>
      <c r="J833" s="100"/>
      <c r="K833" s="55"/>
      <c r="AS833" s="56"/>
      <c r="AT833" s="55"/>
      <c r="CB833" s="56"/>
      <c r="CC833" s="54"/>
    </row>
    <row r="834" spans="2:81">
      <c r="B834" s="52" t="str">
        <f>IF(F834&lt;&gt;"",SUBTOTAL(3,$F$5:F834),"")</f>
        <v/>
      </c>
      <c r="C834" s="52"/>
      <c r="D834" s="53"/>
      <c r="E834" s="53"/>
      <c r="F834" s="53"/>
      <c r="G834" s="106"/>
      <c r="H834" s="100"/>
      <c r="I834" s="106"/>
      <c r="J834" s="100"/>
      <c r="K834" s="55"/>
      <c r="AS834" s="56"/>
      <c r="AT834" s="55"/>
      <c r="CB834" s="56"/>
      <c r="CC834" s="54"/>
    </row>
    <row r="835" spans="2:81">
      <c r="B835" s="52" t="str">
        <f>IF(F835&lt;&gt;"",SUBTOTAL(3,$F$5:F835),"")</f>
        <v/>
      </c>
      <c r="C835" s="52"/>
      <c r="D835" s="53"/>
      <c r="E835" s="53"/>
      <c r="F835" s="53"/>
      <c r="G835" s="106"/>
      <c r="H835" s="100"/>
      <c r="I835" s="106"/>
      <c r="J835" s="100"/>
      <c r="K835" s="55"/>
      <c r="AS835" s="56"/>
      <c r="AT835" s="55"/>
      <c r="CB835" s="56"/>
      <c r="CC835" s="54"/>
    </row>
    <row r="836" spans="2:81">
      <c r="B836" s="52" t="str">
        <f>IF(F836&lt;&gt;"",SUBTOTAL(3,$F$5:F836),"")</f>
        <v/>
      </c>
      <c r="C836" s="52"/>
      <c r="D836" s="53"/>
      <c r="E836" s="53"/>
      <c r="F836" s="53"/>
      <c r="G836" s="106"/>
      <c r="H836" s="100"/>
      <c r="I836" s="106"/>
      <c r="J836" s="100"/>
      <c r="K836" s="55"/>
      <c r="AS836" s="56"/>
      <c r="AT836" s="55"/>
      <c r="CB836" s="56"/>
      <c r="CC836" s="54"/>
    </row>
    <row r="837" spans="2:81">
      <c r="B837" s="52" t="str">
        <f>IF(F837&lt;&gt;"",SUBTOTAL(3,$F$5:F837),"")</f>
        <v/>
      </c>
      <c r="C837" s="52"/>
      <c r="D837" s="53"/>
      <c r="E837" s="53"/>
      <c r="F837" s="53"/>
      <c r="G837" s="106"/>
      <c r="H837" s="100"/>
      <c r="I837" s="106"/>
      <c r="J837" s="100"/>
      <c r="K837" s="55"/>
      <c r="AS837" s="56"/>
      <c r="AT837" s="55"/>
      <c r="CB837" s="56"/>
      <c r="CC837" s="54"/>
    </row>
    <row r="838" spans="2:81">
      <c r="B838" s="52" t="str">
        <f>IF(F838&lt;&gt;"",SUBTOTAL(3,$F$5:F838),"")</f>
        <v/>
      </c>
      <c r="C838" s="52"/>
      <c r="D838" s="53"/>
      <c r="E838" s="53"/>
      <c r="F838" s="53"/>
      <c r="G838" s="106"/>
      <c r="H838" s="100"/>
      <c r="I838" s="106"/>
      <c r="J838" s="100"/>
      <c r="K838" s="55"/>
      <c r="AS838" s="56"/>
      <c r="AT838" s="55"/>
      <c r="CB838" s="56"/>
      <c r="CC838" s="54"/>
    </row>
    <row r="839" spans="2:81">
      <c r="B839" s="52" t="str">
        <f>IF(F839&lt;&gt;"",SUBTOTAL(3,$F$5:F839),"")</f>
        <v/>
      </c>
      <c r="C839" s="52"/>
      <c r="D839" s="53"/>
      <c r="E839" s="53"/>
      <c r="F839" s="53"/>
      <c r="G839" s="106"/>
      <c r="H839" s="100"/>
      <c r="I839" s="106"/>
      <c r="J839" s="100"/>
      <c r="K839" s="55"/>
      <c r="AS839" s="56"/>
      <c r="AT839" s="55"/>
      <c r="CB839" s="56"/>
      <c r="CC839" s="54"/>
    </row>
    <row r="840" spans="2:81">
      <c r="B840" s="52" t="str">
        <f>IF(F840&lt;&gt;"",SUBTOTAL(3,$F$5:F840),"")</f>
        <v/>
      </c>
      <c r="C840" s="52"/>
      <c r="D840" s="53"/>
      <c r="E840" s="53"/>
      <c r="F840" s="53"/>
      <c r="G840" s="106"/>
      <c r="H840" s="100"/>
      <c r="I840" s="106"/>
      <c r="J840" s="100"/>
      <c r="K840" s="55"/>
      <c r="AS840" s="56"/>
      <c r="AT840" s="55"/>
      <c r="CB840" s="56"/>
      <c r="CC840" s="54"/>
    </row>
    <row r="841" spans="2:81">
      <c r="B841" s="52" t="str">
        <f>IF(F841&lt;&gt;"",SUBTOTAL(3,$F$5:F841),"")</f>
        <v/>
      </c>
      <c r="C841" s="52"/>
      <c r="D841" s="53"/>
      <c r="E841" s="53"/>
      <c r="F841" s="53"/>
      <c r="G841" s="106"/>
      <c r="H841" s="100"/>
      <c r="I841" s="106"/>
      <c r="J841" s="100"/>
      <c r="K841" s="55"/>
      <c r="AS841" s="56"/>
      <c r="AT841" s="55"/>
      <c r="CB841" s="56"/>
      <c r="CC841" s="54"/>
    </row>
    <row r="842" spans="2:81">
      <c r="B842" s="52" t="str">
        <f>IF(F842&lt;&gt;"",SUBTOTAL(3,$F$5:F842),"")</f>
        <v/>
      </c>
      <c r="C842" s="52"/>
      <c r="D842" s="53"/>
      <c r="E842" s="53"/>
      <c r="F842" s="53"/>
      <c r="G842" s="106"/>
      <c r="H842" s="100"/>
      <c r="I842" s="106"/>
      <c r="J842" s="100"/>
      <c r="K842" s="55"/>
      <c r="AS842" s="56"/>
      <c r="AT842" s="55"/>
      <c r="CB842" s="56"/>
      <c r="CC842" s="54"/>
    </row>
    <row r="843" spans="2:81">
      <c r="B843" s="52" t="str">
        <f>IF(F843&lt;&gt;"",SUBTOTAL(3,$F$5:F843),"")</f>
        <v/>
      </c>
      <c r="C843" s="52"/>
      <c r="D843" s="53"/>
      <c r="E843" s="53"/>
      <c r="F843" s="53"/>
      <c r="G843" s="106"/>
      <c r="H843" s="100"/>
      <c r="I843" s="106"/>
      <c r="J843" s="100"/>
      <c r="K843" s="55"/>
      <c r="AS843" s="56"/>
      <c r="AT843" s="55"/>
      <c r="CB843" s="56"/>
      <c r="CC843" s="54"/>
    </row>
    <row r="844" spans="2:81">
      <c r="B844" s="52" t="str">
        <f>IF(F844&lt;&gt;"",SUBTOTAL(3,$F$5:F844),"")</f>
        <v/>
      </c>
      <c r="C844" s="52"/>
      <c r="D844" s="53"/>
      <c r="E844" s="53"/>
      <c r="F844" s="53"/>
      <c r="G844" s="106"/>
      <c r="H844" s="100"/>
      <c r="I844" s="106"/>
      <c r="J844" s="100"/>
      <c r="K844" s="55"/>
      <c r="AS844" s="56"/>
      <c r="AT844" s="55"/>
      <c r="CB844" s="56"/>
      <c r="CC844" s="54"/>
    </row>
    <row r="845" spans="2:81">
      <c r="B845" s="52" t="str">
        <f>IF(F845&lt;&gt;"",SUBTOTAL(3,$F$5:F845),"")</f>
        <v/>
      </c>
      <c r="C845" s="52"/>
      <c r="D845" s="53"/>
      <c r="E845" s="53"/>
      <c r="F845" s="53"/>
      <c r="G845" s="106"/>
      <c r="H845" s="100"/>
      <c r="I845" s="106"/>
      <c r="J845" s="100"/>
      <c r="K845" s="55"/>
      <c r="AS845" s="56"/>
      <c r="AT845" s="55"/>
      <c r="CB845" s="56"/>
      <c r="CC845" s="54"/>
    </row>
    <row r="846" spans="2:81">
      <c r="B846" s="52" t="str">
        <f>IF(F846&lt;&gt;"",SUBTOTAL(3,$F$5:F846),"")</f>
        <v/>
      </c>
      <c r="C846" s="52"/>
      <c r="D846" s="53"/>
      <c r="E846" s="53"/>
      <c r="F846" s="53"/>
      <c r="G846" s="106"/>
      <c r="H846" s="100"/>
      <c r="I846" s="106"/>
      <c r="J846" s="100"/>
      <c r="K846" s="55"/>
      <c r="AS846" s="56"/>
      <c r="AT846" s="55"/>
      <c r="CB846" s="56"/>
      <c r="CC846" s="54"/>
    </row>
    <row r="847" spans="2:81">
      <c r="B847" s="52" t="str">
        <f>IF(F847&lt;&gt;"",SUBTOTAL(3,$F$5:F847),"")</f>
        <v/>
      </c>
      <c r="C847" s="52"/>
      <c r="D847" s="53"/>
      <c r="E847" s="53"/>
      <c r="F847" s="53"/>
      <c r="G847" s="106"/>
      <c r="H847" s="100"/>
      <c r="I847" s="106"/>
      <c r="J847" s="100"/>
      <c r="K847" s="55"/>
      <c r="AS847" s="56"/>
      <c r="AT847" s="55"/>
      <c r="CB847" s="56"/>
      <c r="CC847" s="54"/>
    </row>
    <row r="848" spans="2:81">
      <c r="B848" s="52" t="str">
        <f>IF(F848&lt;&gt;"",SUBTOTAL(3,$F$5:F848),"")</f>
        <v/>
      </c>
      <c r="C848" s="52"/>
      <c r="D848" s="53"/>
      <c r="E848" s="53"/>
      <c r="F848" s="53"/>
      <c r="G848" s="106"/>
      <c r="H848" s="100"/>
      <c r="I848" s="106"/>
      <c r="J848" s="100"/>
      <c r="K848" s="55"/>
      <c r="AS848" s="56"/>
      <c r="AT848" s="55"/>
      <c r="CB848" s="56"/>
      <c r="CC848" s="54"/>
    </row>
    <row r="849" spans="2:81">
      <c r="B849" s="52" t="str">
        <f>IF(F849&lt;&gt;"",SUBTOTAL(3,$F$5:F849),"")</f>
        <v/>
      </c>
      <c r="C849" s="52"/>
      <c r="D849" s="53"/>
      <c r="E849" s="53"/>
      <c r="F849" s="53"/>
      <c r="G849" s="106"/>
      <c r="H849" s="100"/>
      <c r="I849" s="106"/>
      <c r="J849" s="100"/>
      <c r="K849" s="55"/>
      <c r="AS849" s="56"/>
      <c r="AT849" s="55"/>
      <c r="CB849" s="56"/>
      <c r="CC849" s="54"/>
    </row>
    <row r="850" spans="2:81">
      <c r="B850" s="52" t="str">
        <f>IF(F850&lt;&gt;"",SUBTOTAL(3,$F$5:F850),"")</f>
        <v/>
      </c>
      <c r="C850" s="52"/>
      <c r="D850" s="53"/>
      <c r="E850" s="53"/>
      <c r="F850" s="53"/>
      <c r="G850" s="106"/>
      <c r="H850" s="100"/>
      <c r="I850" s="106"/>
      <c r="J850" s="100"/>
      <c r="K850" s="55"/>
      <c r="AS850" s="56"/>
      <c r="AT850" s="55"/>
      <c r="CB850" s="56"/>
      <c r="CC850" s="54"/>
    </row>
    <row r="851" spans="2:81">
      <c r="B851" s="72" t="str">
        <f>IF(F851&lt;&gt;"",SUBTOTAL(3,$F$5:F851),"")</f>
        <v/>
      </c>
      <c r="C851" s="72"/>
      <c r="D851" s="73"/>
      <c r="E851" s="73"/>
      <c r="F851" s="73"/>
      <c r="G851" s="107"/>
      <c r="H851" s="104"/>
      <c r="I851" s="107"/>
      <c r="J851" s="104"/>
      <c r="K851" s="74"/>
      <c r="L851" s="75"/>
      <c r="M851" s="75"/>
      <c r="N851" s="75"/>
      <c r="O851" s="75"/>
      <c r="P851" s="75"/>
      <c r="Q851" s="75"/>
      <c r="R851" s="75"/>
      <c r="S851" s="75"/>
      <c r="T851" s="75"/>
      <c r="U851" s="75"/>
      <c r="V851" s="75"/>
      <c r="W851" s="75"/>
      <c r="X851" s="75"/>
      <c r="Y851" s="75"/>
      <c r="Z851" s="75"/>
      <c r="AA851" s="75"/>
      <c r="AB851" s="75"/>
      <c r="AC851" s="75"/>
      <c r="AD851" s="75"/>
      <c r="AE851" s="75"/>
      <c r="AF851" s="75"/>
      <c r="AG851" s="75"/>
      <c r="AH851" s="75"/>
      <c r="AI851" s="75"/>
      <c r="AJ851" s="75"/>
      <c r="AK851" s="75"/>
      <c r="AL851" s="75"/>
      <c r="AM851" s="75"/>
      <c r="AN851" s="75"/>
      <c r="AO851" s="75"/>
      <c r="AP851" s="75"/>
      <c r="AQ851" s="75"/>
      <c r="AR851" s="75"/>
      <c r="AS851" s="76"/>
      <c r="AT851" s="74"/>
      <c r="AU851" s="75"/>
      <c r="AV851" s="75"/>
      <c r="AW851" s="75"/>
      <c r="AX851" s="75"/>
      <c r="AY851" s="75"/>
      <c r="AZ851" s="75"/>
      <c r="BA851" s="75"/>
      <c r="BB851" s="75"/>
      <c r="BC851" s="75"/>
      <c r="BD851" s="75"/>
      <c r="BE851" s="75"/>
      <c r="BF851" s="75"/>
      <c r="BG851" s="75"/>
      <c r="BH851" s="75"/>
      <c r="BI851" s="75"/>
      <c r="BJ851" s="75"/>
      <c r="BK851" s="75"/>
      <c r="BL851" s="75"/>
      <c r="BM851" s="75"/>
      <c r="BN851" s="75"/>
      <c r="BO851" s="75"/>
      <c r="BP851" s="75"/>
      <c r="BQ851" s="75"/>
      <c r="BR851" s="75"/>
      <c r="BS851" s="75"/>
      <c r="BT851" s="75"/>
      <c r="BU851" s="75"/>
      <c r="BV851" s="75"/>
      <c r="BW851" s="75"/>
      <c r="BX851" s="75"/>
      <c r="BY851" s="75"/>
      <c r="BZ851" s="75"/>
      <c r="CA851" s="75"/>
      <c r="CB851" s="76"/>
      <c r="CC851" s="77"/>
    </row>
  </sheetData>
  <mergeCells count="9">
    <mergeCell ref="AC443:AJ444"/>
    <mergeCell ref="CC2:CC3"/>
    <mergeCell ref="D2:F2"/>
    <mergeCell ref="B2:B3"/>
    <mergeCell ref="C2:C3"/>
    <mergeCell ref="K2:AS3"/>
    <mergeCell ref="AT2:CB3"/>
    <mergeCell ref="G2:H2"/>
    <mergeCell ref="I2:J2"/>
  </mergeCells>
  <phoneticPr fontId="2"/>
  <dataValidations count="2">
    <dataValidation type="list" allowBlank="1" showInputMessage="1" showErrorMessage="1" sqref="H5:H851" xr:uid="{CDD3132F-D59C-4B0A-9A7C-94B9D9A88440}">
      <formula1>"100%,80%,50%,30%,0%"</formula1>
    </dataValidation>
    <dataValidation type="list" allowBlank="1" showInputMessage="1" showErrorMessage="1" sqref="J5:J851" xr:uid="{5F50CF31-8CCD-4653-8845-8D015E6B640E}">
      <formula1>"100%,80%,50%,30%,0%,ー"</formula1>
    </dataValidation>
  </dataValidations>
  <hyperlinks>
    <hyperlink ref="CC127" location="toABC114_C_755" display="(→)" xr:uid="{C3DBC3A8-8FB5-4AEF-8FA5-1088932AB54B}"/>
    <hyperlink ref="CC291" location="toABC143_C_Slimes" display="(→)" xr:uid="{D0A14FDC-339D-483C-A7FB-42784F1DB2F9}"/>
    <hyperlink ref="CC308" location="toABC147_C_Honest_or_Unkind2" display="(→)" xr:uid="{5E89EE6B-F278-4D19-9890-D06616736879}"/>
    <hyperlink ref="CC314" location="toABC149_C_NextPrime" display="(→)" xr:uid="{B7EC79F3-9ECE-482D-BD97-C57882E1060F}"/>
    <hyperlink ref="K108" r:id="rId1" xr:uid="{55DF2281-CA3A-49E3-A548-9C77168C683F}"/>
    <hyperlink ref="K168" r:id="rId2" xr:uid="{38E0EAF4-C8D9-4697-98F9-FFD2638747C7}"/>
    <hyperlink ref="K476" r:id="rId3" xr:uid="{9EDCCA2D-396F-4375-BE7A-B1954A66EC32}"/>
    <hyperlink ref="K122" r:id="rId4" xr:uid="{A5E407FA-9175-4245-9950-2C7E04570900}"/>
    <hyperlink ref="K117" r:id="rId5" display="https://drken1215.hatenablog.com/entry/2019/02/24/224100" xr:uid="{1366EB67-30B7-47E6-A8B5-D78EC1770AD1}"/>
    <hyperlink ref="M572" r:id="rId6" xr:uid="{F16420F3-8D63-40C7-A8EC-3EDE697CC440}"/>
    <hyperlink ref="M573" r:id="rId7" xr:uid="{41218FA0-0342-4BA3-8A7F-C935E7B28FF9}"/>
  </hyperlinks>
  <pageMargins left="0.39370078740157483" right="0.19685039370078741" top="0.39370078740157483" bottom="0.47244094488188981" header="0.31496062992125984" footer="0.27559055118110237"/>
  <pageSetup paperSize="9" scale="72" fitToWidth="0" orientation="landscape" horizontalDpi="0" verticalDpi="0" r:id="rId8"/>
  <drawing r:id="rId9"/>
  <legacyDrawing r:id="rId10"/>
  <mc:AlternateContent xmlns:mc="http://schemas.openxmlformats.org/markup-compatibility/2006">
    <mc:Choice Requires="x14">
      <controls>
        <mc:AlternateContent xmlns:mc="http://schemas.openxmlformats.org/markup-compatibility/2006">
          <mc:Choice Requires="x14">
            <control shapeId="1151" r:id="rId11" name="Button 127">
              <controlPr defaultSize="0" print="0" autoFill="0" autoPict="0" macro="[0]!NewLineSet" altText="新規行作成i _x000a_">
                <anchor moveWithCells="1" sizeWithCells="1">
                  <from>
                    <xdr:col>5</xdr:col>
                    <xdr:colOff>2428875</xdr:colOff>
                    <xdr:row>2</xdr:row>
                    <xdr:rowOff>9525</xdr:rowOff>
                  </from>
                  <to>
                    <xdr:col>6</xdr:col>
                    <xdr:colOff>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1CB25-92E7-41FD-B00C-784E1388CCB2}">
  <sheetPr codeName="Sheet4"/>
  <dimension ref="B1:CC210"/>
  <sheetViews>
    <sheetView zoomScale="115" zoomScaleNormal="115" workbookViewId="0">
      <pane ySplit="4" topLeftCell="A5" activePane="bottomLeft" state="frozen"/>
      <selection activeCell="B5" sqref="B5:CC803"/>
      <selection pane="bottomLeft" activeCell="B5" sqref="B5:CC803"/>
    </sheetView>
  </sheetViews>
  <sheetFormatPr defaultColWidth="2.625" defaultRowHeight="14.25" outlineLevelCol="1"/>
  <cols>
    <col min="1" max="1" width="0.5" style="51" customWidth="1"/>
    <col min="2" max="2" width="4.5" style="78" bestFit="1" customWidth="1"/>
    <col min="3" max="3" width="5" style="78" customWidth="1"/>
    <col min="4" max="4" width="16.125" style="51" customWidth="1" outlineLevel="1"/>
    <col min="5" max="5" width="7.5" style="51" customWidth="1" outlineLevel="1"/>
    <col min="6" max="6" width="37.625" style="51" customWidth="1"/>
    <col min="7" max="7" width="11.625" style="96" customWidth="1" outlineLevel="1"/>
    <col min="8" max="8" width="6" style="105" customWidth="1" outlineLevel="1"/>
    <col min="9" max="9" width="11.625" style="96" customWidth="1"/>
    <col min="10" max="10" width="6" style="105" bestFit="1" customWidth="1"/>
    <col min="11" max="80" width="2.625" style="51" customWidth="1"/>
    <col min="81" max="81" width="5.5" style="51" customWidth="1"/>
    <col min="82" max="16384" width="2.625" style="51"/>
  </cols>
  <sheetData>
    <row r="1" spans="2:81" s="41" customFormat="1" ht="3" customHeight="1">
      <c r="B1" s="42"/>
      <c r="C1" s="42"/>
      <c r="G1" s="96"/>
      <c r="H1" s="97"/>
      <c r="I1" s="96"/>
      <c r="J1" s="97"/>
    </row>
    <row r="2" spans="2:81" s="91" customFormat="1" ht="15.75">
      <c r="B2" s="135" t="s">
        <v>8</v>
      </c>
      <c r="C2" s="137" t="s">
        <v>667</v>
      </c>
      <c r="D2" s="133" t="s">
        <v>140</v>
      </c>
      <c r="E2" s="134"/>
      <c r="F2" s="134"/>
      <c r="G2" s="147" t="s">
        <v>687</v>
      </c>
      <c r="H2" s="148"/>
      <c r="I2" s="147" t="s">
        <v>688</v>
      </c>
      <c r="J2" s="148"/>
      <c r="K2" s="133" t="s">
        <v>229</v>
      </c>
      <c r="L2" s="139"/>
      <c r="M2" s="139"/>
      <c r="N2" s="139"/>
      <c r="O2" s="139"/>
      <c r="P2" s="139"/>
      <c r="Q2" s="139"/>
      <c r="R2" s="139"/>
      <c r="S2" s="139"/>
      <c r="T2" s="139"/>
      <c r="U2" s="139"/>
      <c r="V2" s="139"/>
      <c r="W2" s="139"/>
      <c r="X2" s="139"/>
      <c r="Y2" s="139"/>
      <c r="Z2" s="139"/>
      <c r="AA2" s="139"/>
      <c r="AB2" s="139"/>
      <c r="AC2" s="139"/>
      <c r="AD2" s="139"/>
      <c r="AE2" s="139"/>
      <c r="AF2" s="139"/>
      <c r="AG2" s="139"/>
      <c r="AH2" s="139"/>
      <c r="AI2" s="139"/>
      <c r="AJ2" s="139"/>
      <c r="AK2" s="134"/>
      <c r="AL2" s="134"/>
      <c r="AM2" s="134"/>
      <c r="AN2" s="134"/>
      <c r="AO2" s="134"/>
      <c r="AP2" s="134"/>
      <c r="AQ2" s="134"/>
      <c r="AR2" s="134"/>
      <c r="AS2" s="140"/>
      <c r="AT2" s="133" t="s">
        <v>367</v>
      </c>
      <c r="AU2" s="144"/>
      <c r="AV2" s="144"/>
      <c r="AW2" s="144"/>
      <c r="AX2" s="144"/>
      <c r="AY2" s="144"/>
      <c r="AZ2" s="144"/>
      <c r="BA2" s="144"/>
      <c r="BB2" s="144"/>
      <c r="BC2" s="144"/>
      <c r="BD2" s="144"/>
      <c r="BE2" s="144"/>
      <c r="BF2" s="144"/>
      <c r="BG2" s="144"/>
      <c r="BH2" s="144"/>
      <c r="BI2" s="144"/>
      <c r="BJ2" s="144"/>
      <c r="BK2" s="144"/>
      <c r="BL2" s="144"/>
      <c r="BM2" s="144"/>
      <c r="BN2" s="144"/>
      <c r="BO2" s="144"/>
      <c r="BP2" s="144"/>
      <c r="BQ2" s="144"/>
      <c r="BR2" s="144"/>
      <c r="BS2" s="144"/>
      <c r="BT2" s="144"/>
      <c r="BU2" s="144"/>
      <c r="BV2" s="144"/>
      <c r="BW2" s="144"/>
      <c r="BX2" s="144"/>
      <c r="BY2" s="144"/>
      <c r="BZ2" s="144"/>
      <c r="CA2" s="144"/>
      <c r="CB2" s="145"/>
      <c r="CC2" s="131" t="s">
        <v>11</v>
      </c>
    </row>
    <row r="3" spans="2:81" s="91" customFormat="1" ht="15.75">
      <c r="B3" s="136"/>
      <c r="C3" s="138"/>
      <c r="D3" s="92" t="s">
        <v>136</v>
      </c>
      <c r="E3" s="92" t="s">
        <v>137</v>
      </c>
      <c r="F3" s="92" t="s">
        <v>9</v>
      </c>
      <c r="G3" s="95" t="s">
        <v>10</v>
      </c>
      <c r="H3" s="94" t="s">
        <v>663</v>
      </c>
      <c r="I3" s="95" t="s">
        <v>10</v>
      </c>
      <c r="J3" s="94" t="s">
        <v>663</v>
      </c>
      <c r="K3" s="141"/>
      <c r="L3" s="142"/>
      <c r="M3" s="142"/>
      <c r="N3" s="142"/>
      <c r="O3" s="142"/>
      <c r="P3" s="142"/>
      <c r="Q3" s="142"/>
      <c r="R3" s="142"/>
      <c r="S3" s="142"/>
      <c r="T3" s="142"/>
      <c r="U3" s="142"/>
      <c r="V3" s="142"/>
      <c r="W3" s="142"/>
      <c r="X3" s="142"/>
      <c r="Y3" s="142"/>
      <c r="Z3" s="142"/>
      <c r="AA3" s="142"/>
      <c r="AB3" s="142"/>
      <c r="AC3" s="142"/>
      <c r="AD3" s="142"/>
      <c r="AE3" s="142"/>
      <c r="AF3" s="142"/>
      <c r="AG3" s="142"/>
      <c r="AH3" s="142"/>
      <c r="AI3" s="142"/>
      <c r="AJ3" s="142"/>
      <c r="AK3" s="142"/>
      <c r="AL3" s="142"/>
      <c r="AM3" s="142"/>
      <c r="AN3" s="142"/>
      <c r="AO3" s="142"/>
      <c r="AP3" s="142"/>
      <c r="AQ3" s="142"/>
      <c r="AR3" s="142"/>
      <c r="AS3" s="143"/>
      <c r="AT3" s="141"/>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46"/>
      <c r="CC3" s="132"/>
    </row>
    <row r="4" spans="2:81" s="41" customFormat="1" ht="8.1" customHeight="1">
      <c r="B4" s="43"/>
      <c r="C4" s="43"/>
      <c r="D4" s="44"/>
      <c r="E4" s="44"/>
      <c r="F4" s="44"/>
      <c r="G4" s="98"/>
      <c r="H4" s="99"/>
      <c r="I4" s="98"/>
      <c r="J4" s="99"/>
      <c r="K4" s="45"/>
      <c r="L4" s="46"/>
      <c r="M4" s="46"/>
      <c r="N4" s="46"/>
      <c r="O4" s="46"/>
      <c r="P4" s="46"/>
      <c r="Q4" s="46"/>
      <c r="R4" s="46"/>
      <c r="S4" s="46"/>
      <c r="T4" s="46"/>
      <c r="U4" s="46"/>
      <c r="V4" s="46"/>
      <c r="W4" s="46"/>
      <c r="X4" s="46"/>
      <c r="Y4" s="46"/>
      <c r="Z4" s="46"/>
      <c r="AA4" s="46"/>
      <c r="AB4" s="46"/>
      <c r="AC4" s="46"/>
      <c r="AD4" s="46"/>
      <c r="AE4" s="46"/>
      <c r="AF4" s="46"/>
      <c r="AG4" s="46"/>
      <c r="AH4" s="46"/>
      <c r="AI4" s="46"/>
      <c r="AJ4" s="46"/>
      <c r="AK4" s="46"/>
      <c r="AL4" s="46"/>
      <c r="AM4" s="46"/>
      <c r="AN4" s="46"/>
      <c r="AO4" s="46"/>
      <c r="AP4" s="46"/>
      <c r="AQ4" s="46"/>
      <c r="AR4" s="46"/>
      <c r="AS4" s="47"/>
      <c r="AT4" s="48"/>
      <c r="AU4" s="49"/>
      <c r="AV4" s="49"/>
      <c r="AW4" s="49"/>
      <c r="AX4" s="49"/>
      <c r="AY4" s="49"/>
      <c r="AZ4" s="49"/>
      <c r="BA4" s="49"/>
      <c r="BB4" s="49"/>
      <c r="BC4" s="49"/>
      <c r="BD4" s="49"/>
      <c r="BE4" s="49"/>
      <c r="BF4" s="49"/>
      <c r="BG4" s="49"/>
      <c r="BH4" s="49"/>
      <c r="BI4" s="49"/>
      <c r="BJ4" s="49"/>
      <c r="BK4" s="49"/>
      <c r="BL4" s="49"/>
      <c r="BM4" s="49"/>
      <c r="BN4" s="49"/>
      <c r="BO4" s="49"/>
      <c r="BP4" s="49"/>
      <c r="BQ4" s="49"/>
      <c r="BR4" s="49"/>
      <c r="BS4" s="49"/>
      <c r="BT4" s="49"/>
      <c r="BU4" s="49"/>
      <c r="BV4" s="49"/>
      <c r="BW4" s="49"/>
      <c r="BX4" s="49"/>
      <c r="BY4" s="49"/>
      <c r="BZ4" s="49"/>
      <c r="CA4" s="49"/>
      <c r="CB4" s="50"/>
      <c r="CC4" s="44"/>
    </row>
    <row r="5" spans="2:81">
      <c r="B5" s="52">
        <f>IF(F5&lt;&gt;"",SUBTOTAL(3,$F$5:F5),"")</f>
        <v>1</v>
      </c>
      <c r="C5" s="52"/>
      <c r="D5" s="53" t="s">
        <v>683</v>
      </c>
      <c r="E5" s="53" t="s">
        <v>685</v>
      </c>
      <c r="F5" s="53" t="s">
        <v>686</v>
      </c>
      <c r="G5" s="106">
        <v>44533</v>
      </c>
      <c r="H5" s="100">
        <v>0.5</v>
      </c>
      <c r="I5" s="106">
        <v>44548</v>
      </c>
      <c r="J5" s="100">
        <v>0.8</v>
      </c>
      <c r="K5" s="55" t="s">
        <v>1</v>
      </c>
      <c r="L5" s="51" t="s">
        <v>690</v>
      </c>
      <c r="AS5" s="56"/>
      <c r="AT5" s="55" t="s">
        <v>1</v>
      </c>
      <c r="AU5" s="51" t="s">
        <v>691</v>
      </c>
      <c r="CB5" s="56"/>
      <c r="CC5" s="54"/>
    </row>
    <row r="6" spans="2:81">
      <c r="B6" s="52" t="str">
        <f>IF(G6&lt;&gt;"",SUBTOTAL(3,$G$5:G6),"")</f>
        <v/>
      </c>
      <c r="C6" s="52"/>
      <c r="D6" s="53"/>
      <c r="E6" s="53"/>
      <c r="F6" s="53"/>
      <c r="G6" s="106"/>
      <c r="H6" s="102">
        <v>0.8</v>
      </c>
      <c r="I6" s="108"/>
      <c r="J6" s="100"/>
      <c r="K6" s="55" t="s">
        <v>1</v>
      </c>
      <c r="L6" s="51" t="s">
        <v>692</v>
      </c>
      <c r="AS6" s="56"/>
      <c r="AT6" s="55" t="s">
        <v>1</v>
      </c>
      <c r="AU6" s="51" t="s">
        <v>694</v>
      </c>
      <c r="CB6" s="56"/>
      <c r="CC6" s="54"/>
    </row>
    <row r="7" spans="2:81">
      <c r="B7" s="52" t="str">
        <f>IF(F7&lt;&gt;"",SUBTOTAL(3,$F$5:F7),"")</f>
        <v/>
      </c>
      <c r="C7" s="52"/>
      <c r="D7" s="53"/>
      <c r="E7" s="53"/>
      <c r="F7" s="53"/>
      <c r="G7" s="106"/>
      <c r="H7" s="102">
        <v>0.8</v>
      </c>
      <c r="I7" s="106"/>
      <c r="J7" s="100"/>
      <c r="K7" s="55" t="s">
        <v>689</v>
      </c>
      <c r="L7" s="51" t="s">
        <v>693</v>
      </c>
      <c r="AS7" s="56"/>
      <c r="AT7" s="55"/>
      <c r="CB7" s="56"/>
      <c r="CC7" s="54"/>
    </row>
    <row r="8" spans="2:81">
      <c r="B8" s="52" t="str">
        <f>IF(F8&lt;&gt;"",SUBTOTAL(3,$F$5:F8),"")</f>
        <v/>
      </c>
      <c r="C8" s="52"/>
      <c r="D8" s="53"/>
      <c r="E8" s="53"/>
      <c r="F8" s="53"/>
      <c r="G8" s="106"/>
      <c r="H8" s="100"/>
      <c r="I8" s="106"/>
      <c r="J8" s="100"/>
      <c r="K8" s="55"/>
      <c r="AS8" s="56"/>
      <c r="AT8" s="55"/>
      <c r="CB8" s="56"/>
      <c r="CC8" s="54"/>
    </row>
    <row r="9" spans="2:81">
      <c r="B9" s="52">
        <f>IF(F9&lt;&gt;"",SUBTOTAL(3,$F$5:F9),"")</f>
        <v>2</v>
      </c>
      <c r="C9" s="52"/>
      <c r="D9" s="53" t="s">
        <v>682</v>
      </c>
      <c r="E9" s="53" t="s">
        <v>684</v>
      </c>
      <c r="F9" s="53" t="s">
        <v>695</v>
      </c>
      <c r="G9" s="106">
        <v>44532</v>
      </c>
      <c r="H9" s="100">
        <v>1</v>
      </c>
      <c r="I9" s="106">
        <v>44548</v>
      </c>
      <c r="J9" s="100">
        <v>1</v>
      </c>
      <c r="K9" s="55" t="s">
        <v>1</v>
      </c>
      <c r="L9" s="51" t="s">
        <v>697</v>
      </c>
      <c r="AS9" s="56"/>
      <c r="AT9" s="55"/>
      <c r="CB9" s="56"/>
      <c r="CC9" s="54"/>
    </row>
    <row r="10" spans="2:81">
      <c r="B10" s="52" t="str">
        <f>IF(F10&lt;&gt;"",SUBTOTAL(3,$F$5:F10),"")</f>
        <v/>
      </c>
      <c r="C10" s="52"/>
      <c r="D10" s="53"/>
      <c r="E10" s="53"/>
      <c r="F10" s="53"/>
      <c r="G10" s="106"/>
      <c r="H10" s="100"/>
      <c r="I10" s="106"/>
      <c r="J10" s="100"/>
      <c r="K10" s="55"/>
      <c r="L10" s="51" t="s">
        <v>698</v>
      </c>
      <c r="AS10" s="56"/>
      <c r="AT10" s="55"/>
      <c r="CB10" s="56"/>
      <c r="CC10" s="54"/>
    </row>
    <row r="11" spans="2:81">
      <c r="B11" s="52" t="str">
        <f>IF(F11&lt;&gt;"",SUBTOTAL(3,$F$5:F11),"")</f>
        <v/>
      </c>
      <c r="C11" s="52"/>
      <c r="D11" s="53"/>
      <c r="E11" s="53"/>
      <c r="F11" s="53"/>
      <c r="G11" s="106"/>
      <c r="H11" s="100"/>
      <c r="I11" s="106"/>
      <c r="J11" s="100"/>
      <c r="K11" s="55"/>
      <c r="AS11" s="56"/>
      <c r="AT11" s="55"/>
      <c r="CB11" s="56"/>
      <c r="CC11" s="54"/>
    </row>
    <row r="12" spans="2:81">
      <c r="B12" s="52">
        <f>IF(F12&lt;&gt;"",SUBTOTAL(3,$F$5:F12),"")</f>
        <v>3</v>
      </c>
      <c r="C12" s="52"/>
      <c r="D12" s="53" t="s">
        <v>682</v>
      </c>
      <c r="E12" s="53" t="s">
        <v>684</v>
      </c>
      <c r="F12" s="53" t="s">
        <v>696</v>
      </c>
      <c r="G12" s="106">
        <v>44534</v>
      </c>
      <c r="H12" s="100">
        <v>0.5</v>
      </c>
      <c r="I12" s="106">
        <v>44548</v>
      </c>
      <c r="J12" s="100">
        <v>1</v>
      </c>
      <c r="K12" s="55" t="s">
        <v>1</v>
      </c>
      <c r="L12" s="51" t="s">
        <v>699</v>
      </c>
      <c r="AS12" s="56"/>
      <c r="AT12" s="55"/>
      <c r="CB12" s="56"/>
      <c r="CC12" s="54"/>
    </row>
    <row r="13" spans="2:81">
      <c r="B13" s="52" t="str">
        <f>IF(F13&lt;&gt;"",SUBTOTAL(3,$F$5:F13),"")</f>
        <v/>
      </c>
      <c r="C13" s="52"/>
      <c r="D13" s="53"/>
      <c r="E13" s="53"/>
      <c r="F13" s="53"/>
      <c r="G13" s="106"/>
      <c r="H13" s="100"/>
      <c r="I13" s="106"/>
      <c r="J13" s="100"/>
      <c r="K13" s="55"/>
      <c r="L13" s="51" t="s">
        <v>702</v>
      </c>
      <c r="AS13" s="56"/>
      <c r="AT13" s="55"/>
      <c r="CB13" s="56"/>
      <c r="CC13" s="54"/>
    </row>
    <row r="14" spans="2:81">
      <c r="B14" s="52" t="str">
        <f>IF(F14&lt;&gt;"",SUBTOTAL(3,$F$5:F14),"")</f>
        <v/>
      </c>
      <c r="C14" s="52"/>
      <c r="D14" s="53"/>
      <c r="E14" s="53"/>
      <c r="F14" s="53"/>
      <c r="G14" s="106"/>
      <c r="H14" s="100"/>
      <c r="I14" s="106"/>
      <c r="J14" s="100"/>
      <c r="K14" s="55"/>
      <c r="L14" s="51" t="s">
        <v>701</v>
      </c>
      <c r="AS14" s="56"/>
      <c r="AT14" s="55"/>
      <c r="CB14" s="56"/>
      <c r="CC14" s="54"/>
    </row>
    <row r="15" spans="2:81">
      <c r="B15" s="52" t="str">
        <f>IF(F15&lt;&gt;"",SUBTOTAL(3,$F$5:F15),"")</f>
        <v/>
      </c>
      <c r="C15" s="52"/>
      <c r="D15" s="53"/>
      <c r="E15" s="53"/>
      <c r="F15" s="53"/>
      <c r="G15" s="106"/>
      <c r="H15" s="100"/>
      <c r="I15" s="106"/>
      <c r="J15" s="100"/>
      <c r="K15" s="55"/>
      <c r="L15" s="51" t="s">
        <v>700</v>
      </c>
      <c r="AS15" s="56"/>
      <c r="AT15" s="55"/>
      <c r="CB15" s="56"/>
      <c r="CC15" s="54"/>
    </row>
    <row r="16" spans="2:81">
      <c r="B16" s="52" t="str">
        <f>IF(F16&lt;&gt;"",SUBTOTAL(3,$F$5:F16),"")</f>
        <v/>
      </c>
      <c r="C16" s="52"/>
      <c r="D16" s="53"/>
      <c r="E16" s="53"/>
      <c r="F16" s="53"/>
      <c r="G16" s="106"/>
      <c r="H16" s="100"/>
      <c r="I16" s="106"/>
      <c r="J16" s="100"/>
      <c r="K16" s="55" t="s">
        <v>1</v>
      </c>
      <c r="L16" s="51" t="s">
        <v>703</v>
      </c>
      <c r="AS16" s="56"/>
      <c r="AT16" s="55"/>
      <c r="CB16" s="56"/>
      <c r="CC16" s="54"/>
    </row>
    <row r="17" spans="2:81">
      <c r="B17" s="52" t="str">
        <f>IF(F17&lt;&gt;"",SUBTOTAL(3,$F$5:F17),"")</f>
        <v/>
      </c>
      <c r="C17" s="52"/>
      <c r="D17" s="53"/>
      <c r="E17" s="53"/>
      <c r="F17" s="53"/>
      <c r="G17" s="106"/>
      <c r="H17" s="100"/>
      <c r="I17" s="106"/>
      <c r="J17" s="100"/>
      <c r="K17" s="55"/>
      <c r="L17" s="51" t="s">
        <v>704</v>
      </c>
      <c r="AS17" s="56"/>
      <c r="AT17" s="55"/>
      <c r="CB17" s="56"/>
      <c r="CC17" s="54"/>
    </row>
    <row r="18" spans="2:81">
      <c r="B18" s="52" t="str">
        <f>IF(F18&lt;&gt;"",SUBTOTAL(3,$F$5:F18),"")</f>
        <v/>
      </c>
      <c r="C18" s="52"/>
      <c r="D18" s="53"/>
      <c r="E18" s="53"/>
      <c r="F18" s="53"/>
      <c r="G18" s="106"/>
      <c r="H18" s="100"/>
      <c r="I18" s="106"/>
      <c r="J18" s="100"/>
      <c r="K18" s="55"/>
      <c r="L18" s="51" t="s">
        <v>705</v>
      </c>
      <c r="AS18" s="56"/>
      <c r="AT18" s="55"/>
      <c r="CB18" s="56"/>
      <c r="CC18" s="54"/>
    </row>
    <row r="19" spans="2:81">
      <c r="B19" s="52" t="str">
        <f>IF(F19&lt;&gt;"",SUBTOTAL(3,$F$5:F19),"")</f>
        <v/>
      </c>
      <c r="C19" s="52"/>
      <c r="D19" s="53"/>
      <c r="E19" s="53"/>
      <c r="F19" s="53"/>
      <c r="G19" s="106"/>
      <c r="H19" s="100"/>
      <c r="I19" s="106"/>
      <c r="J19" s="100"/>
      <c r="K19" s="55"/>
      <c r="L19" s="51" t="s">
        <v>706</v>
      </c>
      <c r="N19" s="51" t="s">
        <v>707</v>
      </c>
      <c r="AS19" s="56"/>
      <c r="AT19" s="55"/>
      <c r="CB19" s="56"/>
      <c r="CC19" s="54"/>
    </row>
    <row r="20" spans="2:81">
      <c r="B20" s="52" t="str">
        <f>IF(F20&lt;&gt;"",SUBTOTAL(3,$F$5:F20),"")</f>
        <v/>
      </c>
      <c r="C20" s="52"/>
      <c r="D20" s="53"/>
      <c r="E20" s="53"/>
      <c r="F20" s="53"/>
      <c r="G20" s="106"/>
      <c r="H20" s="100"/>
      <c r="I20" s="106"/>
      <c r="J20" s="100"/>
      <c r="K20" s="55"/>
      <c r="N20" s="51" t="s">
        <v>708</v>
      </c>
      <c r="AS20" s="56"/>
      <c r="AT20" s="55"/>
      <c r="CB20" s="56"/>
      <c r="CC20" s="54"/>
    </row>
    <row r="21" spans="2:81">
      <c r="B21" s="52" t="str">
        <f>IF(F21&lt;&gt;"",SUBTOTAL(3,$F$5:F21),"")</f>
        <v/>
      </c>
      <c r="C21" s="52"/>
      <c r="D21" s="53"/>
      <c r="E21" s="53"/>
      <c r="F21" s="53"/>
      <c r="G21" s="106"/>
      <c r="H21" s="100"/>
      <c r="I21" s="106"/>
      <c r="J21" s="100"/>
      <c r="K21" s="55"/>
      <c r="AS21" s="56"/>
      <c r="AT21" s="55"/>
      <c r="CB21" s="56"/>
      <c r="CC21" s="54"/>
    </row>
    <row r="22" spans="2:81">
      <c r="B22" s="52">
        <f>IF(F22&lt;&gt;"",SUBTOTAL(3,$F$5:F22),"")</f>
        <v>4</v>
      </c>
      <c r="C22" s="52"/>
      <c r="D22" s="53" t="s">
        <v>682</v>
      </c>
      <c r="E22" s="53" t="s">
        <v>684</v>
      </c>
      <c r="F22" s="53" t="s">
        <v>709</v>
      </c>
      <c r="G22" s="106">
        <v>44548</v>
      </c>
      <c r="H22" s="100">
        <v>0</v>
      </c>
      <c r="I22" s="106"/>
      <c r="J22" s="100"/>
      <c r="K22" s="55" t="s">
        <v>1</v>
      </c>
      <c r="L22" s="51" t="s">
        <v>710</v>
      </c>
      <c r="AS22" s="56"/>
      <c r="AT22" s="55"/>
      <c r="CB22" s="56"/>
      <c r="CC22" s="54"/>
    </row>
    <row r="23" spans="2:81">
      <c r="B23" s="52" t="str">
        <f>IF(F23&lt;&gt;"",SUBTOTAL(3,$F$5:F23),"")</f>
        <v/>
      </c>
      <c r="C23" s="52"/>
      <c r="D23" s="53"/>
      <c r="E23" s="53"/>
      <c r="F23" s="53"/>
      <c r="G23" s="106"/>
      <c r="H23" s="102">
        <v>0</v>
      </c>
      <c r="I23" s="106"/>
      <c r="J23" s="100"/>
      <c r="K23" s="55" t="s">
        <v>1</v>
      </c>
      <c r="L23" s="51" t="s">
        <v>711</v>
      </c>
      <c r="AS23" s="56"/>
      <c r="AT23" s="55"/>
      <c r="CB23" s="56"/>
      <c r="CC23" s="54"/>
    </row>
    <row r="24" spans="2:81" ht="15.75">
      <c r="B24" s="52" t="str">
        <f>IF(F24&lt;&gt;"",SUBTOTAL(3,$F$5:F24),"")</f>
        <v/>
      </c>
      <c r="C24" s="52"/>
      <c r="D24" s="53"/>
      <c r="E24" s="53"/>
      <c r="F24" s="53"/>
      <c r="G24" s="106"/>
      <c r="H24" s="102">
        <v>0</v>
      </c>
      <c r="I24" s="106"/>
      <c r="J24" s="100"/>
      <c r="K24" s="55"/>
      <c r="L24" s="51" t="s">
        <v>712</v>
      </c>
      <c r="AS24" s="56"/>
      <c r="AT24" s="55"/>
      <c r="CB24" s="56"/>
      <c r="CC24" s="54"/>
    </row>
    <row r="25" spans="2:81">
      <c r="B25" s="52" t="str">
        <f>IF(F25&lt;&gt;"",SUBTOTAL(3,$F$5:F25),"")</f>
        <v/>
      </c>
      <c r="C25" s="52"/>
      <c r="D25" s="53"/>
      <c r="E25" s="53"/>
      <c r="F25" s="53"/>
      <c r="G25" s="106"/>
      <c r="H25" s="102">
        <v>0</v>
      </c>
      <c r="I25" s="106"/>
      <c r="J25" s="100"/>
      <c r="K25" s="55"/>
      <c r="L25" s="51" t="s">
        <v>713</v>
      </c>
      <c r="AS25" s="56"/>
      <c r="AT25" s="55"/>
      <c r="CB25" s="56"/>
      <c r="CC25" s="54"/>
    </row>
    <row r="26" spans="2:81" ht="15.75">
      <c r="B26" s="52" t="str">
        <f>IF(F26&lt;&gt;"",SUBTOTAL(3,$F$5:F26),"")</f>
        <v/>
      </c>
      <c r="C26" s="52"/>
      <c r="D26" s="53"/>
      <c r="E26" s="53"/>
      <c r="F26" s="53"/>
      <c r="G26" s="106"/>
      <c r="H26" s="102">
        <v>0</v>
      </c>
      <c r="I26" s="106"/>
      <c r="J26" s="100"/>
      <c r="K26" s="55" t="s">
        <v>1</v>
      </c>
      <c r="L26" s="51" t="s">
        <v>715</v>
      </c>
      <c r="P26" s="51" t="s">
        <v>718</v>
      </c>
      <c r="R26" s="51" t="s">
        <v>719</v>
      </c>
      <c r="U26" s="51" t="s">
        <v>726</v>
      </c>
      <c r="X26" s="51" t="s">
        <v>731</v>
      </c>
      <c r="AS26" s="56"/>
      <c r="AT26" s="55"/>
      <c r="CB26" s="56"/>
      <c r="CC26" s="54"/>
    </row>
    <row r="27" spans="2:81" ht="15.75">
      <c r="B27" s="52" t="str">
        <f>IF(F27&lt;&gt;"",SUBTOTAL(3,$F$5:F27),"")</f>
        <v/>
      </c>
      <c r="C27" s="52"/>
      <c r="D27" s="53"/>
      <c r="E27" s="53"/>
      <c r="F27" s="53"/>
      <c r="G27" s="106"/>
      <c r="H27" s="102">
        <v>0</v>
      </c>
      <c r="I27" s="106"/>
      <c r="J27" s="100"/>
      <c r="K27" s="55"/>
      <c r="L27" s="51" t="s">
        <v>716</v>
      </c>
      <c r="P27" s="51" t="s">
        <v>720</v>
      </c>
      <c r="R27" s="51" t="s">
        <v>721</v>
      </c>
      <c r="U27" s="51" t="s">
        <v>727</v>
      </c>
      <c r="X27" s="51" t="s">
        <v>732</v>
      </c>
      <c r="AS27" s="56"/>
      <c r="AT27" s="55"/>
      <c r="CB27" s="56"/>
      <c r="CC27" s="54"/>
    </row>
    <row r="28" spans="2:81" ht="15.75">
      <c r="B28" s="52" t="str">
        <f>IF(F28&lt;&gt;"",SUBTOTAL(3,$F$5:F28),"")</f>
        <v/>
      </c>
      <c r="C28" s="52"/>
      <c r="D28" s="53"/>
      <c r="E28" s="53"/>
      <c r="F28" s="53"/>
      <c r="G28" s="106"/>
      <c r="H28" s="102">
        <v>0</v>
      </c>
      <c r="I28" s="106"/>
      <c r="J28" s="100"/>
      <c r="K28" s="55"/>
      <c r="L28" s="51" t="s">
        <v>717</v>
      </c>
      <c r="P28" s="51" t="s">
        <v>722</v>
      </c>
      <c r="R28" s="51" t="s">
        <v>723</v>
      </c>
      <c r="U28" s="51" t="s">
        <v>728</v>
      </c>
      <c r="X28" s="51" t="s">
        <v>733</v>
      </c>
      <c r="AS28" s="56"/>
      <c r="AT28" s="55"/>
      <c r="CB28" s="56"/>
      <c r="CC28" s="54"/>
    </row>
    <row r="29" spans="2:81" ht="15.75">
      <c r="B29" s="52" t="str">
        <f>IF(F29&lt;&gt;"",SUBTOTAL(3,$F$5:F29),"")</f>
        <v/>
      </c>
      <c r="C29" s="52"/>
      <c r="D29" s="53"/>
      <c r="E29" s="53"/>
      <c r="F29" s="53"/>
      <c r="G29" s="106"/>
      <c r="H29" s="102">
        <v>0</v>
      </c>
      <c r="I29" s="106"/>
      <c r="J29" s="100"/>
      <c r="K29" s="55"/>
      <c r="L29" s="51" t="s">
        <v>737</v>
      </c>
      <c r="P29" s="51" t="s">
        <v>738</v>
      </c>
      <c r="R29" s="51" t="s">
        <v>739</v>
      </c>
      <c r="U29" s="51" t="s">
        <v>740</v>
      </c>
      <c r="X29" s="51" t="s">
        <v>741</v>
      </c>
      <c r="AS29" s="56"/>
      <c r="AT29" s="55"/>
      <c r="CB29" s="56"/>
      <c r="CC29" s="54"/>
    </row>
    <row r="30" spans="2:81" ht="15">
      <c r="B30" s="52" t="str">
        <f>IF(F30&lt;&gt;"",SUBTOTAL(3,$F$5:F30),"")</f>
        <v/>
      </c>
      <c r="C30" s="52"/>
      <c r="D30" s="53"/>
      <c r="E30" s="53"/>
      <c r="F30" s="53"/>
      <c r="G30" s="106"/>
      <c r="H30" s="102">
        <v>0</v>
      </c>
      <c r="I30" s="106"/>
      <c r="J30" s="100"/>
      <c r="K30" s="55"/>
      <c r="M30" s="109" t="s">
        <v>714</v>
      </c>
      <c r="AS30" s="56"/>
      <c r="AT30" s="55"/>
      <c r="CB30" s="56"/>
      <c r="CC30" s="54"/>
    </row>
    <row r="31" spans="2:81" ht="15.75">
      <c r="B31" s="52" t="str">
        <f>IF(F31&lt;&gt;"",SUBTOTAL(3,$F$5:F31),"")</f>
        <v/>
      </c>
      <c r="C31" s="52"/>
      <c r="D31" s="53"/>
      <c r="E31" s="53"/>
      <c r="F31" s="53"/>
      <c r="G31" s="106"/>
      <c r="H31" s="102">
        <v>0</v>
      </c>
      <c r="I31" s="106"/>
      <c r="J31" s="100"/>
      <c r="K31" s="55"/>
      <c r="L31" s="51" t="s">
        <v>724</v>
      </c>
      <c r="P31" s="51" t="s">
        <v>725</v>
      </c>
      <c r="U31" s="51" t="s">
        <v>729</v>
      </c>
      <c r="X31" s="51" t="s">
        <v>730</v>
      </c>
      <c r="AS31" s="56"/>
      <c r="AT31" s="55"/>
      <c r="CB31" s="56"/>
      <c r="CC31" s="54"/>
    </row>
    <row r="32" spans="2:81">
      <c r="B32" s="52" t="str">
        <f>IF(F32&lt;&gt;"",SUBTOTAL(3,$F$5:F32),"")</f>
        <v/>
      </c>
      <c r="C32" s="52"/>
      <c r="D32" s="53"/>
      <c r="E32" s="53"/>
      <c r="F32" s="53"/>
      <c r="G32" s="106"/>
      <c r="H32" s="102">
        <v>0</v>
      </c>
      <c r="I32" s="106"/>
      <c r="J32" s="100"/>
      <c r="K32" s="55" t="s">
        <v>1</v>
      </c>
      <c r="L32" s="51" t="s">
        <v>734</v>
      </c>
      <c r="AS32" s="56"/>
      <c r="AT32" s="55"/>
      <c r="CB32" s="56"/>
      <c r="CC32" s="54"/>
    </row>
    <row r="33" spans="2:81">
      <c r="B33" s="52" t="str">
        <f>IF(F33&lt;&gt;"",SUBTOTAL(3,$F$5:F33),"")</f>
        <v/>
      </c>
      <c r="C33" s="52"/>
      <c r="D33" s="53"/>
      <c r="E33" s="53"/>
      <c r="F33" s="53"/>
      <c r="G33" s="106"/>
      <c r="H33" s="102">
        <v>0</v>
      </c>
      <c r="I33" s="106"/>
      <c r="J33" s="100"/>
      <c r="K33" s="55"/>
      <c r="L33" s="51" t="s">
        <v>735</v>
      </c>
      <c r="AS33" s="56"/>
      <c r="AT33" s="55"/>
      <c r="CB33" s="56"/>
      <c r="CC33" s="54"/>
    </row>
    <row r="34" spans="2:81">
      <c r="B34" s="52" t="str">
        <f>IF(F34&lt;&gt;"",SUBTOTAL(3,$F$5:F34),"")</f>
        <v/>
      </c>
      <c r="C34" s="52"/>
      <c r="D34" s="53"/>
      <c r="E34" s="53"/>
      <c r="F34" s="53"/>
      <c r="G34" s="106"/>
      <c r="H34" s="102">
        <v>0</v>
      </c>
      <c r="I34" s="106"/>
      <c r="J34" s="100"/>
      <c r="K34" s="55"/>
      <c r="L34" s="51" t="s">
        <v>736</v>
      </c>
      <c r="AS34" s="56"/>
      <c r="AT34" s="55"/>
      <c r="CB34" s="56"/>
      <c r="CC34" s="54"/>
    </row>
    <row r="35" spans="2:81" ht="15">
      <c r="B35" s="52" t="str">
        <f>IF(F35&lt;&gt;"",SUBTOTAL(3,$F$5:F35),"")</f>
        <v/>
      </c>
      <c r="C35" s="52"/>
      <c r="D35" s="53"/>
      <c r="E35" s="53"/>
      <c r="F35" s="53"/>
      <c r="G35" s="106"/>
      <c r="H35" s="102">
        <v>0</v>
      </c>
      <c r="I35" s="106"/>
      <c r="J35" s="100"/>
      <c r="K35" s="55"/>
      <c r="Q35" s="109" t="s">
        <v>714</v>
      </c>
      <c r="AS35" s="56"/>
      <c r="AT35" s="55"/>
      <c r="CB35" s="56"/>
      <c r="CC35" s="54"/>
    </row>
    <row r="36" spans="2:81">
      <c r="B36" s="52" t="str">
        <f>IF(F36&lt;&gt;"",SUBTOTAL(3,$F$5:F36),"")</f>
        <v/>
      </c>
      <c r="C36" s="52"/>
      <c r="D36" s="53"/>
      <c r="E36" s="53"/>
      <c r="F36" s="53"/>
      <c r="G36" s="106"/>
      <c r="H36" s="102">
        <v>0</v>
      </c>
      <c r="I36" s="106"/>
      <c r="J36" s="100"/>
      <c r="K36" s="55"/>
      <c r="L36" s="51" t="s">
        <v>742</v>
      </c>
      <c r="AS36" s="56"/>
      <c r="AT36" s="55"/>
      <c r="CB36" s="56"/>
      <c r="CC36" s="54"/>
    </row>
    <row r="37" spans="2:81">
      <c r="B37" s="52" t="str">
        <f>IF(F37&lt;&gt;"",SUBTOTAL(3,$F$5:F37),"")</f>
        <v/>
      </c>
      <c r="C37" s="52"/>
      <c r="D37" s="53"/>
      <c r="E37" s="53"/>
      <c r="F37" s="53"/>
      <c r="G37" s="106"/>
      <c r="H37" s="102">
        <v>0</v>
      </c>
      <c r="I37" s="106"/>
      <c r="J37" s="100"/>
      <c r="K37" s="55" t="s">
        <v>1</v>
      </c>
      <c r="L37" s="51" t="s">
        <v>745</v>
      </c>
      <c r="AS37" s="56"/>
      <c r="AT37" s="55"/>
      <c r="CB37" s="56"/>
      <c r="CC37" s="54"/>
    </row>
    <row r="38" spans="2:81">
      <c r="B38" s="52" t="str">
        <f>IF(F38&lt;&gt;"",SUBTOTAL(3,$F$5:F38),"")</f>
        <v/>
      </c>
      <c r="C38" s="52"/>
      <c r="D38" s="53"/>
      <c r="E38" s="53"/>
      <c r="F38" s="53"/>
      <c r="G38" s="106"/>
      <c r="H38" s="111">
        <v>0</v>
      </c>
      <c r="I38" s="106"/>
      <c r="J38" s="100"/>
      <c r="K38" s="55"/>
      <c r="L38" s="51" t="s">
        <v>746</v>
      </c>
      <c r="AS38" s="56"/>
      <c r="AT38" s="55"/>
      <c r="CB38" s="56"/>
      <c r="CC38" s="54"/>
    </row>
    <row r="39" spans="2:81">
      <c r="B39" s="52" t="str">
        <f>IF(F39&lt;&gt;"",SUBTOTAL(3,$F$5:F39),"")</f>
        <v/>
      </c>
      <c r="C39" s="52"/>
      <c r="D39" s="53"/>
      <c r="E39" s="53"/>
      <c r="F39" s="53"/>
      <c r="G39" s="106"/>
      <c r="H39" s="111">
        <v>0</v>
      </c>
      <c r="I39" s="106"/>
      <c r="J39" s="100"/>
      <c r="K39" s="55" t="s">
        <v>1</v>
      </c>
      <c r="L39" s="51" t="s">
        <v>747</v>
      </c>
      <c r="N39" s="110"/>
      <c r="AS39" s="56"/>
      <c r="AT39" s="55"/>
      <c r="CB39" s="56"/>
      <c r="CC39" s="54"/>
    </row>
    <row r="40" spans="2:81">
      <c r="B40" s="52" t="str">
        <f>IF(F40&lt;&gt;"",SUBTOTAL(3,$F$5:F40),"")</f>
        <v/>
      </c>
      <c r="C40" s="52"/>
      <c r="D40" s="53"/>
      <c r="E40" s="53"/>
      <c r="F40" s="53"/>
      <c r="G40" s="106"/>
      <c r="H40" s="111">
        <v>0</v>
      </c>
      <c r="I40" s="106"/>
      <c r="J40" s="100"/>
      <c r="K40" s="55"/>
      <c r="L40" s="51" t="s">
        <v>748</v>
      </c>
      <c r="N40" s="110"/>
      <c r="AS40" s="56"/>
      <c r="AT40" s="55"/>
      <c r="CB40" s="56"/>
      <c r="CC40" s="54"/>
    </row>
    <row r="41" spans="2:81">
      <c r="B41" s="52" t="str">
        <f>IF(F41&lt;&gt;"",SUBTOTAL(3,$F$5:F41),"")</f>
        <v/>
      </c>
      <c r="C41" s="52"/>
      <c r="D41" s="53"/>
      <c r="E41" s="53"/>
      <c r="F41" s="53"/>
      <c r="G41" s="106"/>
      <c r="H41" s="111">
        <v>0</v>
      </c>
      <c r="I41" s="106"/>
      <c r="J41" s="100"/>
      <c r="K41" s="55"/>
      <c r="L41" s="51" t="s">
        <v>749</v>
      </c>
      <c r="N41" s="110"/>
      <c r="AS41" s="56"/>
      <c r="AT41" s="55"/>
      <c r="CB41" s="56"/>
      <c r="CC41" s="54"/>
    </row>
    <row r="42" spans="2:81">
      <c r="B42" s="52" t="str">
        <f>IF(F42&lt;&gt;"",SUBTOTAL(3,$F$5:F42),"")</f>
        <v/>
      </c>
      <c r="C42" s="52"/>
      <c r="D42" s="53"/>
      <c r="E42" s="53"/>
      <c r="F42" s="53"/>
      <c r="G42" s="106"/>
      <c r="H42" s="111">
        <v>0</v>
      </c>
      <c r="I42" s="106"/>
      <c r="J42" s="100"/>
      <c r="K42" s="55"/>
      <c r="L42" s="51" t="s">
        <v>743</v>
      </c>
      <c r="N42" s="110" t="s">
        <v>744</v>
      </c>
      <c r="AS42" s="56"/>
      <c r="AT42" s="55"/>
      <c r="CB42" s="56"/>
      <c r="CC42" s="54"/>
    </row>
    <row r="43" spans="2:81">
      <c r="B43" s="52" t="str">
        <f>IF(F43&lt;&gt;"",SUBTOTAL(3,$F$5:F43),"")</f>
        <v/>
      </c>
      <c r="C43" s="52"/>
      <c r="D43" s="53"/>
      <c r="E43" s="53"/>
      <c r="F43" s="53"/>
      <c r="G43" s="106"/>
      <c r="H43" s="111">
        <v>0</v>
      </c>
      <c r="I43" s="106"/>
      <c r="J43" s="100"/>
      <c r="K43" s="55"/>
      <c r="AS43" s="56"/>
      <c r="AT43" s="55"/>
      <c r="CB43" s="56"/>
      <c r="CC43" s="54"/>
    </row>
    <row r="44" spans="2:81">
      <c r="B44" s="52" t="str">
        <f>IF(F44&lt;&gt;"",SUBTOTAL(3,$F$5:F44),"")</f>
        <v/>
      </c>
      <c r="C44" s="52"/>
      <c r="D44" s="53"/>
      <c r="E44" s="53"/>
      <c r="F44" s="53"/>
      <c r="G44" s="106"/>
      <c r="H44" s="100"/>
      <c r="I44" s="106"/>
      <c r="J44" s="100"/>
      <c r="K44" s="55"/>
      <c r="AS44" s="56"/>
      <c r="AT44" s="55"/>
      <c r="CB44" s="56"/>
      <c r="CC44" s="54"/>
    </row>
    <row r="45" spans="2:81">
      <c r="B45" s="52" t="str">
        <f>IF(F45&lt;&gt;"",SUBTOTAL(3,$F$5:F45),"")</f>
        <v/>
      </c>
      <c r="C45" s="52"/>
      <c r="D45" s="53"/>
      <c r="E45" s="53"/>
      <c r="F45" s="53"/>
      <c r="G45" s="106"/>
      <c r="H45" s="100"/>
      <c r="I45" s="106"/>
      <c r="J45" s="100"/>
      <c r="K45" s="55"/>
      <c r="AS45" s="56"/>
      <c r="AT45" s="55"/>
      <c r="CB45" s="56"/>
      <c r="CC45" s="54"/>
    </row>
    <row r="46" spans="2:81">
      <c r="B46" s="52" t="str">
        <f>IF(F46&lt;&gt;"",SUBTOTAL(3,$F$5:F46),"")</f>
        <v/>
      </c>
      <c r="C46" s="52"/>
      <c r="D46" s="53"/>
      <c r="E46" s="53"/>
      <c r="F46" s="53"/>
      <c r="G46" s="106"/>
      <c r="H46" s="100"/>
      <c r="I46" s="106"/>
      <c r="J46" s="100"/>
      <c r="K46" s="55"/>
      <c r="AS46" s="56"/>
      <c r="AT46" s="55"/>
      <c r="CB46" s="56"/>
      <c r="CC46" s="54"/>
    </row>
    <row r="47" spans="2:81">
      <c r="B47" s="52" t="str">
        <f>IF(F47&lt;&gt;"",SUBTOTAL(3,$F$5:F47),"")</f>
        <v/>
      </c>
      <c r="C47" s="52"/>
      <c r="D47" s="53"/>
      <c r="E47" s="53"/>
      <c r="F47" s="53"/>
      <c r="G47" s="106"/>
      <c r="H47" s="100"/>
      <c r="I47" s="106"/>
      <c r="J47" s="100"/>
      <c r="K47" s="55"/>
      <c r="AS47" s="56"/>
      <c r="AT47" s="55"/>
      <c r="CB47" s="56"/>
      <c r="CC47" s="54"/>
    </row>
    <row r="48" spans="2:81">
      <c r="B48" s="52" t="str">
        <f>IF(F48&lt;&gt;"",SUBTOTAL(3,$F$5:F48),"")</f>
        <v/>
      </c>
      <c r="C48" s="52"/>
      <c r="D48" s="53"/>
      <c r="E48" s="53"/>
      <c r="F48" s="53"/>
      <c r="G48" s="106"/>
      <c r="H48" s="100"/>
      <c r="I48" s="106"/>
      <c r="J48" s="100"/>
      <c r="K48" s="55"/>
      <c r="AS48" s="56"/>
      <c r="AT48" s="55"/>
      <c r="CB48" s="56"/>
      <c r="CC48" s="54"/>
    </row>
    <row r="49" spans="2:81">
      <c r="B49" s="52" t="str">
        <f>IF(F49&lt;&gt;"",SUBTOTAL(3,$F$5:F49),"")</f>
        <v/>
      </c>
      <c r="C49" s="52"/>
      <c r="D49" s="53"/>
      <c r="E49" s="53"/>
      <c r="F49" s="53"/>
      <c r="G49" s="106"/>
      <c r="H49" s="100"/>
      <c r="I49" s="106"/>
      <c r="J49" s="100"/>
      <c r="K49" s="55"/>
      <c r="AS49" s="56"/>
      <c r="AT49" s="55"/>
      <c r="CB49" s="56"/>
      <c r="CC49" s="54"/>
    </row>
    <row r="50" spans="2:81">
      <c r="B50" s="52" t="str">
        <f>IF(F50&lt;&gt;"",SUBTOTAL(3,$F$5:F50),"")</f>
        <v/>
      </c>
      <c r="C50" s="52"/>
      <c r="D50" s="53"/>
      <c r="E50" s="53"/>
      <c r="F50" s="53"/>
      <c r="G50" s="106"/>
      <c r="H50" s="100"/>
      <c r="I50" s="106"/>
      <c r="J50" s="100"/>
      <c r="K50" s="55"/>
      <c r="AS50" s="56"/>
      <c r="AT50" s="55"/>
      <c r="CB50" s="56"/>
      <c r="CC50" s="54"/>
    </row>
    <row r="51" spans="2:81">
      <c r="B51" s="52" t="str">
        <f>IF(F51&lt;&gt;"",SUBTOTAL(3,$F$5:F51),"")</f>
        <v/>
      </c>
      <c r="C51" s="52"/>
      <c r="D51" s="53"/>
      <c r="E51" s="53"/>
      <c r="F51" s="53"/>
      <c r="G51" s="106"/>
      <c r="H51" s="100"/>
      <c r="I51" s="106"/>
      <c r="J51" s="100"/>
      <c r="K51" s="55"/>
      <c r="AS51" s="56"/>
      <c r="AT51" s="55"/>
      <c r="CB51" s="56"/>
      <c r="CC51" s="54"/>
    </row>
    <row r="52" spans="2:81">
      <c r="B52" s="52" t="str">
        <f>IF(F52&lt;&gt;"",SUBTOTAL(3,$F$5:F52),"")</f>
        <v/>
      </c>
      <c r="C52" s="52"/>
      <c r="D52" s="53"/>
      <c r="E52" s="53"/>
      <c r="F52" s="53"/>
      <c r="G52" s="106"/>
      <c r="H52" s="100"/>
      <c r="I52" s="106"/>
      <c r="J52" s="100"/>
      <c r="K52" s="55"/>
      <c r="AS52" s="56"/>
      <c r="AT52" s="55"/>
      <c r="CB52" s="56"/>
      <c r="CC52" s="54"/>
    </row>
    <row r="53" spans="2:81">
      <c r="B53" s="52" t="str">
        <f>IF(F53&lt;&gt;"",SUBTOTAL(3,$F$5:F53),"")</f>
        <v/>
      </c>
      <c r="C53" s="52"/>
      <c r="D53" s="53"/>
      <c r="E53" s="53"/>
      <c r="F53" s="53"/>
      <c r="G53" s="106"/>
      <c r="H53" s="100"/>
      <c r="I53" s="106"/>
      <c r="J53" s="100"/>
      <c r="K53" s="55"/>
      <c r="AS53" s="56"/>
      <c r="AT53" s="55"/>
      <c r="CB53" s="56"/>
      <c r="CC53" s="54"/>
    </row>
    <row r="54" spans="2:81">
      <c r="B54" s="52" t="str">
        <f>IF(F54&lt;&gt;"",SUBTOTAL(3,$F$5:F54),"")</f>
        <v/>
      </c>
      <c r="C54" s="52"/>
      <c r="D54" s="53"/>
      <c r="E54" s="53"/>
      <c r="F54" s="53"/>
      <c r="G54" s="106"/>
      <c r="H54" s="100"/>
      <c r="I54" s="106"/>
      <c r="J54" s="100"/>
      <c r="K54" s="55"/>
      <c r="AS54" s="56"/>
      <c r="AT54" s="55"/>
      <c r="CB54" s="56"/>
      <c r="CC54" s="54"/>
    </row>
    <row r="55" spans="2:81">
      <c r="B55" s="52" t="str">
        <f>IF(F55&lt;&gt;"",SUBTOTAL(3,$F$5:F55),"")</f>
        <v/>
      </c>
      <c r="C55" s="52"/>
      <c r="D55" s="53"/>
      <c r="E55" s="53"/>
      <c r="F55" s="53"/>
      <c r="G55" s="106"/>
      <c r="H55" s="100"/>
      <c r="I55" s="106"/>
      <c r="J55" s="100"/>
      <c r="K55" s="55"/>
      <c r="AS55" s="56"/>
      <c r="AT55" s="55"/>
      <c r="CB55" s="56"/>
      <c r="CC55" s="54"/>
    </row>
    <row r="56" spans="2:81">
      <c r="B56" s="52" t="str">
        <f>IF(F56&lt;&gt;"",SUBTOTAL(3,$F$5:F56),"")</f>
        <v/>
      </c>
      <c r="C56" s="52"/>
      <c r="D56" s="53"/>
      <c r="E56" s="53"/>
      <c r="F56" s="53"/>
      <c r="G56" s="106"/>
      <c r="H56" s="100"/>
      <c r="I56" s="106"/>
      <c r="J56" s="100"/>
      <c r="K56" s="55"/>
      <c r="AS56" s="56"/>
      <c r="AT56" s="55"/>
      <c r="CB56" s="56"/>
      <c r="CC56" s="54"/>
    </row>
    <row r="57" spans="2:81">
      <c r="B57" s="52" t="str">
        <f>IF(F57&lt;&gt;"",SUBTOTAL(3,$F$5:F57),"")</f>
        <v/>
      </c>
      <c r="C57" s="52"/>
      <c r="D57" s="53"/>
      <c r="E57" s="53"/>
      <c r="F57" s="53"/>
      <c r="G57" s="106"/>
      <c r="H57" s="100"/>
      <c r="I57" s="106"/>
      <c r="J57" s="100"/>
      <c r="K57" s="55"/>
      <c r="AS57" s="56"/>
      <c r="AT57" s="55"/>
      <c r="CB57" s="56"/>
      <c r="CC57" s="54"/>
    </row>
    <row r="58" spans="2:81">
      <c r="B58" s="52" t="str">
        <f>IF(F58&lt;&gt;"",SUBTOTAL(3,$F$5:F58),"")</f>
        <v/>
      </c>
      <c r="C58" s="52"/>
      <c r="D58" s="53"/>
      <c r="E58" s="53"/>
      <c r="F58" s="53"/>
      <c r="G58" s="106"/>
      <c r="H58" s="100"/>
      <c r="I58" s="106"/>
      <c r="J58" s="100"/>
      <c r="K58" s="55"/>
      <c r="AS58" s="56"/>
      <c r="AT58" s="55"/>
      <c r="CB58" s="56"/>
      <c r="CC58" s="54"/>
    </row>
    <row r="59" spans="2:81">
      <c r="B59" s="52" t="str">
        <f>IF(F59&lt;&gt;"",SUBTOTAL(3,$F$5:F59),"")</f>
        <v/>
      </c>
      <c r="C59" s="52"/>
      <c r="D59" s="53"/>
      <c r="E59" s="53"/>
      <c r="F59" s="53"/>
      <c r="G59" s="106"/>
      <c r="H59" s="100"/>
      <c r="I59" s="106"/>
      <c r="J59" s="100"/>
      <c r="K59" s="55"/>
      <c r="AS59" s="56"/>
      <c r="AT59" s="55"/>
      <c r="CB59" s="56"/>
      <c r="CC59" s="54"/>
    </row>
    <row r="60" spans="2:81">
      <c r="B60" s="52" t="str">
        <f>IF(F60&lt;&gt;"",SUBTOTAL(3,$F$5:F60),"")</f>
        <v/>
      </c>
      <c r="C60" s="52"/>
      <c r="D60" s="53"/>
      <c r="E60" s="53"/>
      <c r="F60" s="53"/>
      <c r="G60" s="106"/>
      <c r="H60" s="100"/>
      <c r="I60" s="106"/>
      <c r="J60" s="100"/>
      <c r="K60" s="55"/>
      <c r="AS60" s="56"/>
      <c r="AT60" s="55"/>
      <c r="CB60" s="56"/>
      <c r="CC60" s="54"/>
    </row>
    <row r="61" spans="2:81">
      <c r="B61" s="52" t="str">
        <f>IF(F61&lt;&gt;"",SUBTOTAL(3,$F$5:F61),"")</f>
        <v/>
      </c>
      <c r="C61" s="52"/>
      <c r="D61" s="53"/>
      <c r="E61" s="53"/>
      <c r="F61" s="53"/>
      <c r="G61" s="106"/>
      <c r="H61" s="100"/>
      <c r="I61" s="106"/>
      <c r="J61" s="100"/>
      <c r="K61" s="55"/>
      <c r="AS61" s="56"/>
      <c r="AT61" s="55"/>
      <c r="CB61" s="56"/>
      <c r="CC61" s="54"/>
    </row>
    <row r="62" spans="2:81">
      <c r="B62" s="52" t="str">
        <f>IF(F62&lt;&gt;"",SUBTOTAL(3,$F$5:F62),"")</f>
        <v/>
      </c>
      <c r="C62" s="52"/>
      <c r="D62" s="53"/>
      <c r="E62" s="53"/>
      <c r="F62" s="53"/>
      <c r="G62" s="106"/>
      <c r="H62" s="100"/>
      <c r="I62" s="106"/>
      <c r="J62" s="100"/>
      <c r="K62" s="55"/>
      <c r="AS62" s="56"/>
      <c r="AT62" s="55"/>
      <c r="CB62" s="56"/>
      <c r="CC62" s="54"/>
    </row>
    <row r="63" spans="2:81">
      <c r="B63" s="52" t="str">
        <f>IF(F63&lt;&gt;"",SUBTOTAL(3,$F$5:F63),"")</f>
        <v/>
      </c>
      <c r="C63" s="52"/>
      <c r="D63" s="53"/>
      <c r="E63" s="53"/>
      <c r="F63" s="53"/>
      <c r="G63" s="106"/>
      <c r="H63" s="100"/>
      <c r="I63" s="106"/>
      <c r="J63" s="100"/>
      <c r="K63" s="55"/>
      <c r="AS63" s="56"/>
      <c r="AT63" s="55"/>
      <c r="CB63" s="56"/>
      <c r="CC63" s="54"/>
    </row>
    <row r="64" spans="2:81">
      <c r="B64" s="52" t="str">
        <f>IF(F64&lt;&gt;"",SUBTOTAL(3,$F$5:F64),"")</f>
        <v/>
      </c>
      <c r="C64" s="52"/>
      <c r="D64" s="53"/>
      <c r="E64" s="53"/>
      <c r="F64" s="53"/>
      <c r="G64" s="106"/>
      <c r="H64" s="100"/>
      <c r="I64" s="106"/>
      <c r="J64" s="100"/>
      <c r="K64" s="55"/>
      <c r="AS64" s="56"/>
      <c r="AT64" s="55"/>
      <c r="CB64" s="56"/>
      <c r="CC64" s="54"/>
    </row>
    <row r="65" spans="2:81">
      <c r="B65" s="52" t="str">
        <f>IF(F65&lt;&gt;"",SUBTOTAL(3,$F$5:F65),"")</f>
        <v/>
      </c>
      <c r="C65" s="52"/>
      <c r="D65" s="53"/>
      <c r="E65" s="53"/>
      <c r="F65" s="53"/>
      <c r="G65" s="106"/>
      <c r="H65" s="100"/>
      <c r="I65" s="106"/>
      <c r="J65" s="100"/>
      <c r="K65" s="55"/>
      <c r="AS65" s="56"/>
      <c r="AT65" s="55"/>
      <c r="CB65" s="56"/>
      <c r="CC65" s="54"/>
    </row>
    <row r="66" spans="2:81">
      <c r="B66" s="52" t="str">
        <f>IF(F66&lt;&gt;"",SUBTOTAL(3,$F$5:F66),"")</f>
        <v/>
      </c>
      <c r="C66" s="52"/>
      <c r="D66" s="53"/>
      <c r="E66" s="53"/>
      <c r="F66" s="53"/>
      <c r="G66" s="106"/>
      <c r="H66" s="100"/>
      <c r="I66" s="106"/>
      <c r="J66" s="100"/>
      <c r="K66" s="55"/>
      <c r="AS66" s="56"/>
      <c r="AT66" s="55"/>
      <c r="CB66" s="56"/>
      <c r="CC66" s="54"/>
    </row>
    <row r="67" spans="2:81">
      <c r="B67" s="52" t="str">
        <f>IF(F67&lt;&gt;"",SUBTOTAL(3,$F$5:F67),"")</f>
        <v/>
      </c>
      <c r="C67" s="52"/>
      <c r="D67" s="53"/>
      <c r="E67" s="53"/>
      <c r="F67" s="53"/>
      <c r="G67" s="106"/>
      <c r="H67" s="100"/>
      <c r="I67" s="106"/>
      <c r="J67" s="100"/>
      <c r="K67" s="55"/>
      <c r="AS67" s="56"/>
      <c r="AT67" s="55"/>
      <c r="CB67" s="56"/>
      <c r="CC67" s="54"/>
    </row>
    <row r="68" spans="2:81">
      <c r="B68" s="52" t="str">
        <f>IF(F68&lt;&gt;"",SUBTOTAL(3,$F$5:F68),"")</f>
        <v/>
      </c>
      <c r="C68" s="52"/>
      <c r="D68" s="53"/>
      <c r="E68" s="53"/>
      <c r="F68" s="53"/>
      <c r="G68" s="106"/>
      <c r="H68" s="100"/>
      <c r="I68" s="106"/>
      <c r="J68" s="100"/>
      <c r="K68" s="55"/>
      <c r="AS68" s="56"/>
      <c r="AT68" s="55"/>
      <c r="CB68" s="56"/>
      <c r="CC68" s="54"/>
    </row>
    <row r="69" spans="2:81">
      <c r="B69" s="52" t="str">
        <f>IF(F69&lt;&gt;"",SUBTOTAL(3,$F$5:F69),"")</f>
        <v/>
      </c>
      <c r="C69" s="52"/>
      <c r="D69" s="53"/>
      <c r="E69" s="53"/>
      <c r="F69" s="53"/>
      <c r="G69" s="106"/>
      <c r="H69" s="100"/>
      <c r="I69" s="106"/>
      <c r="J69" s="100"/>
      <c r="K69" s="55"/>
      <c r="AS69" s="56"/>
      <c r="AT69" s="55"/>
      <c r="CB69" s="56"/>
      <c r="CC69" s="54"/>
    </row>
    <row r="70" spans="2:81">
      <c r="B70" s="52" t="str">
        <f>IF(F70&lt;&gt;"",SUBTOTAL(3,$F$5:F70),"")</f>
        <v/>
      </c>
      <c r="C70" s="52"/>
      <c r="D70" s="53"/>
      <c r="E70" s="53"/>
      <c r="F70" s="53"/>
      <c r="G70" s="106"/>
      <c r="H70" s="100"/>
      <c r="I70" s="106"/>
      <c r="J70" s="100"/>
      <c r="K70" s="55"/>
      <c r="AS70" s="56"/>
      <c r="AT70" s="55"/>
      <c r="CB70" s="56"/>
      <c r="CC70" s="54"/>
    </row>
    <row r="71" spans="2:81">
      <c r="B71" s="52" t="str">
        <f>IF(F71&lt;&gt;"",SUBTOTAL(3,$F$5:F71),"")</f>
        <v/>
      </c>
      <c r="C71" s="52"/>
      <c r="D71" s="53"/>
      <c r="E71" s="53"/>
      <c r="F71" s="53"/>
      <c r="G71" s="106"/>
      <c r="H71" s="100"/>
      <c r="I71" s="106"/>
      <c r="J71" s="100"/>
      <c r="K71" s="55"/>
      <c r="AS71" s="56"/>
      <c r="AT71" s="55"/>
      <c r="CB71" s="56"/>
      <c r="CC71" s="54"/>
    </row>
    <row r="72" spans="2:81">
      <c r="B72" s="52" t="str">
        <f>IF(F72&lt;&gt;"",SUBTOTAL(3,$F$5:F72),"")</f>
        <v/>
      </c>
      <c r="C72" s="52"/>
      <c r="D72" s="53"/>
      <c r="E72" s="53"/>
      <c r="F72" s="53"/>
      <c r="G72" s="106"/>
      <c r="H72" s="100"/>
      <c r="I72" s="106"/>
      <c r="J72" s="100"/>
      <c r="K72" s="55"/>
      <c r="AS72" s="56"/>
      <c r="AT72" s="55"/>
      <c r="CB72" s="56"/>
      <c r="CC72" s="54"/>
    </row>
    <row r="73" spans="2:81">
      <c r="B73" s="52" t="str">
        <f>IF(F73&lt;&gt;"",SUBTOTAL(3,$F$5:F73),"")</f>
        <v/>
      </c>
      <c r="C73" s="52"/>
      <c r="D73" s="53"/>
      <c r="E73" s="53"/>
      <c r="F73" s="53"/>
      <c r="G73" s="106"/>
      <c r="H73" s="100"/>
      <c r="I73" s="106"/>
      <c r="J73" s="100"/>
      <c r="K73" s="55"/>
      <c r="AS73" s="56"/>
      <c r="AT73" s="55"/>
      <c r="CB73" s="56"/>
      <c r="CC73" s="54"/>
    </row>
    <row r="74" spans="2:81">
      <c r="B74" s="52" t="str">
        <f>IF(F74&lt;&gt;"",SUBTOTAL(3,$F$5:F74),"")</f>
        <v/>
      </c>
      <c r="C74" s="52"/>
      <c r="D74" s="53"/>
      <c r="E74" s="53"/>
      <c r="F74" s="53"/>
      <c r="G74" s="106"/>
      <c r="H74" s="100"/>
      <c r="I74" s="106"/>
      <c r="J74" s="100"/>
      <c r="K74" s="55"/>
      <c r="AS74" s="56"/>
      <c r="AT74" s="55"/>
      <c r="CB74" s="56"/>
      <c r="CC74" s="54"/>
    </row>
    <row r="75" spans="2:81">
      <c r="B75" s="52" t="str">
        <f>IF(F75&lt;&gt;"",SUBTOTAL(3,$F$5:F75),"")</f>
        <v/>
      </c>
      <c r="C75" s="52"/>
      <c r="D75" s="53"/>
      <c r="E75" s="53"/>
      <c r="F75" s="53"/>
      <c r="G75" s="106"/>
      <c r="H75" s="100"/>
      <c r="I75" s="106"/>
      <c r="J75" s="100"/>
      <c r="K75" s="55"/>
      <c r="AS75" s="56"/>
      <c r="AT75" s="55"/>
      <c r="CB75" s="56"/>
      <c r="CC75" s="54"/>
    </row>
    <row r="76" spans="2:81">
      <c r="B76" s="52" t="str">
        <f>IF(F76&lt;&gt;"",SUBTOTAL(3,$F$5:F76),"")</f>
        <v/>
      </c>
      <c r="C76" s="52"/>
      <c r="D76" s="53"/>
      <c r="E76" s="53"/>
      <c r="F76" s="53"/>
      <c r="G76" s="106"/>
      <c r="H76" s="100"/>
      <c r="I76" s="106"/>
      <c r="J76" s="100"/>
      <c r="K76" s="55"/>
      <c r="AS76" s="56"/>
      <c r="AT76" s="55"/>
      <c r="CB76" s="56"/>
      <c r="CC76" s="54"/>
    </row>
    <row r="77" spans="2:81">
      <c r="B77" s="52" t="str">
        <f>IF(F77&lt;&gt;"",SUBTOTAL(3,$F$5:F77),"")</f>
        <v/>
      </c>
      <c r="C77" s="52"/>
      <c r="D77" s="53"/>
      <c r="E77" s="53"/>
      <c r="F77" s="53"/>
      <c r="G77" s="106"/>
      <c r="H77" s="100"/>
      <c r="I77" s="106"/>
      <c r="J77" s="100"/>
      <c r="K77" s="55"/>
      <c r="AS77" s="56"/>
      <c r="AT77" s="55"/>
      <c r="CB77" s="56"/>
      <c r="CC77" s="54"/>
    </row>
    <row r="78" spans="2:81">
      <c r="B78" s="52" t="str">
        <f>IF(F78&lt;&gt;"",SUBTOTAL(3,$F$5:F78),"")</f>
        <v/>
      </c>
      <c r="C78" s="52"/>
      <c r="D78" s="53"/>
      <c r="E78" s="53"/>
      <c r="F78" s="53"/>
      <c r="G78" s="106"/>
      <c r="H78" s="100"/>
      <c r="I78" s="106"/>
      <c r="J78" s="100"/>
      <c r="K78" s="55"/>
      <c r="AS78" s="56"/>
      <c r="AT78" s="55"/>
      <c r="CB78" s="56"/>
      <c r="CC78" s="54"/>
    </row>
    <row r="79" spans="2:81">
      <c r="B79" s="52" t="str">
        <f>IF(F79&lt;&gt;"",SUBTOTAL(3,$F$5:F79),"")</f>
        <v/>
      </c>
      <c r="C79" s="52"/>
      <c r="D79" s="53"/>
      <c r="E79" s="53"/>
      <c r="F79" s="53"/>
      <c r="G79" s="106"/>
      <c r="H79" s="100"/>
      <c r="I79" s="106"/>
      <c r="J79" s="100"/>
      <c r="K79" s="55"/>
      <c r="AS79" s="56"/>
      <c r="AT79" s="55"/>
      <c r="CB79" s="56"/>
      <c r="CC79" s="54"/>
    </row>
    <row r="80" spans="2:81">
      <c r="B80" s="52" t="str">
        <f>IF(F80&lt;&gt;"",SUBTOTAL(3,$F$5:F80),"")</f>
        <v/>
      </c>
      <c r="C80" s="52"/>
      <c r="D80" s="53"/>
      <c r="E80" s="53"/>
      <c r="F80" s="53"/>
      <c r="G80" s="106"/>
      <c r="H80" s="100"/>
      <c r="I80" s="106"/>
      <c r="J80" s="100"/>
      <c r="K80" s="55"/>
      <c r="AS80" s="56"/>
      <c r="AT80" s="55"/>
      <c r="CB80" s="56"/>
      <c r="CC80" s="54"/>
    </row>
    <row r="81" spans="2:81">
      <c r="B81" s="52" t="str">
        <f>IF(F81&lt;&gt;"",SUBTOTAL(3,$F$5:F81),"")</f>
        <v/>
      </c>
      <c r="C81" s="52"/>
      <c r="D81" s="53"/>
      <c r="E81" s="53"/>
      <c r="F81" s="53"/>
      <c r="G81" s="106"/>
      <c r="H81" s="100"/>
      <c r="I81" s="106"/>
      <c r="J81" s="100"/>
      <c r="K81" s="55"/>
      <c r="AS81" s="56"/>
      <c r="AT81" s="55"/>
      <c r="CB81" s="56"/>
      <c r="CC81" s="54"/>
    </row>
    <row r="82" spans="2:81">
      <c r="B82" s="52" t="str">
        <f>IF(F82&lt;&gt;"",SUBTOTAL(3,$F$5:F82),"")</f>
        <v/>
      </c>
      <c r="C82" s="52"/>
      <c r="D82" s="53"/>
      <c r="E82" s="53"/>
      <c r="F82" s="53"/>
      <c r="G82" s="106"/>
      <c r="H82" s="100"/>
      <c r="I82" s="106"/>
      <c r="J82" s="100"/>
      <c r="K82" s="55"/>
      <c r="AS82" s="56"/>
      <c r="AT82" s="55"/>
      <c r="CB82" s="56"/>
      <c r="CC82" s="54"/>
    </row>
    <row r="83" spans="2:81">
      <c r="B83" s="52" t="str">
        <f>IF(F83&lt;&gt;"",SUBTOTAL(3,$F$5:F83),"")</f>
        <v/>
      </c>
      <c r="C83" s="52"/>
      <c r="D83" s="53"/>
      <c r="E83" s="53"/>
      <c r="F83" s="53"/>
      <c r="G83" s="106"/>
      <c r="H83" s="100"/>
      <c r="I83" s="106"/>
      <c r="J83" s="100"/>
      <c r="K83" s="55"/>
      <c r="AS83" s="56"/>
      <c r="AT83" s="55"/>
      <c r="CB83" s="56"/>
      <c r="CC83" s="54"/>
    </row>
    <row r="84" spans="2:81">
      <c r="B84" s="52" t="str">
        <f>IF(F84&lt;&gt;"",SUBTOTAL(3,$F$5:F84),"")</f>
        <v/>
      </c>
      <c r="C84" s="52"/>
      <c r="D84" s="53"/>
      <c r="E84" s="53"/>
      <c r="F84" s="53"/>
      <c r="G84" s="106"/>
      <c r="H84" s="100"/>
      <c r="I84" s="106"/>
      <c r="J84" s="100"/>
      <c r="K84" s="55"/>
      <c r="AS84" s="56"/>
      <c r="AT84" s="55"/>
      <c r="CB84" s="56"/>
      <c r="CC84" s="54"/>
    </row>
    <row r="85" spans="2:81">
      <c r="B85" s="52" t="str">
        <f>IF(F85&lt;&gt;"",SUBTOTAL(3,$F$5:F85),"")</f>
        <v/>
      </c>
      <c r="C85" s="52"/>
      <c r="D85" s="53"/>
      <c r="E85" s="53"/>
      <c r="F85" s="53"/>
      <c r="G85" s="106"/>
      <c r="H85" s="100"/>
      <c r="I85" s="106"/>
      <c r="J85" s="100"/>
      <c r="K85" s="55"/>
      <c r="AS85" s="56"/>
      <c r="AT85" s="55"/>
      <c r="CB85" s="56"/>
      <c r="CC85" s="54"/>
    </row>
    <row r="86" spans="2:81">
      <c r="B86" s="52" t="str">
        <f>IF(F86&lt;&gt;"",SUBTOTAL(3,$F$5:F86),"")</f>
        <v/>
      </c>
      <c r="C86" s="52"/>
      <c r="D86" s="53"/>
      <c r="E86" s="53"/>
      <c r="F86" s="53"/>
      <c r="G86" s="106"/>
      <c r="H86" s="100"/>
      <c r="I86" s="106"/>
      <c r="J86" s="100"/>
      <c r="K86" s="55"/>
      <c r="AS86" s="56"/>
      <c r="AT86" s="55"/>
      <c r="CB86" s="56"/>
      <c r="CC86" s="54"/>
    </row>
    <row r="87" spans="2:81">
      <c r="B87" s="52" t="str">
        <f>IF(F87&lt;&gt;"",SUBTOTAL(3,$F$5:F87),"")</f>
        <v/>
      </c>
      <c r="C87" s="52"/>
      <c r="D87" s="53"/>
      <c r="E87" s="53"/>
      <c r="F87" s="53"/>
      <c r="G87" s="106"/>
      <c r="H87" s="100"/>
      <c r="I87" s="106"/>
      <c r="J87" s="100"/>
      <c r="K87" s="55"/>
      <c r="AS87" s="56"/>
      <c r="AT87" s="55"/>
      <c r="CB87" s="56"/>
      <c r="CC87" s="54"/>
    </row>
    <row r="88" spans="2:81">
      <c r="B88" s="52" t="str">
        <f>IF(F88&lt;&gt;"",SUBTOTAL(3,$F$5:F88),"")</f>
        <v/>
      </c>
      <c r="C88" s="52"/>
      <c r="D88" s="53"/>
      <c r="E88" s="53"/>
      <c r="F88" s="53"/>
      <c r="G88" s="106"/>
      <c r="H88" s="100"/>
      <c r="I88" s="106"/>
      <c r="J88" s="100"/>
      <c r="K88" s="55"/>
      <c r="AS88" s="56"/>
      <c r="AT88" s="55"/>
      <c r="CB88" s="56"/>
      <c r="CC88" s="54"/>
    </row>
    <row r="89" spans="2:81">
      <c r="B89" s="52" t="str">
        <f>IF(F89&lt;&gt;"",SUBTOTAL(3,$F$5:F89),"")</f>
        <v/>
      </c>
      <c r="C89" s="52"/>
      <c r="D89" s="53"/>
      <c r="E89" s="53"/>
      <c r="F89" s="53"/>
      <c r="G89" s="106"/>
      <c r="H89" s="100"/>
      <c r="I89" s="106"/>
      <c r="J89" s="100"/>
      <c r="K89" s="55"/>
      <c r="AS89" s="56"/>
      <c r="AT89" s="55"/>
      <c r="CB89" s="56"/>
      <c r="CC89" s="54"/>
    </row>
    <row r="90" spans="2:81">
      <c r="B90" s="52" t="str">
        <f>IF(F90&lt;&gt;"",SUBTOTAL(3,$F$5:F90),"")</f>
        <v/>
      </c>
      <c r="C90" s="52"/>
      <c r="D90" s="53"/>
      <c r="E90" s="53"/>
      <c r="F90" s="53"/>
      <c r="G90" s="106"/>
      <c r="H90" s="100"/>
      <c r="I90" s="106"/>
      <c r="J90" s="100"/>
      <c r="K90" s="55"/>
      <c r="AS90" s="56"/>
      <c r="AT90" s="55"/>
      <c r="CB90" s="56"/>
      <c r="CC90" s="54"/>
    </row>
    <row r="91" spans="2:81">
      <c r="B91" s="52" t="str">
        <f>IF(F91&lt;&gt;"",SUBTOTAL(3,$F$5:F91),"")</f>
        <v/>
      </c>
      <c r="C91" s="52"/>
      <c r="D91" s="53"/>
      <c r="E91" s="53"/>
      <c r="F91" s="53"/>
      <c r="G91" s="106"/>
      <c r="H91" s="100"/>
      <c r="I91" s="106"/>
      <c r="J91" s="100"/>
      <c r="K91" s="55"/>
      <c r="AS91" s="56"/>
      <c r="AT91" s="55"/>
      <c r="CB91" s="56"/>
      <c r="CC91" s="54"/>
    </row>
    <row r="92" spans="2:81">
      <c r="B92" s="52" t="str">
        <f>IF(F92&lt;&gt;"",SUBTOTAL(3,$F$5:F92),"")</f>
        <v/>
      </c>
      <c r="C92" s="52"/>
      <c r="D92" s="53"/>
      <c r="E92" s="53"/>
      <c r="F92" s="53"/>
      <c r="G92" s="106"/>
      <c r="H92" s="100"/>
      <c r="I92" s="106"/>
      <c r="J92" s="100"/>
      <c r="K92" s="55"/>
      <c r="AS92" s="56"/>
      <c r="AT92" s="55"/>
      <c r="CB92" s="56"/>
      <c r="CC92" s="54"/>
    </row>
    <row r="93" spans="2:81">
      <c r="B93" s="52" t="str">
        <f>IF(F93&lt;&gt;"",SUBTOTAL(3,$F$5:F93),"")</f>
        <v/>
      </c>
      <c r="C93" s="52"/>
      <c r="D93" s="53"/>
      <c r="E93" s="53"/>
      <c r="F93" s="53"/>
      <c r="G93" s="106"/>
      <c r="H93" s="100"/>
      <c r="I93" s="106"/>
      <c r="J93" s="100"/>
      <c r="K93" s="55"/>
      <c r="AS93" s="56"/>
      <c r="AT93" s="55"/>
      <c r="CB93" s="56"/>
      <c r="CC93" s="54"/>
    </row>
    <row r="94" spans="2:81">
      <c r="B94" s="52" t="str">
        <f>IF(F94&lt;&gt;"",SUBTOTAL(3,$F$5:F94),"")</f>
        <v/>
      </c>
      <c r="C94" s="52"/>
      <c r="D94" s="53"/>
      <c r="E94" s="53"/>
      <c r="F94" s="53"/>
      <c r="G94" s="106"/>
      <c r="H94" s="100"/>
      <c r="I94" s="106"/>
      <c r="J94" s="100"/>
      <c r="K94" s="55"/>
      <c r="AS94" s="56"/>
      <c r="AT94" s="55"/>
      <c r="CB94" s="56"/>
      <c r="CC94" s="54"/>
    </row>
    <row r="95" spans="2:81">
      <c r="B95" s="52" t="str">
        <f>IF(F95&lt;&gt;"",SUBTOTAL(3,$F$5:F95),"")</f>
        <v/>
      </c>
      <c r="C95" s="52"/>
      <c r="D95" s="53"/>
      <c r="E95" s="53"/>
      <c r="F95" s="53"/>
      <c r="G95" s="106"/>
      <c r="H95" s="100"/>
      <c r="I95" s="106"/>
      <c r="J95" s="100"/>
      <c r="K95" s="55"/>
      <c r="AS95" s="56"/>
      <c r="AT95" s="55"/>
      <c r="CB95" s="56"/>
      <c r="CC95" s="54"/>
    </row>
    <row r="96" spans="2:81">
      <c r="B96" s="52" t="str">
        <f>IF(F96&lt;&gt;"",SUBTOTAL(3,$F$5:F96),"")</f>
        <v/>
      </c>
      <c r="C96" s="52"/>
      <c r="D96" s="53"/>
      <c r="E96" s="53"/>
      <c r="F96" s="53"/>
      <c r="G96" s="106"/>
      <c r="H96" s="100"/>
      <c r="I96" s="106"/>
      <c r="J96" s="100"/>
      <c r="K96" s="55"/>
      <c r="AS96" s="56"/>
      <c r="AT96" s="55"/>
      <c r="CB96" s="56"/>
      <c r="CC96" s="54"/>
    </row>
    <row r="97" spans="2:81">
      <c r="B97" s="52" t="str">
        <f>IF(F97&lt;&gt;"",SUBTOTAL(3,$F$5:F97),"")</f>
        <v/>
      </c>
      <c r="C97" s="52"/>
      <c r="D97" s="53"/>
      <c r="E97" s="53"/>
      <c r="F97" s="53"/>
      <c r="G97" s="106"/>
      <c r="H97" s="100"/>
      <c r="I97" s="106"/>
      <c r="J97" s="100"/>
      <c r="K97" s="55"/>
      <c r="AS97" s="56"/>
      <c r="AT97" s="55"/>
      <c r="CB97" s="56"/>
      <c r="CC97" s="54"/>
    </row>
    <row r="98" spans="2:81">
      <c r="B98" s="52" t="str">
        <f>IF(F98&lt;&gt;"",SUBTOTAL(3,$F$5:F98),"")</f>
        <v/>
      </c>
      <c r="C98" s="52"/>
      <c r="D98" s="53"/>
      <c r="E98" s="53"/>
      <c r="F98" s="53"/>
      <c r="G98" s="106"/>
      <c r="H98" s="100"/>
      <c r="I98" s="106"/>
      <c r="J98" s="100"/>
      <c r="K98" s="55"/>
      <c r="AS98" s="56"/>
      <c r="AT98" s="55"/>
      <c r="CB98" s="56"/>
      <c r="CC98" s="54"/>
    </row>
    <row r="99" spans="2:81">
      <c r="B99" s="52" t="str">
        <f>IF(F99&lt;&gt;"",SUBTOTAL(3,$F$5:F99),"")</f>
        <v/>
      </c>
      <c r="C99" s="52"/>
      <c r="D99" s="53"/>
      <c r="E99" s="53"/>
      <c r="F99" s="53"/>
      <c r="G99" s="106"/>
      <c r="H99" s="100"/>
      <c r="I99" s="106"/>
      <c r="J99" s="100"/>
      <c r="K99" s="55"/>
      <c r="AS99" s="56"/>
      <c r="AT99" s="55"/>
      <c r="CB99" s="56"/>
      <c r="CC99" s="54"/>
    </row>
    <row r="100" spans="2:81">
      <c r="B100" s="52" t="str">
        <f>IF(F100&lt;&gt;"",SUBTOTAL(3,$F$5:F100),"")</f>
        <v/>
      </c>
      <c r="C100" s="52"/>
      <c r="D100" s="53"/>
      <c r="E100" s="53"/>
      <c r="F100" s="53"/>
      <c r="G100" s="106"/>
      <c r="H100" s="100"/>
      <c r="I100" s="106"/>
      <c r="J100" s="100"/>
      <c r="K100" s="55"/>
      <c r="AS100" s="56"/>
      <c r="AT100" s="55"/>
      <c r="CB100" s="56"/>
      <c r="CC100" s="54"/>
    </row>
    <row r="101" spans="2:81">
      <c r="B101" s="52" t="str">
        <f>IF(F101&lt;&gt;"",SUBTOTAL(3,$F$5:F101),"")</f>
        <v/>
      </c>
      <c r="C101" s="52"/>
      <c r="D101" s="53"/>
      <c r="E101" s="53"/>
      <c r="F101" s="53"/>
      <c r="G101" s="106"/>
      <c r="H101" s="100"/>
      <c r="I101" s="106"/>
      <c r="J101" s="100"/>
      <c r="K101" s="55"/>
      <c r="AS101" s="56"/>
      <c r="AT101" s="55"/>
      <c r="CB101" s="56"/>
      <c r="CC101" s="54"/>
    </row>
    <row r="102" spans="2:81">
      <c r="B102" s="52" t="str">
        <f>IF(F102&lt;&gt;"",SUBTOTAL(3,$F$5:F102),"")</f>
        <v/>
      </c>
      <c r="C102" s="52"/>
      <c r="D102" s="53"/>
      <c r="E102" s="53"/>
      <c r="F102" s="53"/>
      <c r="G102" s="106"/>
      <c r="H102" s="100"/>
      <c r="I102" s="106"/>
      <c r="J102" s="100"/>
      <c r="K102" s="55"/>
      <c r="AS102" s="56"/>
      <c r="AT102" s="55"/>
      <c r="CB102" s="56"/>
      <c r="CC102" s="54"/>
    </row>
    <row r="103" spans="2:81">
      <c r="B103" s="52" t="str">
        <f>IF(F103&lt;&gt;"",SUBTOTAL(3,$F$5:F103),"")</f>
        <v/>
      </c>
      <c r="C103" s="52"/>
      <c r="D103" s="53"/>
      <c r="E103" s="53"/>
      <c r="F103" s="53"/>
      <c r="G103" s="106"/>
      <c r="H103" s="100"/>
      <c r="I103" s="106"/>
      <c r="J103" s="100"/>
      <c r="K103" s="55"/>
      <c r="AS103" s="56"/>
      <c r="AT103" s="55"/>
      <c r="CB103" s="56"/>
      <c r="CC103" s="54"/>
    </row>
    <row r="104" spans="2:81">
      <c r="B104" s="52" t="str">
        <f>IF(F104&lt;&gt;"",SUBTOTAL(3,$F$5:F104),"")</f>
        <v/>
      </c>
      <c r="C104" s="52"/>
      <c r="D104" s="53"/>
      <c r="E104" s="53"/>
      <c r="F104" s="53"/>
      <c r="G104" s="106"/>
      <c r="H104" s="100"/>
      <c r="I104" s="106"/>
      <c r="J104" s="100"/>
      <c r="K104" s="55"/>
      <c r="AS104" s="56"/>
      <c r="AT104" s="55"/>
      <c r="CB104" s="56"/>
      <c r="CC104" s="54"/>
    </row>
    <row r="105" spans="2:81">
      <c r="B105" s="52" t="str">
        <f>IF(F105&lt;&gt;"",SUBTOTAL(3,$F$5:F105),"")</f>
        <v/>
      </c>
      <c r="C105" s="52"/>
      <c r="D105" s="53"/>
      <c r="E105" s="53"/>
      <c r="F105" s="53"/>
      <c r="G105" s="106"/>
      <c r="H105" s="100"/>
      <c r="I105" s="106"/>
      <c r="J105" s="100"/>
      <c r="K105" s="55"/>
      <c r="AS105" s="56"/>
      <c r="AT105" s="55"/>
      <c r="CB105" s="56"/>
      <c r="CC105" s="54"/>
    </row>
    <row r="106" spans="2:81">
      <c r="B106" s="52" t="str">
        <f>IF(F106&lt;&gt;"",SUBTOTAL(3,$F$5:F106),"")</f>
        <v/>
      </c>
      <c r="C106" s="52"/>
      <c r="D106" s="53"/>
      <c r="E106" s="53"/>
      <c r="F106" s="53"/>
      <c r="G106" s="106"/>
      <c r="H106" s="100"/>
      <c r="I106" s="106"/>
      <c r="J106" s="100"/>
      <c r="K106" s="55"/>
      <c r="AS106" s="56"/>
      <c r="AT106" s="55"/>
      <c r="CB106" s="56"/>
      <c r="CC106" s="54"/>
    </row>
    <row r="107" spans="2:81">
      <c r="B107" s="52" t="str">
        <f>IF(F107&lt;&gt;"",SUBTOTAL(3,$F$5:F107),"")</f>
        <v/>
      </c>
      <c r="C107" s="52"/>
      <c r="D107" s="53"/>
      <c r="E107" s="53"/>
      <c r="F107" s="53"/>
      <c r="G107" s="106"/>
      <c r="H107" s="100"/>
      <c r="I107" s="106"/>
      <c r="J107" s="100"/>
      <c r="K107" s="55"/>
      <c r="AS107" s="56"/>
      <c r="AT107" s="55"/>
      <c r="CB107" s="56"/>
      <c r="CC107" s="54"/>
    </row>
    <row r="108" spans="2:81">
      <c r="B108" s="52" t="str">
        <f>IF(F108&lt;&gt;"",SUBTOTAL(3,$F$5:F108),"")</f>
        <v/>
      </c>
      <c r="C108" s="52"/>
      <c r="D108" s="53"/>
      <c r="E108" s="53"/>
      <c r="F108" s="53"/>
      <c r="G108" s="106"/>
      <c r="H108" s="100"/>
      <c r="I108" s="106"/>
      <c r="J108" s="100"/>
      <c r="K108" s="55"/>
      <c r="AS108" s="56"/>
      <c r="AT108" s="55"/>
      <c r="CB108" s="56"/>
      <c r="CC108" s="54"/>
    </row>
    <row r="109" spans="2:81">
      <c r="B109" s="52" t="str">
        <f>IF(F109&lt;&gt;"",SUBTOTAL(3,$F$5:F109),"")</f>
        <v/>
      </c>
      <c r="C109" s="52"/>
      <c r="D109" s="53"/>
      <c r="E109" s="53"/>
      <c r="F109" s="53"/>
      <c r="G109" s="106"/>
      <c r="H109" s="100"/>
      <c r="I109" s="106"/>
      <c r="J109" s="100"/>
      <c r="K109" s="55"/>
      <c r="AS109" s="56"/>
      <c r="AT109" s="55"/>
      <c r="CB109" s="56"/>
      <c r="CC109" s="54"/>
    </row>
    <row r="110" spans="2:81">
      <c r="B110" s="52" t="str">
        <f>IF(F110&lt;&gt;"",SUBTOTAL(3,$F$5:F110),"")</f>
        <v/>
      </c>
      <c r="C110" s="52"/>
      <c r="D110" s="53"/>
      <c r="E110" s="53"/>
      <c r="F110" s="53"/>
      <c r="G110" s="106"/>
      <c r="H110" s="100"/>
      <c r="I110" s="106"/>
      <c r="J110" s="100"/>
      <c r="K110" s="55"/>
      <c r="AS110" s="56"/>
      <c r="AT110" s="55"/>
      <c r="CB110" s="56"/>
      <c r="CC110" s="54"/>
    </row>
    <row r="111" spans="2:81">
      <c r="B111" s="52" t="str">
        <f>IF(F111&lt;&gt;"",SUBTOTAL(3,$F$5:F111),"")</f>
        <v/>
      </c>
      <c r="C111" s="52"/>
      <c r="D111" s="53"/>
      <c r="E111" s="53"/>
      <c r="F111" s="53"/>
      <c r="G111" s="106"/>
      <c r="H111" s="100"/>
      <c r="I111" s="106"/>
      <c r="J111" s="100"/>
      <c r="K111" s="55"/>
      <c r="AS111" s="56"/>
      <c r="AT111" s="55"/>
      <c r="CB111" s="56"/>
      <c r="CC111" s="54"/>
    </row>
    <row r="112" spans="2:81">
      <c r="B112" s="52" t="str">
        <f>IF(F112&lt;&gt;"",SUBTOTAL(3,$F$5:F112),"")</f>
        <v/>
      </c>
      <c r="C112" s="52"/>
      <c r="D112" s="53"/>
      <c r="E112" s="53"/>
      <c r="F112" s="53"/>
      <c r="G112" s="106"/>
      <c r="H112" s="100"/>
      <c r="I112" s="106"/>
      <c r="J112" s="100"/>
      <c r="K112" s="55"/>
      <c r="AS112" s="56"/>
      <c r="AT112" s="55"/>
      <c r="CB112" s="56"/>
      <c r="CC112" s="54"/>
    </row>
    <row r="113" spans="2:81">
      <c r="B113" s="52" t="str">
        <f>IF(F113&lt;&gt;"",SUBTOTAL(3,$F$5:F113),"")</f>
        <v/>
      </c>
      <c r="C113" s="52"/>
      <c r="D113" s="53"/>
      <c r="E113" s="53"/>
      <c r="F113" s="53"/>
      <c r="G113" s="106"/>
      <c r="H113" s="100"/>
      <c r="I113" s="106"/>
      <c r="J113" s="100"/>
      <c r="K113" s="55"/>
      <c r="AS113" s="56"/>
      <c r="AT113" s="55"/>
      <c r="CB113" s="56"/>
      <c r="CC113" s="54"/>
    </row>
    <row r="114" spans="2:81">
      <c r="B114" s="52" t="str">
        <f>IF(F114&lt;&gt;"",SUBTOTAL(3,$F$5:F114),"")</f>
        <v/>
      </c>
      <c r="C114" s="52"/>
      <c r="D114" s="53"/>
      <c r="E114" s="53"/>
      <c r="F114" s="53"/>
      <c r="G114" s="106"/>
      <c r="H114" s="100"/>
      <c r="I114" s="106"/>
      <c r="J114" s="100"/>
      <c r="K114" s="55"/>
      <c r="AS114" s="56"/>
      <c r="AT114" s="55"/>
      <c r="CB114" s="56"/>
      <c r="CC114" s="54"/>
    </row>
    <row r="115" spans="2:81">
      <c r="B115" s="52" t="str">
        <f>IF(F115&lt;&gt;"",SUBTOTAL(3,$F$5:F115),"")</f>
        <v/>
      </c>
      <c r="C115" s="52"/>
      <c r="D115" s="53"/>
      <c r="E115" s="53"/>
      <c r="F115" s="53"/>
      <c r="G115" s="106"/>
      <c r="H115" s="100"/>
      <c r="I115" s="106"/>
      <c r="J115" s="100"/>
      <c r="K115" s="55"/>
      <c r="AS115" s="56"/>
      <c r="AT115" s="55"/>
      <c r="CB115" s="56"/>
      <c r="CC115" s="54"/>
    </row>
    <row r="116" spans="2:81">
      <c r="B116" s="52" t="str">
        <f>IF(F116&lt;&gt;"",SUBTOTAL(3,$F$5:F116),"")</f>
        <v/>
      </c>
      <c r="C116" s="52"/>
      <c r="D116" s="53"/>
      <c r="E116" s="53"/>
      <c r="F116" s="53"/>
      <c r="G116" s="106"/>
      <c r="H116" s="100"/>
      <c r="I116" s="106"/>
      <c r="J116" s="100"/>
      <c r="K116" s="55"/>
      <c r="AS116" s="56"/>
      <c r="AT116" s="55"/>
      <c r="CB116" s="56"/>
      <c r="CC116" s="54"/>
    </row>
    <row r="117" spans="2:81">
      <c r="B117" s="52" t="str">
        <f>IF(F117&lt;&gt;"",SUBTOTAL(3,$F$5:F117),"")</f>
        <v/>
      </c>
      <c r="C117" s="52"/>
      <c r="D117" s="53"/>
      <c r="E117" s="53"/>
      <c r="F117" s="53"/>
      <c r="G117" s="106"/>
      <c r="H117" s="100"/>
      <c r="I117" s="106"/>
      <c r="J117" s="100"/>
      <c r="K117" s="55"/>
      <c r="AS117" s="56"/>
      <c r="AT117" s="55"/>
      <c r="CB117" s="56"/>
      <c r="CC117" s="54"/>
    </row>
    <row r="118" spans="2:81">
      <c r="B118" s="52" t="str">
        <f>IF(F118&lt;&gt;"",SUBTOTAL(3,$F$5:F118),"")</f>
        <v/>
      </c>
      <c r="C118" s="52"/>
      <c r="D118" s="53"/>
      <c r="E118" s="53"/>
      <c r="F118" s="53"/>
      <c r="G118" s="106"/>
      <c r="H118" s="100"/>
      <c r="I118" s="106"/>
      <c r="J118" s="100"/>
      <c r="K118" s="55"/>
      <c r="AS118" s="56"/>
      <c r="AT118" s="55"/>
      <c r="CB118" s="56"/>
      <c r="CC118" s="54"/>
    </row>
    <row r="119" spans="2:81">
      <c r="B119" s="52" t="str">
        <f>IF(F119&lt;&gt;"",SUBTOTAL(3,$F$5:F119),"")</f>
        <v/>
      </c>
      <c r="C119" s="52"/>
      <c r="D119" s="53"/>
      <c r="E119" s="53"/>
      <c r="F119" s="53"/>
      <c r="G119" s="106"/>
      <c r="H119" s="100"/>
      <c r="I119" s="106"/>
      <c r="J119" s="100"/>
      <c r="K119" s="55"/>
      <c r="AS119" s="56"/>
      <c r="AT119" s="55"/>
      <c r="CB119" s="56"/>
      <c r="CC119" s="54"/>
    </row>
    <row r="120" spans="2:81">
      <c r="B120" s="52" t="str">
        <f>IF(F120&lt;&gt;"",SUBTOTAL(3,$F$5:F120),"")</f>
        <v/>
      </c>
      <c r="C120" s="52"/>
      <c r="D120" s="53"/>
      <c r="E120" s="53"/>
      <c r="F120" s="53"/>
      <c r="G120" s="106"/>
      <c r="H120" s="100"/>
      <c r="I120" s="106"/>
      <c r="J120" s="100"/>
      <c r="K120" s="55"/>
      <c r="AS120" s="56"/>
      <c r="AT120" s="55"/>
      <c r="CB120" s="56"/>
      <c r="CC120" s="54"/>
    </row>
    <row r="121" spans="2:81">
      <c r="B121" s="52" t="str">
        <f>IF(F121&lt;&gt;"",SUBTOTAL(3,$F$5:F121),"")</f>
        <v/>
      </c>
      <c r="C121" s="52"/>
      <c r="D121" s="53"/>
      <c r="E121" s="53"/>
      <c r="F121" s="53"/>
      <c r="G121" s="106"/>
      <c r="H121" s="100"/>
      <c r="I121" s="106"/>
      <c r="J121" s="100"/>
      <c r="K121" s="55"/>
      <c r="AS121" s="56"/>
      <c r="AT121" s="55"/>
      <c r="CB121" s="56"/>
      <c r="CC121" s="54"/>
    </row>
    <row r="122" spans="2:81">
      <c r="B122" s="52" t="str">
        <f>IF(F122&lt;&gt;"",SUBTOTAL(3,$F$5:F122),"")</f>
        <v/>
      </c>
      <c r="C122" s="52"/>
      <c r="D122" s="53"/>
      <c r="E122" s="53"/>
      <c r="F122" s="53"/>
      <c r="G122" s="106"/>
      <c r="H122" s="100"/>
      <c r="I122" s="106"/>
      <c r="J122" s="100"/>
      <c r="K122" s="55"/>
      <c r="AS122" s="56"/>
      <c r="AT122" s="55"/>
      <c r="CB122" s="56"/>
      <c r="CC122" s="54"/>
    </row>
    <row r="123" spans="2:81">
      <c r="B123" s="52" t="str">
        <f>IF(F123&lt;&gt;"",SUBTOTAL(3,$F$5:F123),"")</f>
        <v/>
      </c>
      <c r="C123" s="52"/>
      <c r="D123" s="53"/>
      <c r="E123" s="53"/>
      <c r="F123" s="53"/>
      <c r="G123" s="106"/>
      <c r="H123" s="100"/>
      <c r="I123" s="106"/>
      <c r="J123" s="100"/>
      <c r="K123" s="55"/>
      <c r="AS123" s="56"/>
      <c r="AT123" s="55"/>
      <c r="CB123" s="56"/>
      <c r="CC123" s="54"/>
    </row>
    <row r="124" spans="2:81">
      <c r="B124" s="52" t="str">
        <f>IF(F124&lt;&gt;"",SUBTOTAL(3,$F$5:F124),"")</f>
        <v/>
      </c>
      <c r="C124" s="52"/>
      <c r="D124" s="53"/>
      <c r="E124" s="53"/>
      <c r="F124" s="53"/>
      <c r="G124" s="106"/>
      <c r="H124" s="100"/>
      <c r="I124" s="106"/>
      <c r="J124" s="100"/>
      <c r="K124" s="55"/>
      <c r="AS124" s="56"/>
      <c r="AT124" s="55"/>
      <c r="CB124" s="56"/>
      <c r="CC124" s="54"/>
    </row>
    <row r="125" spans="2:81">
      <c r="B125" s="52" t="str">
        <f>IF(F125&lt;&gt;"",SUBTOTAL(3,$F$5:F125),"")</f>
        <v/>
      </c>
      <c r="C125" s="52"/>
      <c r="D125" s="53"/>
      <c r="E125" s="53"/>
      <c r="F125" s="53"/>
      <c r="G125" s="106"/>
      <c r="H125" s="100"/>
      <c r="I125" s="106"/>
      <c r="J125" s="100"/>
      <c r="K125" s="55"/>
      <c r="AS125" s="56"/>
      <c r="AT125" s="55"/>
      <c r="CB125" s="56"/>
      <c r="CC125" s="54"/>
    </row>
    <row r="126" spans="2:81">
      <c r="B126" s="52" t="str">
        <f>IF(F126&lt;&gt;"",SUBTOTAL(3,$F$5:F126),"")</f>
        <v/>
      </c>
      <c r="C126" s="52"/>
      <c r="D126" s="53"/>
      <c r="E126" s="53"/>
      <c r="F126" s="53"/>
      <c r="G126" s="106"/>
      <c r="H126" s="100"/>
      <c r="I126" s="106"/>
      <c r="J126" s="100"/>
      <c r="K126" s="55"/>
      <c r="AS126" s="56"/>
      <c r="AT126" s="55"/>
      <c r="CB126" s="56"/>
      <c r="CC126" s="54"/>
    </row>
    <row r="127" spans="2:81">
      <c r="B127" s="52" t="str">
        <f>IF(F127&lt;&gt;"",SUBTOTAL(3,$F$5:F127),"")</f>
        <v/>
      </c>
      <c r="C127" s="52"/>
      <c r="D127" s="53"/>
      <c r="E127" s="53"/>
      <c r="F127" s="53"/>
      <c r="G127" s="106"/>
      <c r="H127" s="100"/>
      <c r="I127" s="106"/>
      <c r="J127" s="100"/>
      <c r="K127" s="55"/>
      <c r="AS127" s="56"/>
      <c r="AT127" s="55"/>
      <c r="CB127" s="56"/>
      <c r="CC127" s="54"/>
    </row>
    <row r="128" spans="2:81">
      <c r="B128" s="52" t="str">
        <f>IF(F128&lt;&gt;"",SUBTOTAL(3,$F$5:F128),"")</f>
        <v/>
      </c>
      <c r="C128" s="52"/>
      <c r="D128" s="53"/>
      <c r="E128" s="53"/>
      <c r="F128" s="53"/>
      <c r="G128" s="106"/>
      <c r="H128" s="100"/>
      <c r="I128" s="106"/>
      <c r="J128" s="100"/>
      <c r="K128" s="55"/>
      <c r="AS128" s="56"/>
      <c r="AT128" s="55"/>
      <c r="CB128" s="56"/>
      <c r="CC128" s="54"/>
    </row>
    <row r="129" spans="2:81">
      <c r="B129" s="52" t="str">
        <f>IF(F129&lt;&gt;"",SUBTOTAL(3,$F$5:F129),"")</f>
        <v/>
      </c>
      <c r="C129" s="52"/>
      <c r="D129" s="53"/>
      <c r="E129" s="53"/>
      <c r="F129" s="53"/>
      <c r="G129" s="106"/>
      <c r="H129" s="100"/>
      <c r="I129" s="106"/>
      <c r="J129" s="100"/>
      <c r="K129" s="55"/>
      <c r="AS129" s="56"/>
      <c r="AT129" s="55"/>
      <c r="CB129" s="56"/>
      <c r="CC129" s="54"/>
    </row>
    <row r="130" spans="2:81">
      <c r="B130" s="52" t="str">
        <f>IF(F130&lt;&gt;"",SUBTOTAL(3,$F$5:F130),"")</f>
        <v/>
      </c>
      <c r="C130" s="52"/>
      <c r="D130" s="53"/>
      <c r="E130" s="53"/>
      <c r="F130" s="53"/>
      <c r="G130" s="106"/>
      <c r="H130" s="100"/>
      <c r="I130" s="106"/>
      <c r="J130" s="100"/>
      <c r="K130" s="55"/>
      <c r="AS130" s="56"/>
      <c r="AT130" s="55"/>
      <c r="CB130" s="56"/>
      <c r="CC130" s="54"/>
    </row>
    <row r="131" spans="2:81">
      <c r="B131" s="52" t="str">
        <f>IF(F131&lt;&gt;"",SUBTOTAL(3,$F$5:F131),"")</f>
        <v/>
      </c>
      <c r="C131" s="52"/>
      <c r="D131" s="53"/>
      <c r="E131" s="53"/>
      <c r="F131" s="53"/>
      <c r="G131" s="106"/>
      <c r="H131" s="100"/>
      <c r="I131" s="106"/>
      <c r="J131" s="100"/>
      <c r="K131" s="55"/>
      <c r="AS131" s="56"/>
      <c r="AT131" s="55"/>
      <c r="CB131" s="56"/>
      <c r="CC131" s="54"/>
    </row>
    <row r="132" spans="2:81">
      <c r="B132" s="52" t="str">
        <f>IF(F132&lt;&gt;"",SUBTOTAL(3,$F$5:F132),"")</f>
        <v/>
      </c>
      <c r="C132" s="52"/>
      <c r="D132" s="53"/>
      <c r="E132" s="53"/>
      <c r="F132" s="53"/>
      <c r="G132" s="106"/>
      <c r="H132" s="100"/>
      <c r="I132" s="106"/>
      <c r="J132" s="100"/>
      <c r="K132" s="55"/>
      <c r="AS132" s="56"/>
      <c r="AT132" s="55"/>
      <c r="CB132" s="56"/>
      <c r="CC132" s="54"/>
    </row>
    <row r="133" spans="2:81">
      <c r="B133" s="52" t="str">
        <f>IF(F133&lt;&gt;"",SUBTOTAL(3,$F$5:F133),"")</f>
        <v/>
      </c>
      <c r="C133" s="52"/>
      <c r="D133" s="53"/>
      <c r="E133" s="53"/>
      <c r="F133" s="53"/>
      <c r="G133" s="106"/>
      <c r="H133" s="100"/>
      <c r="I133" s="106"/>
      <c r="J133" s="100"/>
      <c r="K133" s="55"/>
      <c r="AS133" s="56"/>
      <c r="AT133" s="55"/>
      <c r="CB133" s="56"/>
      <c r="CC133" s="54"/>
    </row>
    <row r="134" spans="2:81">
      <c r="B134" s="52" t="str">
        <f>IF(F134&lt;&gt;"",SUBTOTAL(3,$F$5:F134),"")</f>
        <v/>
      </c>
      <c r="C134" s="52"/>
      <c r="D134" s="53"/>
      <c r="E134" s="53"/>
      <c r="F134" s="53"/>
      <c r="G134" s="106"/>
      <c r="H134" s="100"/>
      <c r="I134" s="106"/>
      <c r="J134" s="100"/>
      <c r="K134" s="55"/>
      <c r="AS134" s="56"/>
      <c r="AT134" s="55"/>
      <c r="CB134" s="56"/>
      <c r="CC134" s="54"/>
    </row>
    <row r="135" spans="2:81">
      <c r="B135" s="52" t="str">
        <f>IF(F135&lt;&gt;"",SUBTOTAL(3,$F$5:F135),"")</f>
        <v/>
      </c>
      <c r="C135" s="52"/>
      <c r="D135" s="53"/>
      <c r="E135" s="53"/>
      <c r="F135" s="53"/>
      <c r="G135" s="106"/>
      <c r="H135" s="100"/>
      <c r="I135" s="106"/>
      <c r="J135" s="100"/>
      <c r="K135" s="55"/>
      <c r="AS135" s="56"/>
      <c r="AT135" s="55"/>
      <c r="CB135" s="56"/>
      <c r="CC135" s="54"/>
    </row>
    <row r="136" spans="2:81">
      <c r="B136" s="52" t="str">
        <f>IF(F136&lt;&gt;"",SUBTOTAL(3,$F$5:F136),"")</f>
        <v/>
      </c>
      <c r="C136" s="52"/>
      <c r="D136" s="53"/>
      <c r="E136" s="53"/>
      <c r="F136" s="53"/>
      <c r="G136" s="106"/>
      <c r="H136" s="100"/>
      <c r="I136" s="106"/>
      <c r="J136" s="100"/>
      <c r="K136" s="55"/>
      <c r="AS136" s="56"/>
      <c r="AT136" s="55"/>
      <c r="CB136" s="56"/>
      <c r="CC136" s="54"/>
    </row>
    <row r="137" spans="2:81">
      <c r="B137" s="52" t="str">
        <f>IF(F137&lt;&gt;"",SUBTOTAL(3,$F$5:F137),"")</f>
        <v/>
      </c>
      <c r="C137" s="52"/>
      <c r="D137" s="53"/>
      <c r="E137" s="53"/>
      <c r="F137" s="53"/>
      <c r="G137" s="106"/>
      <c r="H137" s="100"/>
      <c r="I137" s="106"/>
      <c r="J137" s="100"/>
      <c r="K137" s="55"/>
      <c r="AS137" s="56"/>
      <c r="AT137" s="55"/>
      <c r="CB137" s="56"/>
      <c r="CC137" s="54"/>
    </row>
    <row r="138" spans="2:81">
      <c r="B138" s="52" t="str">
        <f>IF(F138&lt;&gt;"",SUBTOTAL(3,$F$5:F138),"")</f>
        <v/>
      </c>
      <c r="C138" s="52"/>
      <c r="D138" s="53"/>
      <c r="E138" s="53"/>
      <c r="F138" s="53"/>
      <c r="G138" s="106"/>
      <c r="H138" s="100"/>
      <c r="I138" s="106"/>
      <c r="J138" s="100"/>
      <c r="K138" s="55"/>
      <c r="AS138" s="56"/>
      <c r="AT138" s="55"/>
      <c r="CB138" s="56"/>
      <c r="CC138" s="54"/>
    </row>
    <row r="139" spans="2:81">
      <c r="B139" s="52" t="str">
        <f>IF(F139&lt;&gt;"",SUBTOTAL(3,$F$5:F139),"")</f>
        <v/>
      </c>
      <c r="C139" s="52"/>
      <c r="D139" s="53"/>
      <c r="E139" s="53"/>
      <c r="F139" s="53"/>
      <c r="G139" s="106"/>
      <c r="H139" s="100"/>
      <c r="I139" s="106"/>
      <c r="J139" s="100"/>
      <c r="K139" s="55"/>
      <c r="AS139" s="56"/>
      <c r="AT139" s="55"/>
      <c r="CB139" s="56"/>
      <c r="CC139" s="54"/>
    </row>
    <row r="140" spans="2:81">
      <c r="B140" s="52" t="str">
        <f>IF(F140&lt;&gt;"",SUBTOTAL(3,$F$5:F140),"")</f>
        <v/>
      </c>
      <c r="C140" s="52"/>
      <c r="D140" s="53"/>
      <c r="E140" s="53"/>
      <c r="F140" s="53"/>
      <c r="G140" s="106"/>
      <c r="H140" s="100"/>
      <c r="I140" s="106"/>
      <c r="J140" s="100"/>
      <c r="K140" s="55"/>
      <c r="AS140" s="56"/>
      <c r="AT140" s="55"/>
      <c r="CB140" s="56"/>
      <c r="CC140" s="54"/>
    </row>
    <row r="141" spans="2:81">
      <c r="B141" s="52" t="str">
        <f>IF(F141&lt;&gt;"",SUBTOTAL(3,$F$5:F141),"")</f>
        <v/>
      </c>
      <c r="C141" s="52"/>
      <c r="D141" s="53"/>
      <c r="E141" s="53"/>
      <c r="F141" s="53"/>
      <c r="G141" s="106"/>
      <c r="H141" s="100"/>
      <c r="I141" s="106"/>
      <c r="J141" s="100"/>
      <c r="K141" s="55"/>
      <c r="AS141" s="56"/>
      <c r="AT141" s="55"/>
      <c r="CB141" s="56"/>
      <c r="CC141" s="54"/>
    </row>
    <row r="142" spans="2:81">
      <c r="B142" s="52" t="str">
        <f>IF(F142&lt;&gt;"",SUBTOTAL(3,$F$5:F142),"")</f>
        <v/>
      </c>
      <c r="C142" s="52"/>
      <c r="D142" s="53"/>
      <c r="E142" s="53"/>
      <c r="F142" s="53"/>
      <c r="G142" s="106"/>
      <c r="H142" s="100"/>
      <c r="I142" s="106"/>
      <c r="J142" s="100"/>
      <c r="K142" s="55"/>
      <c r="AS142" s="56"/>
      <c r="AT142" s="55"/>
      <c r="CB142" s="56"/>
      <c r="CC142" s="54"/>
    </row>
    <row r="143" spans="2:81">
      <c r="B143" s="52" t="str">
        <f>IF(F143&lt;&gt;"",SUBTOTAL(3,$F$5:F143),"")</f>
        <v/>
      </c>
      <c r="C143" s="52"/>
      <c r="D143" s="53"/>
      <c r="E143" s="53"/>
      <c r="F143" s="53"/>
      <c r="G143" s="106"/>
      <c r="H143" s="100"/>
      <c r="I143" s="106"/>
      <c r="J143" s="100"/>
      <c r="K143" s="55"/>
      <c r="AS143" s="56"/>
      <c r="AT143" s="55"/>
      <c r="CB143" s="56"/>
      <c r="CC143" s="54"/>
    </row>
    <row r="144" spans="2:81">
      <c r="B144" s="52" t="str">
        <f>IF(F144&lt;&gt;"",SUBTOTAL(3,$F$5:F144),"")</f>
        <v/>
      </c>
      <c r="C144" s="52"/>
      <c r="D144" s="53"/>
      <c r="E144" s="53"/>
      <c r="F144" s="53"/>
      <c r="G144" s="106"/>
      <c r="H144" s="100"/>
      <c r="I144" s="106"/>
      <c r="J144" s="100"/>
      <c r="K144" s="55"/>
      <c r="AS144" s="56"/>
      <c r="AT144" s="55"/>
      <c r="CB144" s="56"/>
      <c r="CC144" s="54"/>
    </row>
    <row r="145" spans="2:81">
      <c r="B145" s="52" t="str">
        <f>IF(F145&lt;&gt;"",SUBTOTAL(3,$F$5:F145),"")</f>
        <v/>
      </c>
      <c r="C145" s="52"/>
      <c r="D145" s="53"/>
      <c r="E145" s="53"/>
      <c r="F145" s="53"/>
      <c r="G145" s="106"/>
      <c r="H145" s="100"/>
      <c r="I145" s="106"/>
      <c r="J145" s="100"/>
      <c r="K145" s="55"/>
      <c r="AS145" s="56"/>
      <c r="AT145" s="55"/>
      <c r="CB145" s="56"/>
      <c r="CC145" s="54"/>
    </row>
    <row r="146" spans="2:81">
      <c r="B146" s="52" t="str">
        <f>IF(F146&lt;&gt;"",SUBTOTAL(3,$F$5:F146),"")</f>
        <v/>
      </c>
      <c r="C146" s="52"/>
      <c r="D146" s="53"/>
      <c r="E146" s="53"/>
      <c r="F146" s="53"/>
      <c r="G146" s="106"/>
      <c r="H146" s="100"/>
      <c r="I146" s="106"/>
      <c r="J146" s="100"/>
      <c r="K146" s="55"/>
      <c r="AS146" s="56"/>
      <c r="AT146" s="55"/>
      <c r="CB146" s="56"/>
      <c r="CC146" s="54"/>
    </row>
    <row r="147" spans="2:81">
      <c r="B147" s="52" t="str">
        <f>IF(F147&lt;&gt;"",SUBTOTAL(3,$F$5:F147),"")</f>
        <v/>
      </c>
      <c r="C147" s="52"/>
      <c r="D147" s="53"/>
      <c r="E147" s="53"/>
      <c r="F147" s="53"/>
      <c r="G147" s="106"/>
      <c r="H147" s="100"/>
      <c r="I147" s="106"/>
      <c r="J147" s="100"/>
      <c r="K147" s="55"/>
      <c r="AS147" s="56"/>
      <c r="AT147" s="55"/>
      <c r="CB147" s="56"/>
      <c r="CC147" s="54"/>
    </row>
    <row r="148" spans="2:81">
      <c r="B148" s="52" t="str">
        <f>IF(F148&lt;&gt;"",SUBTOTAL(3,$F$5:F148),"")</f>
        <v/>
      </c>
      <c r="C148" s="52"/>
      <c r="D148" s="53"/>
      <c r="E148" s="53"/>
      <c r="F148" s="53"/>
      <c r="G148" s="106"/>
      <c r="H148" s="100"/>
      <c r="I148" s="106"/>
      <c r="J148" s="100"/>
      <c r="K148" s="55"/>
      <c r="AS148" s="56"/>
      <c r="AT148" s="55"/>
      <c r="CB148" s="56"/>
      <c r="CC148" s="54"/>
    </row>
    <row r="149" spans="2:81">
      <c r="B149" s="52" t="str">
        <f>IF(F149&lt;&gt;"",SUBTOTAL(3,$F$5:F149),"")</f>
        <v/>
      </c>
      <c r="C149" s="52"/>
      <c r="D149" s="53"/>
      <c r="E149" s="53"/>
      <c r="F149" s="53"/>
      <c r="G149" s="106"/>
      <c r="H149" s="100"/>
      <c r="I149" s="106"/>
      <c r="J149" s="100"/>
      <c r="K149" s="55"/>
      <c r="AS149" s="56"/>
      <c r="AT149" s="55"/>
      <c r="CB149" s="56"/>
      <c r="CC149" s="54"/>
    </row>
    <row r="150" spans="2:81">
      <c r="B150" s="52" t="str">
        <f>IF(F150&lt;&gt;"",SUBTOTAL(3,$F$5:F150),"")</f>
        <v/>
      </c>
      <c r="C150" s="52"/>
      <c r="D150" s="53"/>
      <c r="E150" s="53"/>
      <c r="F150" s="53"/>
      <c r="G150" s="106"/>
      <c r="H150" s="100"/>
      <c r="I150" s="106"/>
      <c r="J150" s="100"/>
      <c r="K150" s="55"/>
      <c r="AS150" s="56"/>
      <c r="AT150" s="55"/>
      <c r="CB150" s="56"/>
      <c r="CC150" s="54"/>
    </row>
    <row r="151" spans="2:81">
      <c r="B151" s="52" t="str">
        <f>IF(F151&lt;&gt;"",SUBTOTAL(3,$F$5:F151),"")</f>
        <v/>
      </c>
      <c r="C151" s="52"/>
      <c r="D151" s="53"/>
      <c r="E151" s="53"/>
      <c r="F151" s="53"/>
      <c r="G151" s="106"/>
      <c r="H151" s="100"/>
      <c r="I151" s="106"/>
      <c r="J151" s="100"/>
      <c r="K151" s="55"/>
      <c r="AS151" s="56"/>
      <c r="AT151" s="55"/>
      <c r="CB151" s="56"/>
      <c r="CC151" s="54"/>
    </row>
    <row r="152" spans="2:81">
      <c r="B152" s="52" t="str">
        <f>IF(F152&lt;&gt;"",SUBTOTAL(3,$F$5:F152),"")</f>
        <v/>
      </c>
      <c r="C152" s="52"/>
      <c r="D152" s="53"/>
      <c r="E152" s="53"/>
      <c r="F152" s="53"/>
      <c r="G152" s="106"/>
      <c r="H152" s="100"/>
      <c r="I152" s="106"/>
      <c r="J152" s="100"/>
      <c r="K152" s="55"/>
      <c r="AS152" s="56"/>
      <c r="AT152" s="55"/>
      <c r="CB152" s="56"/>
      <c r="CC152" s="54"/>
    </row>
    <row r="153" spans="2:81">
      <c r="B153" s="52" t="str">
        <f>IF(F153&lt;&gt;"",SUBTOTAL(3,$F$5:F153),"")</f>
        <v/>
      </c>
      <c r="C153" s="52"/>
      <c r="D153" s="53"/>
      <c r="E153" s="53"/>
      <c r="F153" s="53"/>
      <c r="G153" s="106"/>
      <c r="H153" s="100"/>
      <c r="I153" s="106"/>
      <c r="J153" s="100"/>
      <c r="K153" s="55"/>
      <c r="AS153" s="56"/>
      <c r="AT153" s="55"/>
      <c r="CB153" s="56"/>
      <c r="CC153" s="54"/>
    </row>
    <row r="154" spans="2:81">
      <c r="B154" s="52" t="str">
        <f>IF(F154&lt;&gt;"",SUBTOTAL(3,$F$5:F154),"")</f>
        <v/>
      </c>
      <c r="C154" s="52"/>
      <c r="D154" s="53"/>
      <c r="E154" s="53"/>
      <c r="F154" s="53"/>
      <c r="G154" s="106"/>
      <c r="H154" s="100"/>
      <c r="I154" s="106"/>
      <c r="J154" s="100"/>
      <c r="K154" s="55"/>
      <c r="AS154" s="56"/>
      <c r="AT154" s="55"/>
      <c r="CB154" s="56"/>
      <c r="CC154" s="54"/>
    </row>
    <row r="155" spans="2:81">
      <c r="B155" s="52" t="str">
        <f>IF(F155&lt;&gt;"",SUBTOTAL(3,$F$5:F155),"")</f>
        <v/>
      </c>
      <c r="C155" s="52"/>
      <c r="D155" s="53"/>
      <c r="E155" s="53"/>
      <c r="F155" s="53"/>
      <c r="G155" s="106"/>
      <c r="H155" s="100"/>
      <c r="I155" s="106"/>
      <c r="J155" s="100"/>
      <c r="K155" s="55"/>
      <c r="AS155" s="56"/>
      <c r="AT155" s="55"/>
      <c r="CB155" s="56"/>
      <c r="CC155" s="54"/>
    </row>
    <row r="156" spans="2:81">
      <c r="B156" s="52" t="str">
        <f>IF(F156&lt;&gt;"",SUBTOTAL(3,$F$5:F156),"")</f>
        <v/>
      </c>
      <c r="C156" s="52"/>
      <c r="D156" s="53"/>
      <c r="E156" s="53"/>
      <c r="F156" s="53"/>
      <c r="G156" s="106"/>
      <c r="H156" s="100"/>
      <c r="I156" s="106"/>
      <c r="J156" s="100"/>
      <c r="K156" s="55"/>
      <c r="AS156" s="56"/>
      <c r="AT156" s="55"/>
      <c r="CB156" s="56"/>
      <c r="CC156" s="54"/>
    </row>
    <row r="157" spans="2:81">
      <c r="B157" s="52" t="str">
        <f>IF(F157&lt;&gt;"",SUBTOTAL(3,$F$5:F157),"")</f>
        <v/>
      </c>
      <c r="C157" s="52"/>
      <c r="D157" s="53"/>
      <c r="E157" s="53"/>
      <c r="F157" s="53"/>
      <c r="G157" s="106"/>
      <c r="H157" s="100"/>
      <c r="I157" s="106"/>
      <c r="J157" s="100"/>
      <c r="K157" s="55"/>
      <c r="AS157" s="56"/>
      <c r="AT157" s="55"/>
      <c r="CB157" s="56"/>
      <c r="CC157" s="54"/>
    </row>
    <row r="158" spans="2:81">
      <c r="B158" s="52" t="str">
        <f>IF(F158&lt;&gt;"",SUBTOTAL(3,$F$5:F158),"")</f>
        <v/>
      </c>
      <c r="C158" s="52"/>
      <c r="D158" s="53"/>
      <c r="E158" s="53"/>
      <c r="F158" s="53"/>
      <c r="G158" s="106"/>
      <c r="H158" s="100"/>
      <c r="I158" s="106"/>
      <c r="J158" s="100"/>
      <c r="K158" s="55"/>
      <c r="AS158" s="56"/>
      <c r="AT158" s="55"/>
      <c r="CB158" s="56"/>
      <c r="CC158" s="54"/>
    </row>
    <row r="159" spans="2:81">
      <c r="B159" s="52" t="str">
        <f>IF(F159&lt;&gt;"",SUBTOTAL(3,$F$5:F159),"")</f>
        <v/>
      </c>
      <c r="C159" s="52"/>
      <c r="D159" s="53"/>
      <c r="E159" s="53"/>
      <c r="F159" s="53"/>
      <c r="G159" s="106"/>
      <c r="H159" s="100"/>
      <c r="I159" s="106"/>
      <c r="J159" s="100"/>
      <c r="K159" s="55"/>
      <c r="AS159" s="56"/>
      <c r="AT159" s="55"/>
      <c r="CB159" s="56"/>
      <c r="CC159" s="54"/>
    </row>
    <row r="160" spans="2:81">
      <c r="B160" s="52" t="str">
        <f>IF(F160&lt;&gt;"",SUBTOTAL(3,$F$5:F160),"")</f>
        <v/>
      </c>
      <c r="C160" s="52"/>
      <c r="D160" s="53"/>
      <c r="E160" s="53"/>
      <c r="F160" s="53"/>
      <c r="G160" s="106"/>
      <c r="H160" s="100"/>
      <c r="I160" s="106"/>
      <c r="J160" s="100"/>
      <c r="K160" s="55"/>
      <c r="AS160" s="56"/>
      <c r="AT160" s="55"/>
      <c r="CB160" s="56"/>
      <c r="CC160" s="54"/>
    </row>
    <row r="161" spans="2:81">
      <c r="B161" s="52" t="str">
        <f>IF(F161&lt;&gt;"",SUBTOTAL(3,$F$5:F161),"")</f>
        <v/>
      </c>
      <c r="C161" s="52"/>
      <c r="D161" s="53"/>
      <c r="E161" s="53"/>
      <c r="F161" s="53"/>
      <c r="G161" s="106"/>
      <c r="H161" s="100"/>
      <c r="I161" s="106"/>
      <c r="J161" s="100"/>
      <c r="K161" s="55"/>
      <c r="AS161" s="56"/>
      <c r="AT161" s="55"/>
      <c r="CB161" s="56"/>
      <c r="CC161" s="54"/>
    </row>
    <row r="162" spans="2:81">
      <c r="B162" s="52" t="str">
        <f>IF(F162&lt;&gt;"",SUBTOTAL(3,$F$5:F162),"")</f>
        <v/>
      </c>
      <c r="C162" s="52"/>
      <c r="D162" s="53"/>
      <c r="E162" s="53"/>
      <c r="F162" s="53"/>
      <c r="G162" s="106"/>
      <c r="H162" s="100"/>
      <c r="I162" s="106"/>
      <c r="J162" s="100"/>
      <c r="K162" s="55"/>
      <c r="AS162" s="56"/>
      <c r="AT162" s="55"/>
      <c r="CB162" s="56"/>
      <c r="CC162" s="54"/>
    </row>
    <row r="163" spans="2:81">
      <c r="B163" s="52" t="str">
        <f>IF(F163&lt;&gt;"",SUBTOTAL(3,$F$5:F163),"")</f>
        <v/>
      </c>
      <c r="C163" s="52"/>
      <c r="D163" s="53"/>
      <c r="E163" s="53"/>
      <c r="F163" s="53"/>
      <c r="G163" s="106"/>
      <c r="H163" s="100"/>
      <c r="I163" s="106"/>
      <c r="J163" s="100"/>
      <c r="K163" s="55"/>
      <c r="AS163" s="56"/>
      <c r="AT163" s="55"/>
      <c r="CB163" s="56"/>
      <c r="CC163" s="54"/>
    </row>
    <row r="164" spans="2:81">
      <c r="B164" s="52" t="str">
        <f>IF(F164&lt;&gt;"",SUBTOTAL(3,$F$5:F164),"")</f>
        <v/>
      </c>
      <c r="C164" s="52"/>
      <c r="D164" s="53"/>
      <c r="E164" s="53"/>
      <c r="F164" s="53"/>
      <c r="G164" s="106"/>
      <c r="H164" s="100"/>
      <c r="I164" s="106"/>
      <c r="J164" s="100"/>
      <c r="K164" s="55"/>
      <c r="AS164" s="56"/>
      <c r="AT164" s="55"/>
      <c r="CB164" s="56"/>
      <c r="CC164" s="54"/>
    </row>
    <row r="165" spans="2:81">
      <c r="B165" s="52" t="str">
        <f>IF(F165&lt;&gt;"",SUBTOTAL(3,$F$5:F165),"")</f>
        <v/>
      </c>
      <c r="C165" s="52"/>
      <c r="D165" s="53"/>
      <c r="E165" s="53"/>
      <c r="F165" s="53"/>
      <c r="G165" s="106"/>
      <c r="H165" s="100"/>
      <c r="I165" s="106"/>
      <c r="J165" s="100"/>
      <c r="K165" s="55"/>
      <c r="AS165" s="56"/>
      <c r="AT165" s="55"/>
      <c r="CB165" s="56"/>
      <c r="CC165" s="54"/>
    </row>
    <row r="166" spans="2:81">
      <c r="B166" s="52" t="str">
        <f>IF(F166&lt;&gt;"",SUBTOTAL(3,$F$5:F166),"")</f>
        <v/>
      </c>
      <c r="C166" s="52"/>
      <c r="D166" s="53"/>
      <c r="E166" s="53"/>
      <c r="F166" s="53"/>
      <c r="G166" s="106"/>
      <c r="H166" s="100"/>
      <c r="I166" s="106"/>
      <c r="J166" s="100"/>
      <c r="K166" s="55"/>
      <c r="AS166" s="56"/>
      <c r="AT166" s="55"/>
      <c r="CB166" s="56"/>
      <c r="CC166" s="54"/>
    </row>
    <row r="167" spans="2:81">
      <c r="B167" s="52" t="str">
        <f>IF(F167&lt;&gt;"",SUBTOTAL(3,$F$5:F167),"")</f>
        <v/>
      </c>
      <c r="C167" s="52"/>
      <c r="D167" s="53"/>
      <c r="E167" s="53"/>
      <c r="F167" s="53"/>
      <c r="G167" s="106"/>
      <c r="H167" s="100"/>
      <c r="I167" s="106"/>
      <c r="J167" s="100"/>
      <c r="K167" s="55"/>
      <c r="AS167" s="56"/>
      <c r="AT167" s="55"/>
      <c r="CB167" s="56"/>
      <c r="CC167" s="54"/>
    </row>
    <row r="168" spans="2:81">
      <c r="B168" s="52" t="str">
        <f>IF(F168&lt;&gt;"",SUBTOTAL(3,$F$5:F168),"")</f>
        <v/>
      </c>
      <c r="C168" s="52"/>
      <c r="D168" s="53"/>
      <c r="E168" s="53"/>
      <c r="F168" s="53"/>
      <c r="G168" s="106"/>
      <c r="H168" s="100"/>
      <c r="I168" s="106"/>
      <c r="J168" s="100"/>
      <c r="K168" s="55"/>
      <c r="AS168" s="56"/>
      <c r="AT168" s="55"/>
      <c r="CB168" s="56"/>
      <c r="CC168" s="54"/>
    </row>
    <row r="169" spans="2:81">
      <c r="B169" s="52" t="str">
        <f>IF(F169&lt;&gt;"",SUBTOTAL(3,$F$5:F169),"")</f>
        <v/>
      </c>
      <c r="C169" s="52"/>
      <c r="D169" s="53"/>
      <c r="E169" s="53"/>
      <c r="F169" s="53"/>
      <c r="G169" s="106"/>
      <c r="H169" s="100"/>
      <c r="I169" s="106"/>
      <c r="J169" s="100"/>
      <c r="K169" s="55"/>
      <c r="AS169" s="56"/>
      <c r="AT169" s="55"/>
      <c r="CB169" s="56"/>
      <c r="CC169" s="54"/>
    </row>
    <row r="170" spans="2:81">
      <c r="B170" s="52" t="str">
        <f>IF(F170&lt;&gt;"",SUBTOTAL(3,$F$5:F170),"")</f>
        <v/>
      </c>
      <c r="C170" s="52"/>
      <c r="D170" s="53"/>
      <c r="E170" s="53"/>
      <c r="F170" s="53"/>
      <c r="G170" s="106"/>
      <c r="H170" s="100"/>
      <c r="I170" s="106"/>
      <c r="J170" s="100"/>
      <c r="K170" s="55"/>
      <c r="AS170" s="56"/>
      <c r="AT170" s="55"/>
      <c r="CB170" s="56"/>
      <c r="CC170" s="54"/>
    </row>
    <row r="171" spans="2:81">
      <c r="B171" s="52" t="str">
        <f>IF(F171&lt;&gt;"",SUBTOTAL(3,$F$5:F171),"")</f>
        <v/>
      </c>
      <c r="C171" s="52"/>
      <c r="D171" s="53"/>
      <c r="E171" s="53"/>
      <c r="F171" s="53"/>
      <c r="G171" s="106"/>
      <c r="H171" s="100"/>
      <c r="I171" s="106"/>
      <c r="J171" s="100"/>
      <c r="K171" s="55"/>
      <c r="AS171" s="56"/>
      <c r="AT171" s="55"/>
      <c r="CB171" s="56"/>
      <c r="CC171" s="54"/>
    </row>
    <row r="172" spans="2:81">
      <c r="B172" s="52" t="str">
        <f>IF(F172&lt;&gt;"",SUBTOTAL(3,$F$5:F172),"")</f>
        <v/>
      </c>
      <c r="C172" s="52"/>
      <c r="D172" s="53"/>
      <c r="E172" s="53"/>
      <c r="F172" s="53"/>
      <c r="G172" s="106"/>
      <c r="H172" s="100"/>
      <c r="I172" s="106"/>
      <c r="J172" s="100"/>
      <c r="K172" s="55"/>
      <c r="AS172" s="56"/>
      <c r="AT172" s="55"/>
      <c r="CB172" s="56"/>
      <c r="CC172" s="54"/>
    </row>
    <row r="173" spans="2:81">
      <c r="B173" s="52" t="str">
        <f>IF(F173&lt;&gt;"",SUBTOTAL(3,$F$5:F173),"")</f>
        <v/>
      </c>
      <c r="C173" s="52"/>
      <c r="D173" s="53"/>
      <c r="E173" s="53"/>
      <c r="F173" s="53"/>
      <c r="G173" s="106"/>
      <c r="H173" s="100"/>
      <c r="I173" s="106"/>
      <c r="J173" s="100"/>
      <c r="K173" s="55"/>
      <c r="AS173" s="56"/>
      <c r="AT173" s="55"/>
      <c r="CB173" s="56"/>
      <c r="CC173" s="54"/>
    </row>
    <row r="174" spans="2:81">
      <c r="B174" s="52" t="str">
        <f>IF(F174&lt;&gt;"",SUBTOTAL(3,$F$5:F174),"")</f>
        <v/>
      </c>
      <c r="C174" s="52"/>
      <c r="D174" s="53"/>
      <c r="E174" s="53"/>
      <c r="F174" s="53"/>
      <c r="G174" s="106"/>
      <c r="H174" s="100"/>
      <c r="I174" s="106"/>
      <c r="J174" s="100"/>
      <c r="K174" s="55"/>
      <c r="AS174" s="56"/>
      <c r="AT174" s="55"/>
      <c r="CB174" s="56"/>
      <c r="CC174" s="54"/>
    </row>
    <row r="175" spans="2:81">
      <c r="B175" s="52" t="str">
        <f>IF(F175&lt;&gt;"",SUBTOTAL(3,$F$5:F175),"")</f>
        <v/>
      </c>
      <c r="C175" s="52"/>
      <c r="D175" s="53"/>
      <c r="E175" s="53"/>
      <c r="F175" s="53"/>
      <c r="G175" s="106"/>
      <c r="H175" s="100"/>
      <c r="I175" s="106"/>
      <c r="J175" s="100"/>
      <c r="K175" s="55"/>
      <c r="AS175" s="56"/>
      <c r="AT175" s="55"/>
      <c r="CB175" s="56"/>
      <c r="CC175" s="54"/>
    </row>
    <row r="176" spans="2:81">
      <c r="B176" s="52" t="str">
        <f>IF(F176&lt;&gt;"",SUBTOTAL(3,$F$5:F176),"")</f>
        <v/>
      </c>
      <c r="C176" s="52"/>
      <c r="D176" s="53"/>
      <c r="E176" s="53"/>
      <c r="F176" s="53"/>
      <c r="G176" s="106"/>
      <c r="H176" s="100"/>
      <c r="I176" s="106"/>
      <c r="J176" s="100"/>
      <c r="K176" s="55"/>
      <c r="AS176" s="56"/>
      <c r="AT176" s="55"/>
      <c r="CB176" s="56"/>
      <c r="CC176" s="54"/>
    </row>
    <row r="177" spans="2:81">
      <c r="B177" s="52" t="str">
        <f>IF(F177&lt;&gt;"",SUBTOTAL(3,$F$5:F177),"")</f>
        <v/>
      </c>
      <c r="C177" s="52"/>
      <c r="D177" s="53"/>
      <c r="E177" s="53"/>
      <c r="F177" s="53"/>
      <c r="G177" s="106"/>
      <c r="H177" s="100"/>
      <c r="I177" s="106"/>
      <c r="J177" s="100"/>
      <c r="K177" s="55"/>
      <c r="AS177" s="56"/>
      <c r="AT177" s="55"/>
      <c r="CB177" s="56"/>
      <c r="CC177" s="54"/>
    </row>
    <row r="178" spans="2:81">
      <c r="B178" s="52" t="str">
        <f>IF(F178&lt;&gt;"",SUBTOTAL(3,$F$5:F178),"")</f>
        <v/>
      </c>
      <c r="C178" s="52"/>
      <c r="D178" s="53"/>
      <c r="E178" s="53"/>
      <c r="F178" s="53"/>
      <c r="G178" s="106"/>
      <c r="H178" s="100"/>
      <c r="I178" s="106"/>
      <c r="J178" s="100"/>
      <c r="K178" s="55"/>
      <c r="AS178" s="56"/>
      <c r="AT178" s="55"/>
      <c r="CB178" s="56"/>
      <c r="CC178" s="54"/>
    </row>
    <row r="179" spans="2:81">
      <c r="B179" s="52" t="str">
        <f>IF(F179&lt;&gt;"",SUBTOTAL(3,$F$5:F179),"")</f>
        <v/>
      </c>
      <c r="C179" s="52"/>
      <c r="D179" s="53"/>
      <c r="E179" s="53"/>
      <c r="F179" s="53"/>
      <c r="G179" s="106"/>
      <c r="H179" s="100"/>
      <c r="I179" s="106"/>
      <c r="J179" s="100"/>
      <c r="K179" s="55"/>
      <c r="AS179" s="56"/>
      <c r="AT179" s="55"/>
      <c r="CB179" s="56"/>
      <c r="CC179" s="54"/>
    </row>
    <row r="180" spans="2:81">
      <c r="B180" s="52" t="str">
        <f>IF(F180&lt;&gt;"",SUBTOTAL(3,$F$5:F180),"")</f>
        <v/>
      </c>
      <c r="C180" s="52"/>
      <c r="D180" s="53"/>
      <c r="E180" s="53"/>
      <c r="F180" s="53"/>
      <c r="G180" s="106"/>
      <c r="H180" s="100"/>
      <c r="I180" s="106"/>
      <c r="J180" s="100"/>
      <c r="K180" s="55"/>
      <c r="AS180" s="56"/>
      <c r="AT180" s="55"/>
      <c r="CB180" s="56"/>
      <c r="CC180" s="54"/>
    </row>
    <row r="181" spans="2:81">
      <c r="B181" s="52" t="str">
        <f>IF(F181&lt;&gt;"",SUBTOTAL(3,$F$5:F181),"")</f>
        <v/>
      </c>
      <c r="C181" s="52"/>
      <c r="D181" s="53"/>
      <c r="E181" s="53"/>
      <c r="F181" s="53"/>
      <c r="G181" s="106"/>
      <c r="H181" s="100"/>
      <c r="I181" s="106"/>
      <c r="J181" s="100"/>
      <c r="K181" s="55"/>
      <c r="AS181" s="56"/>
      <c r="AT181" s="55"/>
      <c r="CB181" s="56"/>
      <c r="CC181" s="54"/>
    </row>
    <row r="182" spans="2:81">
      <c r="B182" s="52" t="str">
        <f>IF(F182&lt;&gt;"",SUBTOTAL(3,$F$5:F182),"")</f>
        <v/>
      </c>
      <c r="C182" s="52"/>
      <c r="D182" s="53"/>
      <c r="E182" s="53"/>
      <c r="F182" s="53"/>
      <c r="G182" s="106"/>
      <c r="H182" s="100"/>
      <c r="I182" s="106"/>
      <c r="J182" s="100"/>
      <c r="K182" s="55"/>
      <c r="AS182" s="56"/>
      <c r="AT182" s="55"/>
      <c r="CB182" s="56"/>
      <c r="CC182" s="54"/>
    </row>
    <row r="183" spans="2:81">
      <c r="B183" s="52" t="str">
        <f>IF(F183&lt;&gt;"",SUBTOTAL(3,$F$5:F183),"")</f>
        <v/>
      </c>
      <c r="C183" s="52"/>
      <c r="D183" s="53"/>
      <c r="E183" s="53"/>
      <c r="F183" s="53"/>
      <c r="G183" s="106"/>
      <c r="H183" s="100"/>
      <c r="I183" s="106"/>
      <c r="J183" s="100"/>
      <c r="K183" s="55"/>
      <c r="AS183" s="56"/>
      <c r="AT183" s="55"/>
      <c r="CB183" s="56"/>
      <c r="CC183" s="54"/>
    </row>
    <row r="184" spans="2:81">
      <c r="B184" s="52" t="str">
        <f>IF(F184&lt;&gt;"",SUBTOTAL(3,$F$5:F184),"")</f>
        <v/>
      </c>
      <c r="C184" s="52"/>
      <c r="D184" s="53"/>
      <c r="E184" s="53"/>
      <c r="F184" s="53"/>
      <c r="G184" s="106"/>
      <c r="H184" s="100"/>
      <c r="I184" s="106"/>
      <c r="J184" s="100"/>
      <c r="K184" s="55"/>
      <c r="AS184" s="56"/>
      <c r="AT184" s="55"/>
      <c r="CB184" s="56"/>
      <c r="CC184" s="54"/>
    </row>
    <row r="185" spans="2:81">
      <c r="B185" s="52" t="str">
        <f>IF(F185&lt;&gt;"",SUBTOTAL(3,$F$5:F185),"")</f>
        <v/>
      </c>
      <c r="C185" s="52"/>
      <c r="D185" s="53"/>
      <c r="E185" s="53"/>
      <c r="F185" s="53"/>
      <c r="G185" s="106"/>
      <c r="H185" s="100"/>
      <c r="I185" s="106"/>
      <c r="J185" s="100"/>
      <c r="K185" s="55"/>
      <c r="AS185" s="56"/>
      <c r="AT185" s="55"/>
      <c r="CB185" s="56"/>
      <c r="CC185" s="54"/>
    </row>
    <row r="186" spans="2:81">
      <c r="B186" s="52" t="str">
        <f>IF(F186&lt;&gt;"",SUBTOTAL(3,$F$5:F186),"")</f>
        <v/>
      </c>
      <c r="C186" s="52"/>
      <c r="D186" s="53"/>
      <c r="E186" s="53"/>
      <c r="F186" s="53"/>
      <c r="G186" s="106"/>
      <c r="H186" s="100"/>
      <c r="I186" s="106"/>
      <c r="J186" s="100"/>
      <c r="K186" s="55"/>
      <c r="AS186" s="56"/>
      <c r="AT186" s="55"/>
      <c r="CB186" s="56"/>
      <c r="CC186" s="54"/>
    </row>
    <row r="187" spans="2:81">
      <c r="B187" s="52" t="str">
        <f>IF(F187&lt;&gt;"",SUBTOTAL(3,$F$5:F187),"")</f>
        <v/>
      </c>
      <c r="C187" s="52"/>
      <c r="D187" s="53"/>
      <c r="E187" s="53"/>
      <c r="F187" s="53"/>
      <c r="G187" s="106"/>
      <c r="H187" s="100"/>
      <c r="I187" s="106"/>
      <c r="J187" s="100"/>
      <c r="K187" s="55"/>
      <c r="AS187" s="56"/>
      <c r="AT187" s="55"/>
      <c r="CB187" s="56"/>
      <c r="CC187" s="54"/>
    </row>
    <row r="188" spans="2:81">
      <c r="B188" s="52" t="str">
        <f>IF(F188&lt;&gt;"",SUBTOTAL(3,$F$5:F188),"")</f>
        <v/>
      </c>
      <c r="C188" s="52"/>
      <c r="D188" s="53"/>
      <c r="E188" s="53"/>
      <c r="F188" s="53"/>
      <c r="G188" s="106"/>
      <c r="H188" s="100"/>
      <c r="I188" s="106"/>
      <c r="J188" s="100"/>
      <c r="K188" s="55"/>
      <c r="AS188" s="56"/>
      <c r="AT188" s="55"/>
      <c r="CB188" s="56"/>
      <c r="CC188" s="54"/>
    </row>
    <row r="189" spans="2:81">
      <c r="B189" s="52" t="str">
        <f>IF(F189&lt;&gt;"",SUBTOTAL(3,$F$5:F189),"")</f>
        <v/>
      </c>
      <c r="C189" s="52"/>
      <c r="D189" s="53"/>
      <c r="E189" s="53"/>
      <c r="F189" s="53"/>
      <c r="G189" s="106"/>
      <c r="H189" s="100"/>
      <c r="I189" s="106"/>
      <c r="J189" s="100"/>
      <c r="K189" s="55"/>
      <c r="AS189" s="56"/>
      <c r="AT189" s="55"/>
      <c r="CB189" s="56"/>
      <c r="CC189" s="54"/>
    </row>
    <row r="190" spans="2:81">
      <c r="B190" s="52" t="str">
        <f>IF(F190&lt;&gt;"",SUBTOTAL(3,$F$5:F190),"")</f>
        <v/>
      </c>
      <c r="C190" s="52"/>
      <c r="D190" s="53"/>
      <c r="E190" s="53"/>
      <c r="F190" s="53"/>
      <c r="G190" s="106"/>
      <c r="H190" s="100"/>
      <c r="I190" s="106"/>
      <c r="J190" s="100"/>
      <c r="K190" s="55"/>
      <c r="AS190" s="56"/>
      <c r="AT190" s="55"/>
      <c r="CB190" s="56"/>
      <c r="CC190" s="54"/>
    </row>
    <row r="191" spans="2:81">
      <c r="B191" s="52" t="str">
        <f>IF(F191&lt;&gt;"",SUBTOTAL(3,$F$5:F191),"")</f>
        <v/>
      </c>
      <c r="C191" s="52"/>
      <c r="D191" s="53"/>
      <c r="E191" s="53"/>
      <c r="F191" s="53"/>
      <c r="G191" s="106"/>
      <c r="H191" s="100"/>
      <c r="I191" s="106"/>
      <c r="J191" s="100"/>
      <c r="K191" s="55"/>
      <c r="AS191" s="56"/>
      <c r="AT191" s="55"/>
      <c r="CB191" s="56"/>
      <c r="CC191" s="54"/>
    </row>
    <row r="192" spans="2:81">
      <c r="B192" s="52" t="str">
        <f>IF(F192&lt;&gt;"",SUBTOTAL(3,$F$5:F192),"")</f>
        <v/>
      </c>
      <c r="C192" s="52"/>
      <c r="D192" s="53"/>
      <c r="E192" s="53"/>
      <c r="F192" s="53"/>
      <c r="G192" s="106"/>
      <c r="H192" s="100"/>
      <c r="I192" s="106"/>
      <c r="J192" s="100"/>
      <c r="K192" s="55"/>
      <c r="AS192" s="56"/>
      <c r="AT192" s="55"/>
      <c r="CB192" s="56"/>
      <c r="CC192" s="54"/>
    </row>
    <row r="193" spans="2:81">
      <c r="B193" s="52" t="str">
        <f>IF(F193&lt;&gt;"",SUBTOTAL(3,$F$5:F193),"")</f>
        <v/>
      </c>
      <c r="C193" s="52"/>
      <c r="D193" s="53"/>
      <c r="E193" s="53"/>
      <c r="F193" s="53"/>
      <c r="G193" s="106"/>
      <c r="H193" s="100"/>
      <c r="I193" s="106"/>
      <c r="J193" s="100"/>
      <c r="K193" s="55"/>
      <c r="AS193" s="56"/>
      <c r="AT193" s="55"/>
      <c r="CB193" s="56"/>
      <c r="CC193" s="54"/>
    </row>
    <row r="194" spans="2:81">
      <c r="B194" s="52" t="str">
        <f>IF(F194&lt;&gt;"",SUBTOTAL(3,$F$5:F194),"")</f>
        <v/>
      </c>
      <c r="C194" s="52"/>
      <c r="D194" s="53"/>
      <c r="E194" s="53"/>
      <c r="F194" s="53"/>
      <c r="G194" s="106"/>
      <c r="H194" s="100"/>
      <c r="I194" s="106"/>
      <c r="J194" s="100"/>
      <c r="K194" s="55"/>
      <c r="AS194" s="56"/>
      <c r="AT194" s="55"/>
      <c r="CB194" s="56"/>
      <c r="CC194" s="54"/>
    </row>
    <row r="195" spans="2:81">
      <c r="B195" s="52" t="str">
        <f>IF(F195&lt;&gt;"",SUBTOTAL(3,$F$5:F195),"")</f>
        <v/>
      </c>
      <c r="C195" s="52"/>
      <c r="D195" s="53"/>
      <c r="E195" s="53"/>
      <c r="F195" s="53"/>
      <c r="G195" s="106"/>
      <c r="H195" s="100"/>
      <c r="I195" s="106"/>
      <c r="J195" s="100"/>
      <c r="K195" s="55"/>
      <c r="AS195" s="56"/>
      <c r="AT195" s="55"/>
      <c r="CB195" s="56"/>
      <c r="CC195" s="54"/>
    </row>
    <row r="196" spans="2:81">
      <c r="B196" s="52" t="str">
        <f>IF(F196&lt;&gt;"",SUBTOTAL(3,$F$5:F196),"")</f>
        <v/>
      </c>
      <c r="C196" s="52"/>
      <c r="D196" s="53"/>
      <c r="E196" s="53"/>
      <c r="F196" s="53"/>
      <c r="G196" s="106"/>
      <c r="H196" s="100"/>
      <c r="I196" s="106"/>
      <c r="J196" s="100"/>
      <c r="K196" s="55"/>
      <c r="AS196" s="56"/>
      <c r="AT196" s="55"/>
      <c r="CB196" s="56"/>
      <c r="CC196" s="54"/>
    </row>
    <row r="197" spans="2:81">
      <c r="B197" s="52" t="str">
        <f>IF(F197&lt;&gt;"",SUBTOTAL(3,$F$5:F197),"")</f>
        <v/>
      </c>
      <c r="C197" s="52"/>
      <c r="D197" s="53"/>
      <c r="E197" s="53"/>
      <c r="F197" s="53"/>
      <c r="G197" s="106"/>
      <c r="H197" s="100"/>
      <c r="I197" s="106"/>
      <c r="J197" s="100"/>
      <c r="K197" s="55"/>
      <c r="AS197" s="56"/>
      <c r="AT197" s="55"/>
      <c r="CB197" s="56"/>
      <c r="CC197" s="54"/>
    </row>
    <row r="198" spans="2:81">
      <c r="B198" s="52" t="str">
        <f>IF(F198&lt;&gt;"",SUBTOTAL(3,$F$5:F198),"")</f>
        <v/>
      </c>
      <c r="C198" s="52"/>
      <c r="D198" s="53"/>
      <c r="E198" s="53"/>
      <c r="F198" s="53"/>
      <c r="G198" s="106"/>
      <c r="H198" s="100"/>
      <c r="I198" s="106"/>
      <c r="J198" s="100"/>
      <c r="K198" s="55"/>
      <c r="AS198" s="56"/>
      <c r="AT198" s="55"/>
      <c r="CB198" s="56"/>
      <c r="CC198" s="54"/>
    </row>
    <row r="199" spans="2:81">
      <c r="B199" s="52" t="str">
        <f>IF(F199&lt;&gt;"",SUBTOTAL(3,$F$5:F199),"")</f>
        <v/>
      </c>
      <c r="C199" s="52"/>
      <c r="D199" s="53"/>
      <c r="E199" s="53"/>
      <c r="F199" s="53"/>
      <c r="G199" s="106"/>
      <c r="H199" s="100"/>
      <c r="I199" s="106"/>
      <c r="J199" s="100"/>
      <c r="K199" s="55"/>
      <c r="AS199" s="56"/>
      <c r="AT199" s="55"/>
      <c r="CB199" s="56"/>
      <c r="CC199" s="54"/>
    </row>
    <row r="200" spans="2:81">
      <c r="B200" s="52" t="str">
        <f>IF(F200&lt;&gt;"",SUBTOTAL(3,$F$5:F200),"")</f>
        <v/>
      </c>
      <c r="C200" s="52"/>
      <c r="D200" s="53"/>
      <c r="E200" s="53"/>
      <c r="F200" s="53"/>
      <c r="G200" s="106"/>
      <c r="H200" s="100"/>
      <c r="I200" s="106"/>
      <c r="J200" s="100"/>
      <c r="K200" s="55"/>
      <c r="AS200" s="56"/>
      <c r="AT200" s="55"/>
      <c r="CB200" s="56"/>
      <c r="CC200" s="54"/>
    </row>
    <row r="201" spans="2:81">
      <c r="B201" s="52" t="str">
        <f>IF(F201&lt;&gt;"",SUBTOTAL(3,$F$5:F201),"")</f>
        <v/>
      </c>
      <c r="C201" s="52"/>
      <c r="D201" s="53"/>
      <c r="E201" s="53"/>
      <c r="F201" s="53"/>
      <c r="G201" s="106"/>
      <c r="H201" s="100"/>
      <c r="I201" s="106"/>
      <c r="J201" s="100"/>
      <c r="K201" s="55"/>
      <c r="AS201" s="56"/>
      <c r="AT201" s="55"/>
      <c r="CB201" s="56"/>
      <c r="CC201" s="54"/>
    </row>
    <row r="202" spans="2:81">
      <c r="B202" s="52" t="str">
        <f>IF(F202&lt;&gt;"",SUBTOTAL(3,$F$5:F202),"")</f>
        <v/>
      </c>
      <c r="C202" s="52"/>
      <c r="D202" s="53"/>
      <c r="E202" s="53"/>
      <c r="F202" s="53"/>
      <c r="G202" s="106"/>
      <c r="H202" s="100"/>
      <c r="I202" s="106"/>
      <c r="J202" s="100"/>
      <c r="K202" s="55"/>
      <c r="AS202" s="56"/>
      <c r="AT202" s="55"/>
      <c r="CB202" s="56"/>
      <c r="CC202" s="54"/>
    </row>
    <row r="203" spans="2:81">
      <c r="B203" s="52" t="str">
        <f>IF(F203&lt;&gt;"",SUBTOTAL(3,$F$5:F203),"")</f>
        <v/>
      </c>
      <c r="C203" s="52"/>
      <c r="D203" s="53"/>
      <c r="E203" s="53"/>
      <c r="F203" s="53"/>
      <c r="G203" s="106"/>
      <c r="H203" s="100"/>
      <c r="I203" s="106"/>
      <c r="J203" s="100"/>
      <c r="K203" s="55"/>
      <c r="AS203" s="56"/>
      <c r="AT203" s="55"/>
      <c r="CB203" s="56"/>
      <c r="CC203" s="54"/>
    </row>
    <row r="204" spans="2:81">
      <c r="B204" s="52" t="str">
        <f>IF(F204&lt;&gt;"",SUBTOTAL(3,$F$5:F204),"")</f>
        <v/>
      </c>
      <c r="C204" s="52"/>
      <c r="D204" s="53"/>
      <c r="E204" s="53"/>
      <c r="F204" s="53"/>
      <c r="G204" s="106"/>
      <c r="H204" s="100"/>
      <c r="I204" s="106"/>
      <c r="J204" s="100"/>
      <c r="K204" s="55"/>
      <c r="AS204" s="56"/>
      <c r="AT204" s="55"/>
      <c r="CB204" s="56"/>
      <c r="CC204" s="54"/>
    </row>
    <row r="205" spans="2:81">
      <c r="B205" s="52" t="str">
        <f>IF(F205&lt;&gt;"",SUBTOTAL(3,$F$5:F205),"")</f>
        <v/>
      </c>
      <c r="C205" s="52"/>
      <c r="D205" s="53"/>
      <c r="E205" s="53"/>
      <c r="F205" s="53"/>
      <c r="G205" s="106"/>
      <c r="H205" s="100"/>
      <c r="I205" s="106"/>
      <c r="J205" s="100"/>
      <c r="K205" s="55"/>
      <c r="AS205" s="56"/>
      <c r="AT205" s="55"/>
      <c r="CB205" s="56"/>
      <c r="CC205" s="54"/>
    </row>
    <row r="206" spans="2:81">
      <c r="B206" s="52" t="str">
        <f>IF(F206&lt;&gt;"",SUBTOTAL(3,$F$5:F206),"")</f>
        <v/>
      </c>
      <c r="C206" s="52"/>
      <c r="D206" s="53"/>
      <c r="E206" s="53"/>
      <c r="F206" s="53"/>
      <c r="G206" s="106"/>
      <c r="H206" s="100"/>
      <c r="I206" s="106"/>
      <c r="J206" s="100"/>
      <c r="K206" s="55"/>
      <c r="AS206" s="56"/>
      <c r="AT206" s="55"/>
      <c r="CB206" s="56"/>
      <c r="CC206" s="54"/>
    </row>
    <row r="207" spans="2:81">
      <c r="B207" s="52" t="str">
        <f>IF(F207&lt;&gt;"",SUBTOTAL(3,$F$5:F207),"")</f>
        <v/>
      </c>
      <c r="C207" s="52"/>
      <c r="D207" s="53"/>
      <c r="E207" s="53"/>
      <c r="F207" s="53"/>
      <c r="G207" s="106"/>
      <c r="H207" s="100"/>
      <c r="I207" s="106"/>
      <c r="J207" s="100"/>
      <c r="K207" s="55"/>
      <c r="AS207" s="56"/>
      <c r="AT207" s="55"/>
      <c r="CB207" s="56"/>
      <c r="CC207" s="54"/>
    </row>
    <row r="208" spans="2:81">
      <c r="B208" s="52" t="str">
        <f>IF(F208&lt;&gt;"",SUBTOTAL(3,$F$5:F208),"")</f>
        <v/>
      </c>
      <c r="C208" s="52"/>
      <c r="D208" s="53"/>
      <c r="E208" s="53"/>
      <c r="F208" s="53"/>
      <c r="G208" s="106"/>
      <c r="H208" s="100"/>
      <c r="I208" s="106"/>
      <c r="J208" s="100"/>
      <c r="K208" s="55"/>
      <c r="AS208" s="56"/>
      <c r="AT208" s="55"/>
      <c r="CB208" s="56"/>
      <c r="CC208" s="54"/>
    </row>
    <row r="209" spans="2:81">
      <c r="B209" s="52" t="str">
        <f>IF(F209&lt;&gt;"",SUBTOTAL(3,$F$5:F209),"")</f>
        <v/>
      </c>
      <c r="C209" s="52"/>
      <c r="D209" s="53"/>
      <c r="E209" s="53"/>
      <c r="F209" s="53"/>
      <c r="G209" s="106"/>
      <c r="H209" s="100"/>
      <c r="I209" s="106"/>
      <c r="J209" s="100"/>
      <c r="K209" s="55"/>
      <c r="AS209" s="56"/>
      <c r="AT209" s="55"/>
      <c r="CB209" s="56"/>
      <c r="CC209" s="54"/>
    </row>
    <row r="210" spans="2:81">
      <c r="B210" s="72" t="str">
        <f>IF(F210&lt;&gt;"",SUBTOTAL(3,$F$5:F210),"")</f>
        <v/>
      </c>
      <c r="C210" s="72"/>
      <c r="D210" s="73"/>
      <c r="E210" s="73"/>
      <c r="F210" s="73"/>
      <c r="G210" s="107"/>
      <c r="H210" s="104"/>
      <c r="I210" s="107"/>
      <c r="J210" s="104"/>
      <c r="K210" s="74"/>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6"/>
      <c r="AT210" s="74"/>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6"/>
      <c r="CC210" s="77"/>
    </row>
  </sheetData>
  <autoFilter ref="B4:CC210" xr:uid="{D6185A68-BA48-45E7-B262-844E8111256C}"/>
  <mergeCells count="8">
    <mergeCell ref="AT2:CB3"/>
    <mergeCell ref="CC2:CC3"/>
    <mergeCell ref="B2:B3"/>
    <mergeCell ref="C2:C3"/>
    <mergeCell ref="D2:F2"/>
    <mergeCell ref="G2:H2"/>
    <mergeCell ref="I2:J2"/>
    <mergeCell ref="K2:AS3"/>
  </mergeCells>
  <phoneticPr fontId="2"/>
  <conditionalFormatting sqref="B5:CC7 B9:CC10 B12:CC15 B16:K18 M16:CC18 B19:CC25 B26:Y28 AM26:CC31 B30:AL31 B43:CC210 AB38:CC38 B32:CC37 B38:K42 O39:CC41 Q42:CC42">
    <cfRule type="expression" dxfId="13" priority="15">
      <formula>AND($H5&lt;&gt;1, $H5&lt;&gt;"",$J5&lt;&gt;1)</formula>
    </cfRule>
  </conditionalFormatting>
  <conditionalFormatting sqref="B11:CC11">
    <cfRule type="expression" dxfId="12" priority="14">
      <formula>AND($H11&lt;&gt;1, $H11&lt;&gt;"",$J11&lt;&gt;1)</formula>
    </cfRule>
  </conditionalFormatting>
  <conditionalFormatting sqref="B8:CC8">
    <cfRule type="expression" dxfId="11" priority="13">
      <formula>AND($H8&lt;&gt;1, $H8&lt;&gt;"",$J8&lt;&gt;1)</formula>
    </cfRule>
  </conditionalFormatting>
  <conditionalFormatting sqref="L18">
    <cfRule type="expression" dxfId="10" priority="17">
      <formula>AND($H16&lt;&gt;1, $H16&lt;&gt;"",$J16&lt;&gt;1)</formula>
    </cfRule>
  </conditionalFormatting>
  <conditionalFormatting sqref="L16">
    <cfRule type="expression" dxfId="9" priority="19">
      <formula>AND($H17&lt;&gt;1, $H17&lt;&gt;"",$J17&lt;&gt;1)</formula>
    </cfRule>
  </conditionalFormatting>
  <conditionalFormatting sqref="B29:K29">
    <cfRule type="expression" dxfId="8" priority="12">
      <formula>AND($H29&lt;&gt;1, $H29&lt;&gt;"",$J29&lt;&gt;1)</formula>
    </cfRule>
  </conditionalFormatting>
  <conditionalFormatting sqref="L29:Y29">
    <cfRule type="expression" dxfId="7" priority="11">
      <formula>AND($H29&lt;&gt;1, $H29&lt;&gt;"",$J29&lt;&gt;1)</formula>
    </cfRule>
  </conditionalFormatting>
  <conditionalFormatting sqref="Z26:AL26">
    <cfRule type="expression" dxfId="6" priority="8">
      <formula>AND($H26&lt;&gt;1, $H26&lt;&gt;"",$J26&lt;&gt;1)</formula>
    </cfRule>
  </conditionalFormatting>
  <conditionalFormatting sqref="Z27:AL27">
    <cfRule type="expression" dxfId="5" priority="7">
      <formula>AND($H27&lt;&gt;1, $H27&lt;&gt;"",$J27&lt;&gt;1)</formula>
    </cfRule>
  </conditionalFormatting>
  <conditionalFormatting sqref="Z28:AL28">
    <cfRule type="expression" dxfId="4" priority="6">
      <formula>AND($H28&lt;&gt;1, $H28&lt;&gt;"",$J28&lt;&gt;1)</formula>
    </cfRule>
  </conditionalFormatting>
  <conditionalFormatting sqref="Z29:AL29">
    <cfRule type="expression" dxfId="3" priority="5">
      <formula>AND($H29&lt;&gt;1, $H29&lt;&gt;"",$J29&lt;&gt;1)</formula>
    </cfRule>
  </conditionalFormatting>
  <conditionalFormatting sqref="L39:N41">
    <cfRule type="expression" dxfId="2" priority="21">
      <formula>AND($H38&lt;&gt;1, $H38&lt;&gt;"",$J38&lt;&gt;1)</formula>
    </cfRule>
  </conditionalFormatting>
  <conditionalFormatting sqref="L38:AA38">
    <cfRule type="expression" dxfId="1" priority="4">
      <formula>AND($H38&lt;&gt;1, $H38&lt;&gt;"",$J38&lt;&gt;1)</formula>
    </cfRule>
  </conditionalFormatting>
  <conditionalFormatting sqref="L42:P42">
    <cfRule type="expression" dxfId="0" priority="1">
      <formula>AND($H42&lt;&gt;1, $H42&lt;&gt;"",$J42&lt;&gt;1)</formula>
    </cfRule>
  </conditionalFormatting>
  <dataValidations count="1">
    <dataValidation type="list" allowBlank="1" showInputMessage="1" showErrorMessage="1" sqref="J5:J210 H5:H210" xr:uid="{1C0B0A28-8E95-4A25-9ECB-D529F2BE82B1}">
      <formula1>"100%,80%,50%,30%,0%"</formula1>
    </dataValidation>
  </dataValidations>
  <hyperlinks>
    <hyperlink ref="N42" r:id="rId1" xr:uid="{95D27EA7-01D4-48FD-90D4-58B40596D8D9}"/>
  </hyperlinks>
  <pageMargins left="0.39370078740157483" right="0.19685039370078741" top="0.39370078740157483" bottom="0.47244094488188981" header="0.31496062992125984" footer="0.27559055118110237"/>
  <pageSetup paperSize="9" scale="72" fitToWidth="0" orientation="landscape" horizontalDpi="0"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NewLineSet" altText="新規行作成i _x000a_">
                <anchor moveWithCells="1" sizeWithCells="1">
                  <from>
                    <xdr:col>5</xdr:col>
                    <xdr:colOff>2428875</xdr:colOff>
                    <xdr:row>2</xdr:row>
                    <xdr:rowOff>9525</xdr:rowOff>
                  </from>
                  <to>
                    <xdr:col>6</xdr:col>
                    <xdr:colOff>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474900-16BF-4C2B-8BE5-31DD695D1792}">
  <sheetPr codeName="Sheet2"/>
  <dimension ref="A1:BG428"/>
  <sheetViews>
    <sheetView zoomScale="115" zoomScaleNormal="115" workbookViewId="0">
      <pane ySplit="2" topLeftCell="A108" activePane="bottomLeft" state="frozen"/>
      <selection pane="bottomLeft" activeCell="AM117" sqref="AM117"/>
    </sheetView>
  </sheetViews>
  <sheetFormatPr defaultColWidth="2.625" defaultRowHeight="13.5"/>
  <cols>
    <col min="1" max="1" width="0.5" style="5" customWidth="1"/>
    <col min="2" max="12" width="2.625" style="5"/>
  </cols>
  <sheetData>
    <row r="1" spans="1:59" s="3" customFormat="1" ht="6" customHeight="1">
      <c r="A1" s="1"/>
      <c r="B1" s="1"/>
      <c r="C1" s="1"/>
      <c r="D1" s="1"/>
      <c r="E1" s="1"/>
      <c r="F1" s="1"/>
      <c r="G1" s="1"/>
      <c r="H1" s="1"/>
      <c r="I1" s="1"/>
      <c r="J1" s="1"/>
      <c r="K1" s="1"/>
      <c r="L1" s="1"/>
      <c r="M1" s="1"/>
      <c r="N1" s="2" t="s">
        <v>13</v>
      </c>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row>
    <row r="2" spans="1:59" s="3" customFormat="1" ht="9" customHeight="1"/>
    <row r="3" spans="1:59">
      <c r="B3" s="6"/>
      <c r="C3" s="6"/>
      <c r="D3" s="6"/>
      <c r="E3" s="6"/>
      <c r="F3" s="6"/>
      <c r="G3" s="6"/>
      <c r="H3" s="6"/>
      <c r="I3" s="6"/>
      <c r="J3" s="6"/>
      <c r="K3" s="6"/>
      <c r="L3" s="6"/>
    </row>
    <row r="4" spans="1:59">
      <c r="B4" s="6"/>
      <c r="C4" s="6"/>
      <c r="D4" s="6"/>
      <c r="E4" s="6"/>
      <c r="F4" s="6"/>
      <c r="G4" s="6"/>
      <c r="H4" s="6"/>
      <c r="I4" s="6"/>
      <c r="J4" s="6"/>
      <c r="K4" s="6"/>
      <c r="L4" s="6"/>
    </row>
    <row r="5" spans="1:59">
      <c r="B5" s="6" t="s">
        <v>115</v>
      </c>
      <c r="C5" s="6"/>
      <c r="D5" s="6"/>
      <c r="E5" s="6"/>
      <c r="F5" s="6"/>
      <c r="G5" s="6"/>
      <c r="H5" s="6"/>
      <c r="I5" s="6"/>
      <c r="J5" s="6"/>
      <c r="K5" s="6"/>
      <c r="L5" s="6"/>
      <c r="M5" s="34" t="s">
        <v>1</v>
      </c>
      <c r="N5" t="s">
        <v>15</v>
      </c>
    </row>
    <row r="6" spans="1:59">
      <c r="B6" s="6"/>
      <c r="C6" s="6"/>
      <c r="D6" s="6"/>
      <c r="E6" s="6"/>
      <c r="F6" s="6"/>
      <c r="G6" s="6"/>
      <c r="H6" s="6"/>
      <c r="I6" s="6"/>
      <c r="J6" s="6"/>
      <c r="K6" s="6"/>
      <c r="L6" s="6"/>
    </row>
    <row r="7" spans="1:59">
      <c r="B7" s="6"/>
      <c r="C7" s="6"/>
      <c r="D7" s="6"/>
      <c r="E7" s="6"/>
      <c r="F7" s="6"/>
      <c r="G7" s="6"/>
      <c r="H7" s="6"/>
      <c r="I7" s="6"/>
      <c r="J7" s="6"/>
      <c r="K7" s="6"/>
      <c r="L7" s="6"/>
      <c r="N7" s="7" t="s">
        <v>16</v>
      </c>
      <c r="O7" s="8"/>
      <c r="P7" s="8"/>
      <c r="Q7" s="8"/>
      <c r="R7" s="8"/>
      <c r="S7" s="8"/>
      <c r="T7" s="8"/>
      <c r="U7" s="8"/>
      <c r="V7" s="8"/>
      <c r="W7" s="8"/>
      <c r="X7" s="9"/>
      <c r="Y7" s="9"/>
      <c r="Z7" s="9"/>
      <c r="AA7" s="9"/>
      <c r="AB7" s="9"/>
      <c r="AC7" s="9"/>
      <c r="AD7" s="9"/>
      <c r="AE7" s="9"/>
      <c r="AF7" s="9"/>
      <c r="AG7" s="9"/>
      <c r="AH7" s="9"/>
      <c r="AI7" s="9"/>
      <c r="AJ7" s="10"/>
      <c r="AL7" s="7" t="s">
        <v>17</v>
      </c>
      <c r="AM7" s="8"/>
      <c r="AN7" s="8"/>
      <c r="AO7" s="8"/>
      <c r="AP7" s="8"/>
      <c r="AQ7" s="8"/>
      <c r="AR7" s="8"/>
      <c r="AS7" s="8"/>
      <c r="AT7" s="8"/>
      <c r="AU7" s="8"/>
      <c r="AV7" s="9"/>
      <c r="AW7" s="9"/>
      <c r="AX7" s="9"/>
      <c r="AY7" s="9"/>
      <c r="AZ7" s="9"/>
      <c r="BA7" s="9"/>
      <c r="BB7" s="9"/>
      <c r="BC7" s="9"/>
      <c r="BD7" s="9"/>
      <c r="BE7" s="9"/>
      <c r="BF7" s="9"/>
      <c r="BG7" s="10"/>
    </row>
    <row r="8" spans="1:59">
      <c r="B8" s="6"/>
      <c r="C8" s="6"/>
      <c r="D8" s="6"/>
      <c r="E8" s="6"/>
      <c r="F8" s="6"/>
      <c r="G8" s="6"/>
      <c r="H8" s="6"/>
      <c r="I8" s="6"/>
      <c r="J8" s="6"/>
      <c r="K8" s="6"/>
      <c r="L8" s="6"/>
      <c r="N8" s="11"/>
      <c r="AJ8" s="12"/>
      <c r="AL8" s="11"/>
      <c r="BG8" s="12"/>
    </row>
    <row r="9" spans="1:59">
      <c r="B9" s="6"/>
      <c r="C9" s="6"/>
      <c r="D9" s="6"/>
      <c r="E9" s="6"/>
      <c r="F9" s="6"/>
      <c r="G9" s="6"/>
      <c r="H9" s="6"/>
      <c r="I9" s="6"/>
      <c r="J9" s="6"/>
      <c r="K9" s="6"/>
      <c r="L9" s="6"/>
      <c r="N9" s="11" t="s">
        <v>116</v>
      </c>
      <c r="AJ9" s="12"/>
      <c r="AL9" s="11" t="s">
        <v>116</v>
      </c>
      <c r="BG9" s="12"/>
    </row>
    <row r="10" spans="1:59">
      <c r="B10" s="6"/>
      <c r="C10" s="6"/>
      <c r="D10" s="6"/>
      <c r="E10" s="6"/>
      <c r="F10" s="6"/>
      <c r="G10" s="6"/>
      <c r="H10" s="6"/>
      <c r="I10" s="6"/>
      <c r="J10" s="6"/>
      <c r="K10" s="6"/>
      <c r="L10" s="6"/>
      <c r="N10" s="11" t="s">
        <v>19</v>
      </c>
      <c r="AJ10" s="12"/>
      <c r="AL10" s="11" t="s">
        <v>19</v>
      </c>
      <c r="BG10" s="12"/>
    </row>
    <row r="11" spans="1:59">
      <c r="B11" s="6"/>
      <c r="C11" s="6"/>
      <c r="D11" s="6"/>
      <c r="E11" s="6"/>
      <c r="F11" s="6"/>
      <c r="G11" s="6"/>
      <c r="H11" s="6"/>
      <c r="I11" s="6"/>
      <c r="J11" s="6"/>
      <c r="K11" s="6"/>
      <c r="L11" s="6"/>
      <c r="N11" s="11" t="s">
        <v>117</v>
      </c>
      <c r="AJ11" s="12"/>
      <c r="AL11" s="11" t="s">
        <v>117</v>
      </c>
      <c r="BG11" s="12"/>
    </row>
    <row r="12" spans="1:59">
      <c r="B12" s="6"/>
      <c r="C12" s="6"/>
      <c r="D12" s="6"/>
      <c r="E12" s="6"/>
      <c r="F12" s="6"/>
      <c r="G12" s="6"/>
      <c r="H12" s="6"/>
      <c r="I12" s="6"/>
      <c r="J12" s="6"/>
      <c r="K12" s="6"/>
      <c r="L12" s="6"/>
      <c r="N12" s="11" t="s">
        <v>118</v>
      </c>
      <c r="AJ12" s="12"/>
      <c r="AL12" s="11" t="s">
        <v>118</v>
      </c>
      <c r="BG12" s="12"/>
    </row>
    <row r="13" spans="1:59">
      <c r="B13" s="6"/>
      <c r="C13" s="6"/>
      <c r="D13" s="6"/>
      <c r="E13" s="6"/>
      <c r="F13" s="6"/>
      <c r="G13" s="6"/>
      <c r="H13" s="6"/>
      <c r="I13" s="6"/>
      <c r="J13" s="6"/>
      <c r="K13" s="6"/>
      <c r="L13" s="6"/>
      <c r="N13" s="11"/>
      <c r="AJ13" s="12"/>
      <c r="AL13" s="11"/>
      <c r="BG13" s="12"/>
    </row>
    <row r="14" spans="1:59">
      <c r="B14" s="6"/>
      <c r="C14" s="6"/>
      <c r="D14" s="6"/>
      <c r="E14" s="6"/>
      <c r="F14" s="6"/>
      <c r="G14" s="6"/>
      <c r="H14" s="6"/>
      <c r="I14" s="6"/>
      <c r="J14" s="6"/>
      <c r="K14" s="6"/>
      <c r="L14" s="6"/>
      <c r="N14" s="13" t="s">
        <v>24</v>
      </c>
      <c r="O14" s="14"/>
      <c r="P14" s="14"/>
      <c r="Q14" s="14"/>
      <c r="R14" s="14"/>
      <c r="S14" s="14"/>
      <c r="T14" s="14"/>
      <c r="U14" s="14"/>
      <c r="V14" s="14"/>
      <c r="W14" s="14"/>
      <c r="X14" s="14"/>
      <c r="Y14" s="14"/>
      <c r="Z14" s="14"/>
      <c r="AA14" s="14"/>
      <c r="AB14" s="14"/>
      <c r="AC14" s="14"/>
      <c r="AD14" s="14"/>
      <c r="AE14" s="14"/>
      <c r="AF14" s="14"/>
      <c r="AG14" s="14"/>
      <c r="AH14" s="14"/>
      <c r="AI14" s="14"/>
      <c r="AJ14" s="15"/>
      <c r="AL14" s="13" t="s">
        <v>119</v>
      </c>
      <c r="AM14" s="14"/>
      <c r="AN14" s="14"/>
      <c r="AO14" s="14"/>
      <c r="AP14" s="14"/>
      <c r="AQ14" s="14"/>
      <c r="AR14" s="14"/>
      <c r="AS14" s="14"/>
      <c r="AT14" s="14"/>
      <c r="AU14" s="14"/>
      <c r="AV14" s="14"/>
      <c r="AW14" s="14"/>
      <c r="AX14" s="14"/>
      <c r="AY14" s="14"/>
      <c r="AZ14" s="14"/>
      <c r="BA14" s="14"/>
      <c r="BB14" s="14"/>
      <c r="BC14" s="14"/>
      <c r="BD14" s="14"/>
      <c r="BE14" s="14"/>
      <c r="BF14" s="14"/>
      <c r="BG14" s="15"/>
    </row>
    <row r="15" spans="1:59">
      <c r="B15" s="6"/>
      <c r="C15" s="6"/>
      <c r="D15" s="6"/>
      <c r="E15" s="6"/>
      <c r="F15" s="6"/>
      <c r="G15" s="6"/>
      <c r="H15" s="6"/>
      <c r="I15" s="6"/>
      <c r="J15" s="6"/>
      <c r="K15" s="6"/>
      <c r="L15" s="6"/>
      <c r="N15" s="11" t="s">
        <v>25</v>
      </c>
      <c r="AJ15" s="12"/>
      <c r="AL15" s="11" t="s">
        <v>25</v>
      </c>
      <c r="BG15" s="12"/>
    </row>
    <row r="16" spans="1:59">
      <c r="B16" s="6"/>
      <c r="C16" s="6"/>
      <c r="D16" s="6"/>
      <c r="E16" s="6"/>
      <c r="F16" s="6"/>
      <c r="G16" s="6"/>
      <c r="H16" s="6"/>
      <c r="I16" s="6"/>
      <c r="J16" s="6"/>
      <c r="K16" s="6"/>
      <c r="L16" s="6"/>
      <c r="M16" t="s">
        <v>27</v>
      </c>
      <c r="N16" s="11" t="s">
        <v>120</v>
      </c>
      <c r="AJ16" s="12"/>
      <c r="AL16" s="11" t="s">
        <v>121</v>
      </c>
      <c r="BG16" s="12"/>
    </row>
    <row r="17" spans="2:59">
      <c r="B17" s="6"/>
      <c r="C17" s="6"/>
      <c r="D17" s="6"/>
      <c r="E17" s="6"/>
      <c r="F17" s="6"/>
      <c r="G17" s="6"/>
      <c r="H17" s="6"/>
      <c r="I17" s="6"/>
      <c r="J17" s="6"/>
      <c r="K17" s="6"/>
      <c r="L17" s="6"/>
      <c r="M17" t="s">
        <v>29</v>
      </c>
      <c r="N17" s="11" t="s">
        <v>122</v>
      </c>
      <c r="O17" s="14"/>
      <c r="P17" s="14"/>
      <c r="Q17" s="14"/>
      <c r="R17" s="14"/>
      <c r="S17" s="14"/>
      <c r="T17" s="14"/>
      <c r="U17" s="14"/>
      <c r="V17" s="14"/>
      <c r="W17" s="14"/>
      <c r="X17" s="14"/>
      <c r="Y17" s="14"/>
      <c r="Z17" s="14"/>
      <c r="AA17" s="14"/>
      <c r="AB17" s="14"/>
      <c r="AC17" s="14"/>
      <c r="AD17" s="14"/>
      <c r="AE17" s="14"/>
      <c r="AF17" s="14"/>
      <c r="AG17" s="14"/>
      <c r="AH17" s="14"/>
      <c r="AI17" s="14"/>
      <c r="AJ17" s="15"/>
      <c r="AL17" s="11"/>
      <c r="BG17" s="12"/>
    </row>
    <row r="18" spans="2:59">
      <c r="B18" s="6"/>
      <c r="C18" s="6"/>
      <c r="D18" s="6"/>
      <c r="E18" s="6"/>
      <c r="F18" s="6"/>
      <c r="G18" s="6"/>
      <c r="H18" s="6"/>
      <c r="I18" s="6"/>
      <c r="J18" s="6"/>
      <c r="K18" s="6"/>
      <c r="L18" s="6"/>
      <c r="N18" s="11" t="s">
        <v>123</v>
      </c>
      <c r="AJ18" s="12"/>
      <c r="AL18" s="11" t="s">
        <v>120</v>
      </c>
      <c r="BG18" s="12"/>
    </row>
    <row r="19" spans="2:59">
      <c r="B19" s="6"/>
      <c r="C19" s="6"/>
      <c r="D19" s="6"/>
      <c r="E19" s="6"/>
      <c r="F19" s="6"/>
      <c r="G19" s="6"/>
      <c r="H19" s="6"/>
      <c r="I19" s="6"/>
      <c r="J19" s="6"/>
      <c r="K19" s="6"/>
      <c r="L19" s="6"/>
      <c r="N19" s="11" t="s">
        <v>124</v>
      </c>
      <c r="AJ19" s="12"/>
      <c r="AL19" s="11" t="s">
        <v>122</v>
      </c>
      <c r="AM19" s="14"/>
      <c r="AN19" s="14"/>
      <c r="AO19" s="14"/>
      <c r="AP19" s="14"/>
      <c r="AQ19" s="14"/>
      <c r="AR19" s="14"/>
      <c r="AS19" s="14"/>
      <c r="AT19" s="14"/>
      <c r="AU19" s="14"/>
      <c r="AV19" s="14"/>
      <c r="AW19" s="14"/>
      <c r="AX19" s="14"/>
      <c r="AY19" s="14"/>
      <c r="AZ19" s="14"/>
      <c r="BA19" s="14"/>
      <c r="BB19" s="14"/>
      <c r="BC19" s="14"/>
      <c r="BD19" s="14"/>
      <c r="BE19" s="14"/>
      <c r="BF19" s="14"/>
      <c r="BG19" s="15"/>
    </row>
    <row r="20" spans="2:59">
      <c r="B20" s="6"/>
      <c r="C20" s="6"/>
      <c r="D20" s="6"/>
      <c r="E20" s="6"/>
      <c r="F20" s="6"/>
      <c r="G20" s="6"/>
      <c r="H20" s="6"/>
      <c r="I20" s="6"/>
      <c r="J20" s="6"/>
      <c r="K20" s="6"/>
      <c r="L20" s="6"/>
      <c r="N20" s="11" t="s">
        <v>125</v>
      </c>
      <c r="AJ20" s="12"/>
      <c r="AL20" s="11" t="s">
        <v>123</v>
      </c>
      <c r="BG20" s="12"/>
    </row>
    <row r="21" spans="2:59">
      <c r="B21" s="6"/>
      <c r="C21" s="6"/>
      <c r="D21" s="6"/>
      <c r="E21" s="6"/>
      <c r="F21" s="6"/>
      <c r="G21" s="6"/>
      <c r="H21" s="6"/>
      <c r="I21" s="6"/>
      <c r="J21" s="6"/>
      <c r="K21" s="6"/>
      <c r="L21" s="6"/>
      <c r="N21" s="11" t="s">
        <v>126</v>
      </c>
      <c r="AJ21" s="12"/>
      <c r="AL21" s="11" t="s">
        <v>124</v>
      </c>
      <c r="BG21" s="12"/>
    </row>
    <row r="22" spans="2:59">
      <c r="B22" s="6"/>
      <c r="C22" s="6"/>
      <c r="D22" s="6"/>
      <c r="E22" s="6"/>
      <c r="F22" s="6"/>
      <c r="G22" s="6"/>
      <c r="H22" s="6"/>
      <c r="I22" s="6"/>
      <c r="J22" s="6"/>
      <c r="K22" s="6"/>
      <c r="L22" s="6"/>
      <c r="N22" s="11" t="s">
        <v>41</v>
      </c>
      <c r="AJ22" s="12"/>
      <c r="AL22" s="11" t="s">
        <v>125</v>
      </c>
      <c r="BG22" s="12"/>
    </row>
    <row r="23" spans="2:59">
      <c r="B23" s="6"/>
      <c r="C23" s="6"/>
      <c r="D23" s="6"/>
      <c r="E23" s="6"/>
      <c r="F23" s="6"/>
      <c r="G23" s="6"/>
      <c r="H23" s="6"/>
      <c r="I23" s="6"/>
      <c r="J23" s="6"/>
      <c r="K23" s="6"/>
      <c r="L23" s="6"/>
      <c r="N23" s="11" t="s">
        <v>70</v>
      </c>
      <c r="AJ23" s="12"/>
      <c r="AL23" s="11" t="s">
        <v>126</v>
      </c>
      <c r="BG23" s="12"/>
    </row>
    <row r="24" spans="2:59">
      <c r="B24" s="6"/>
      <c r="C24" s="6"/>
      <c r="D24" s="6"/>
      <c r="E24" s="6"/>
      <c r="F24" s="6"/>
      <c r="G24" s="6"/>
      <c r="H24" s="6"/>
      <c r="I24" s="6"/>
      <c r="J24" s="6"/>
      <c r="K24" s="6"/>
      <c r="L24" s="6"/>
      <c r="N24" s="11" t="s">
        <v>40</v>
      </c>
      <c r="P24" s="16"/>
      <c r="Q24" s="16"/>
      <c r="R24" s="16"/>
      <c r="S24" s="16"/>
      <c r="T24" s="16"/>
      <c r="U24" s="16"/>
      <c r="V24" s="16"/>
      <c r="W24" s="16"/>
      <c r="X24" s="16"/>
      <c r="Y24" s="16"/>
      <c r="Z24" s="16"/>
      <c r="AA24" s="16"/>
      <c r="AB24" s="16"/>
      <c r="AC24" s="16"/>
      <c r="AD24" s="16"/>
      <c r="AE24" s="16"/>
      <c r="AF24" s="16"/>
      <c r="AG24" s="16"/>
      <c r="AH24" s="16"/>
      <c r="AI24" s="16"/>
      <c r="AJ24" s="17"/>
      <c r="AL24" s="11" t="s">
        <v>41</v>
      </c>
      <c r="BG24" s="12"/>
    </row>
    <row r="25" spans="2:59">
      <c r="B25" s="6"/>
      <c r="C25" s="6"/>
      <c r="D25" s="6"/>
      <c r="E25" s="6"/>
      <c r="F25" s="6"/>
      <c r="G25" s="6"/>
      <c r="H25" s="6"/>
      <c r="I25" s="6"/>
      <c r="J25" s="6"/>
      <c r="K25" s="6"/>
      <c r="L25" s="6"/>
      <c r="N25" s="11"/>
      <c r="AJ25" s="12"/>
      <c r="AL25" s="11" t="s">
        <v>70</v>
      </c>
      <c r="BG25" s="12"/>
    </row>
    <row r="26" spans="2:59">
      <c r="B26" s="6"/>
      <c r="C26" s="6"/>
      <c r="D26" s="6"/>
      <c r="E26" s="6"/>
      <c r="F26" s="6"/>
      <c r="G26" s="6"/>
      <c r="H26" s="6"/>
      <c r="I26" s="6"/>
      <c r="J26" s="6"/>
      <c r="K26" s="6"/>
      <c r="L26" s="6"/>
      <c r="M26" t="s">
        <v>33</v>
      </c>
      <c r="N26" s="11" t="s">
        <v>127</v>
      </c>
      <c r="O26" s="32"/>
      <c r="P26" s="32"/>
      <c r="Q26" s="32"/>
      <c r="R26" s="32"/>
      <c r="S26" s="32"/>
      <c r="T26" s="32"/>
      <c r="U26" s="32"/>
      <c r="V26" s="32"/>
      <c r="W26" s="32"/>
      <c r="X26" s="32"/>
      <c r="Y26" s="32"/>
      <c r="Z26" s="32"/>
      <c r="AA26" s="32"/>
      <c r="AB26" s="32"/>
      <c r="AC26" s="32"/>
      <c r="AD26" s="32"/>
      <c r="AE26" s="32"/>
      <c r="AF26" s="32"/>
      <c r="AG26" s="32"/>
      <c r="AH26" s="32"/>
      <c r="AI26" s="32"/>
      <c r="AJ26" s="33"/>
      <c r="AL26" s="11" t="s">
        <v>40</v>
      </c>
      <c r="AN26" s="16"/>
      <c r="AO26" s="16"/>
      <c r="AP26" s="16"/>
      <c r="AQ26" s="16"/>
      <c r="AR26" s="16"/>
      <c r="AS26" s="16"/>
      <c r="AT26" s="16"/>
      <c r="AU26" s="16"/>
      <c r="AV26" s="16"/>
      <c r="AW26" s="16"/>
      <c r="AX26" s="16"/>
      <c r="AY26" s="16"/>
      <c r="AZ26" s="16"/>
      <c r="BA26" s="16"/>
      <c r="BB26" s="16"/>
      <c r="BC26" s="16"/>
      <c r="BD26" s="16"/>
      <c r="BE26" s="16"/>
      <c r="BF26" s="16"/>
      <c r="BG26" s="17"/>
    </row>
    <row r="27" spans="2:59">
      <c r="B27" s="6"/>
      <c r="C27" s="6"/>
      <c r="D27" s="6"/>
      <c r="E27" s="6"/>
      <c r="F27" s="6"/>
      <c r="G27" s="6"/>
      <c r="H27" s="6"/>
      <c r="I27" s="6"/>
      <c r="J27" s="6"/>
      <c r="K27" s="6"/>
      <c r="L27" s="6"/>
      <c r="M27" t="s">
        <v>43</v>
      </c>
      <c r="N27" s="11" t="s">
        <v>128</v>
      </c>
      <c r="O27" s="16"/>
      <c r="P27" s="16"/>
      <c r="Q27" s="16"/>
      <c r="R27" s="16"/>
      <c r="S27" s="16"/>
      <c r="T27" s="16"/>
      <c r="U27" s="16"/>
      <c r="V27" s="16"/>
      <c r="W27" s="16"/>
      <c r="X27" s="16"/>
      <c r="Y27" s="16"/>
      <c r="Z27" s="16"/>
      <c r="AA27" s="16"/>
      <c r="AB27" s="16"/>
      <c r="AC27" s="16"/>
      <c r="AD27" s="16"/>
      <c r="AE27" s="16"/>
      <c r="AF27" s="16"/>
      <c r="AG27" s="16"/>
      <c r="AH27" s="16"/>
      <c r="AI27" s="16"/>
      <c r="AJ27" s="17"/>
      <c r="AL27" s="11" t="s">
        <v>46</v>
      </c>
      <c r="BG27" s="12"/>
    </row>
    <row r="28" spans="2:59">
      <c r="B28" s="6"/>
      <c r="C28" s="6"/>
      <c r="D28" s="6"/>
      <c r="E28" s="6"/>
      <c r="F28" s="6"/>
      <c r="G28" s="6"/>
      <c r="H28" s="6"/>
      <c r="I28" s="6"/>
      <c r="J28" s="6"/>
      <c r="K28" s="6"/>
      <c r="L28" s="6"/>
      <c r="M28" t="s">
        <v>45</v>
      </c>
      <c r="N28" s="11" t="s">
        <v>129</v>
      </c>
      <c r="AJ28" s="12"/>
      <c r="AL28" s="11"/>
      <c r="BG28" s="12"/>
    </row>
    <row r="29" spans="2:59">
      <c r="B29" s="6"/>
      <c r="C29" s="6"/>
      <c r="D29" s="6"/>
      <c r="E29" s="6"/>
      <c r="F29" s="6"/>
      <c r="G29" s="6"/>
      <c r="H29" s="6"/>
      <c r="I29" s="6"/>
      <c r="J29" s="6"/>
      <c r="K29" s="6"/>
      <c r="L29" s="6"/>
      <c r="N29" s="11" t="s">
        <v>46</v>
      </c>
      <c r="AJ29" s="12"/>
      <c r="AL29" s="11" t="s">
        <v>130</v>
      </c>
      <c r="BG29" s="12"/>
    </row>
    <row r="30" spans="2:59">
      <c r="B30" s="6"/>
      <c r="C30" s="6"/>
      <c r="D30" s="6"/>
      <c r="E30" s="6"/>
      <c r="F30" s="6"/>
      <c r="G30" s="6"/>
      <c r="H30" s="6"/>
      <c r="I30" s="6"/>
      <c r="J30" s="6"/>
      <c r="K30" s="6"/>
      <c r="L30" s="6"/>
      <c r="N30" s="11"/>
      <c r="AJ30" s="12"/>
      <c r="AL30" s="11" t="s">
        <v>48</v>
      </c>
      <c r="BG30" s="12"/>
    </row>
    <row r="31" spans="2:59">
      <c r="B31" s="6"/>
      <c r="C31" s="6"/>
      <c r="D31" s="6"/>
      <c r="E31" s="6"/>
      <c r="F31" s="6"/>
      <c r="G31" s="6"/>
      <c r="H31" s="6"/>
      <c r="I31" s="6"/>
      <c r="J31" s="6"/>
      <c r="K31" s="6"/>
      <c r="L31" s="6"/>
      <c r="N31" s="11" t="s">
        <v>130</v>
      </c>
      <c r="AJ31" s="12"/>
      <c r="AL31" s="11"/>
      <c r="BG31" s="12"/>
    </row>
    <row r="32" spans="2:59">
      <c r="B32" s="6"/>
      <c r="C32" s="6"/>
      <c r="D32" s="6"/>
      <c r="E32" s="6"/>
      <c r="F32" s="6"/>
      <c r="G32" s="6"/>
      <c r="H32" s="6"/>
      <c r="I32" s="6"/>
      <c r="J32" s="6"/>
      <c r="K32" s="6"/>
      <c r="L32" s="6"/>
      <c r="N32" s="11" t="s">
        <v>48</v>
      </c>
      <c r="AJ32" s="12"/>
      <c r="AL32" s="11"/>
      <c r="BG32" s="12"/>
    </row>
    <row r="33" spans="2:59">
      <c r="B33" s="6"/>
      <c r="C33" s="6"/>
      <c r="D33" s="6"/>
      <c r="E33" s="6"/>
      <c r="F33" s="6"/>
      <c r="G33" s="6"/>
      <c r="H33" s="6"/>
      <c r="I33" s="6"/>
      <c r="J33" s="6"/>
      <c r="K33" s="6"/>
      <c r="L33" s="6"/>
      <c r="N33" s="18"/>
      <c r="O33" s="19"/>
      <c r="P33" s="19"/>
      <c r="Q33" s="19"/>
      <c r="R33" s="19"/>
      <c r="S33" s="19"/>
      <c r="T33" s="19"/>
      <c r="U33" s="19"/>
      <c r="V33" s="19"/>
      <c r="W33" s="19"/>
      <c r="X33" s="19"/>
      <c r="Y33" s="19"/>
      <c r="Z33" s="19"/>
      <c r="AA33" s="19"/>
      <c r="AB33" s="19"/>
      <c r="AC33" s="19"/>
      <c r="AD33" s="19"/>
      <c r="AE33" s="19"/>
      <c r="AF33" s="19"/>
      <c r="AG33" s="19"/>
      <c r="AH33" s="19"/>
      <c r="AI33" s="19"/>
      <c r="AJ33" s="20"/>
      <c r="AL33" s="18"/>
      <c r="AM33" s="19"/>
      <c r="AN33" s="19"/>
      <c r="AO33" s="19"/>
      <c r="AP33" s="19"/>
      <c r="AQ33" s="19"/>
      <c r="AR33" s="19"/>
      <c r="AS33" s="19"/>
      <c r="AT33" s="19"/>
      <c r="AU33" s="19"/>
      <c r="AV33" s="19"/>
      <c r="AW33" s="19"/>
      <c r="AX33" s="19"/>
      <c r="AY33" s="19"/>
      <c r="AZ33" s="19"/>
      <c r="BA33" s="19"/>
      <c r="BB33" s="19"/>
      <c r="BC33" s="19"/>
      <c r="BD33" s="19"/>
      <c r="BE33" s="19"/>
      <c r="BF33" s="19"/>
      <c r="BG33" s="20"/>
    </row>
    <row r="34" spans="2:59">
      <c r="B34" s="6"/>
      <c r="C34" s="6"/>
      <c r="D34" s="6"/>
      <c r="E34" s="6"/>
      <c r="F34" s="6"/>
      <c r="G34" s="6"/>
      <c r="H34" s="6"/>
      <c r="I34" s="6"/>
      <c r="J34" s="6"/>
      <c r="K34" s="6"/>
      <c r="L34" s="6"/>
    </row>
    <row r="35" spans="2:59">
      <c r="B35" s="6"/>
      <c r="C35" s="6"/>
      <c r="D35" s="6"/>
      <c r="E35" s="6"/>
      <c r="F35" s="6"/>
      <c r="G35" s="6"/>
      <c r="H35" s="6"/>
      <c r="I35" s="6"/>
      <c r="J35" s="6"/>
      <c r="K35" s="6"/>
      <c r="L35" s="6"/>
      <c r="M35" t="s">
        <v>49</v>
      </c>
    </row>
    <row r="36" spans="2:59">
      <c r="B36" s="6"/>
      <c r="C36" s="6"/>
      <c r="D36" s="6"/>
      <c r="E36" s="6"/>
      <c r="F36" s="6"/>
      <c r="G36" s="6"/>
      <c r="H36" s="6"/>
      <c r="I36" s="6"/>
      <c r="J36" s="6"/>
      <c r="K36" s="6"/>
      <c r="L36" s="6"/>
      <c r="N36" t="s">
        <v>131</v>
      </c>
    </row>
    <row r="37" spans="2:59">
      <c r="B37" s="6"/>
      <c r="C37" s="6"/>
      <c r="D37" s="6"/>
      <c r="E37" s="6"/>
      <c r="F37" s="6"/>
      <c r="G37" s="6"/>
      <c r="H37" s="6"/>
      <c r="I37" s="6"/>
      <c r="J37" s="6"/>
      <c r="K37" s="6"/>
      <c r="L37" s="6"/>
      <c r="N37" t="s">
        <v>132</v>
      </c>
    </row>
    <row r="38" spans="2:59">
      <c r="B38" s="6"/>
      <c r="C38" s="6"/>
      <c r="D38" s="6"/>
      <c r="E38" s="6"/>
      <c r="F38" s="6"/>
      <c r="G38" s="6"/>
      <c r="H38" s="6"/>
      <c r="I38" s="6"/>
      <c r="J38" s="6"/>
      <c r="K38" s="6"/>
      <c r="L38" s="6"/>
      <c r="N38" t="s">
        <v>133</v>
      </c>
    </row>
    <row r="39" spans="2:59">
      <c r="B39" s="6"/>
      <c r="C39" s="6"/>
      <c r="D39" s="6"/>
      <c r="E39" s="6"/>
      <c r="F39" s="6"/>
      <c r="G39" s="6"/>
      <c r="H39" s="6"/>
      <c r="I39" s="6"/>
      <c r="J39" s="6"/>
      <c r="K39" s="6"/>
      <c r="L39" s="6"/>
    </row>
    <row r="40" spans="2:59">
      <c r="B40" s="6"/>
      <c r="C40" s="6"/>
      <c r="D40" s="6"/>
      <c r="E40" s="6"/>
      <c r="F40" s="6"/>
      <c r="G40" s="6"/>
      <c r="H40" s="6"/>
      <c r="I40" s="6"/>
      <c r="J40" s="6"/>
      <c r="K40" s="6"/>
      <c r="L40" s="6"/>
    </row>
    <row r="41" spans="2:59">
      <c r="B41" s="6" t="s">
        <v>88</v>
      </c>
      <c r="C41" s="6"/>
      <c r="D41" s="6"/>
      <c r="E41" s="6"/>
      <c r="F41" s="6"/>
      <c r="G41" s="6"/>
      <c r="H41" s="6"/>
      <c r="I41" s="6"/>
      <c r="J41" s="6"/>
      <c r="K41" s="6"/>
      <c r="L41" s="6"/>
      <c r="M41" s="34" t="s">
        <v>1</v>
      </c>
      <c r="N41" t="s">
        <v>15</v>
      </c>
    </row>
    <row r="42" spans="2:59">
      <c r="B42" s="6"/>
      <c r="C42" s="6"/>
      <c r="D42" s="6"/>
      <c r="E42" s="6"/>
      <c r="F42" s="6"/>
      <c r="G42" s="6"/>
      <c r="H42" s="6"/>
      <c r="I42" s="6"/>
      <c r="J42" s="6"/>
      <c r="K42" s="6"/>
      <c r="L42" s="6"/>
    </row>
    <row r="43" spans="2:59">
      <c r="B43" s="6"/>
      <c r="C43" s="6"/>
      <c r="D43" s="6"/>
      <c r="E43" s="6"/>
      <c r="F43" s="6"/>
      <c r="G43" s="6"/>
      <c r="H43" s="6"/>
      <c r="I43" s="6"/>
      <c r="J43" s="6"/>
      <c r="K43" s="6"/>
      <c r="L43" s="6"/>
      <c r="N43" s="7" t="s">
        <v>16</v>
      </c>
      <c r="O43" s="8"/>
      <c r="P43" s="8"/>
      <c r="Q43" s="8"/>
      <c r="R43" s="8"/>
      <c r="S43" s="8"/>
      <c r="T43" s="8"/>
      <c r="U43" s="8"/>
      <c r="V43" s="8"/>
      <c r="W43" s="8"/>
      <c r="X43" s="9"/>
      <c r="Y43" s="9"/>
      <c r="Z43" s="9"/>
      <c r="AA43" s="9"/>
      <c r="AB43" s="9"/>
      <c r="AC43" s="9"/>
      <c r="AD43" s="9"/>
      <c r="AE43" s="9"/>
      <c r="AF43" s="9"/>
      <c r="AG43" s="9"/>
      <c r="AH43" s="9"/>
      <c r="AI43" s="9"/>
      <c r="AJ43" s="10"/>
      <c r="AL43" s="7" t="s">
        <v>17</v>
      </c>
      <c r="AM43" s="8"/>
      <c r="AN43" s="8"/>
      <c r="AO43" s="8"/>
      <c r="AP43" s="8"/>
      <c r="AQ43" s="8"/>
      <c r="AR43" s="8"/>
      <c r="AS43" s="8"/>
      <c r="AT43" s="8"/>
      <c r="AU43" s="8"/>
      <c r="AV43" s="9"/>
      <c r="AW43" s="9"/>
      <c r="AX43" s="9"/>
      <c r="AY43" s="9"/>
      <c r="AZ43" s="9"/>
      <c r="BA43" s="9"/>
      <c r="BB43" s="9"/>
      <c r="BC43" s="9"/>
      <c r="BD43" s="9"/>
      <c r="BE43" s="9"/>
      <c r="BF43" s="9"/>
      <c r="BG43" s="10"/>
    </row>
    <row r="44" spans="2:59">
      <c r="B44" s="6"/>
      <c r="C44" s="6"/>
      <c r="D44" s="6"/>
      <c r="E44" s="6"/>
      <c r="F44" s="6"/>
      <c r="G44" s="6"/>
      <c r="H44" s="6"/>
      <c r="I44" s="6"/>
      <c r="J44" s="6"/>
      <c r="K44" s="6"/>
      <c r="L44" s="6"/>
      <c r="N44" s="21"/>
      <c r="O44" s="22"/>
      <c r="P44" s="22"/>
      <c r="Q44" s="22"/>
      <c r="R44" s="22"/>
      <c r="S44" s="22"/>
      <c r="T44" s="22"/>
      <c r="U44" s="22"/>
      <c r="V44" s="22"/>
      <c r="W44" s="22"/>
      <c r="X44" s="22"/>
      <c r="Y44" s="22"/>
      <c r="Z44" s="22"/>
      <c r="AA44" s="22"/>
      <c r="AB44" s="22"/>
      <c r="AC44" s="22"/>
      <c r="AD44" s="22"/>
      <c r="AE44" s="22"/>
      <c r="AF44" s="22"/>
      <c r="AG44" s="22"/>
      <c r="AH44" s="22"/>
      <c r="AI44" s="22"/>
      <c r="AJ44" s="23"/>
      <c r="AL44" s="21"/>
      <c r="AM44" s="22"/>
      <c r="AN44" s="22"/>
      <c r="AO44" s="22"/>
      <c r="AP44" s="22"/>
      <c r="AQ44" s="22"/>
      <c r="AR44" s="22"/>
      <c r="AS44" s="22"/>
      <c r="AT44" s="22"/>
      <c r="AU44" s="22"/>
      <c r="AV44" s="22"/>
      <c r="AW44" s="22"/>
      <c r="AX44" s="22"/>
      <c r="AY44" s="22"/>
      <c r="AZ44" s="22"/>
      <c r="BA44" s="22"/>
      <c r="BB44" s="22"/>
      <c r="BC44" s="22"/>
      <c r="BD44" s="22"/>
      <c r="BE44" s="22"/>
      <c r="BF44" s="22"/>
      <c r="BG44" s="23"/>
    </row>
    <row r="45" spans="2:59">
      <c r="B45" s="6"/>
      <c r="C45" s="6"/>
      <c r="D45" s="6"/>
      <c r="E45" s="6"/>
      <c r="F45" s="6"/>
      <c r="G45" s="6"/>
      <c r="H45" s="6"/>
      <c r="I45" s="6"/>
      <c r="J45" s="6"/>
      <c r="K45" s="6"/>
      <c r="L45" s="6"/>
      <c r="N45" s="21" t="s">
        <v>89</v>
      </c>
      <c r="O45" s="22"/>
      <c r="P45" s="22"/>
      <c r="Q45" s="22"/>
      <c r="R45" s="22"/>
      <c r="S45" s="22"/>
      <c r="T45" s="22"/>
      <c r="U45" s="22"/>
      <c r="V45" s="22"/>
      <c r="W45" s="22"/>
      <c r="X45" s="22"/>
      <c r="Y45" s="22"/>
      <c r="Z45" s="22"/>
      <c r="AA45" s="22"/>
      <c r="AB45" s="22"/>
      <c r="AC45" s="22"/>
      <c r="AD45" s="22"/>
      <c r="AE45" s="22"/>
      <c r="AF45" s="22"/>
      <c r="AG45" s="22"/>
      <c r="AH45" s="22"/>
      <c r="AI45" s="22"/>
      <c r="AJ45" s="23"/>
      <c r="AL45" s="21" t="s">
        <v>89</v>
      </c>
      <c r="AM45" s="22"/>
      <c r="AN45" s="22"/>
      <c r="AO45" s="22"/>
      <c r="AP45" s="22"/>
      <c r="AQ45" s="22"/>
      <c r="AR45" s="22"/>
      <c r="AS45" s="22"/>
      <c r="AT45" s="22"/>
      <c r="AU45" s="22"/>
      <c r="AV45" s="22"/>
      <c r="AW45" s="22"/>
      <c r="AX45" s="22"/>
      <c r="AY45" s="22"/>
      <c r="AZ45" s="22"/>
      <c r="BA45" s="22"/>
      <c r="BB45" s="22"/>
      <c r="BC45" s="22"/>
      <c r="BD45" s="22"/>
      <c r="BE45" s="22"/>
      <c r="BF45" s="22"/>
      <c r="BG45" s="23"/>
    </row>
    <row r="46" spans="2:59">
      <c r="B46" s="6"/>
      <c r="C46" s="6"/>
      <c r="D46" s="6"/>
      <c r="E46" s="6"/>
      <c r="F46" s="6"/>
      <c r="G46" s="6"/>
      <c r="H46" s="6"/>
      <c r="I46" s="6"/>
      <c r="J46" s="6"/>
      <c r="K46" s="6"/>
      <c r="L46" s="6"/>
      <c r="N46" s="21" t="s">
        <v>19</v>
      </c>
      <c r="O46" s="22"/>
      <c r="P46" s="22"/>
      <c r="Q46" s="22"/>
      <c r="R46" s="22"/>
      <c r="S46" s="22"/>
      <c r="T46" s="22"/>
      <c r="U46" s="22"/>
      <c r="V46" s="22"/>
      <c r="W46" s="22"/>
      <c r="X46" s="22"/>
      <c r="Y46" s="22"/>
      <c r="Z46" s="22"/>
      <c r="AA46" s="22"/>
      <c r="AB46" s="22"/>
      <c r="AC46" s="22"/>
      <c r="AD46" s="22"/>
      <c r="AE46" s="22"/>
      <c r="AF46" s="22"/>
      <c r="AG46" s="22"/>
      <c r="AH46" s="22"/>
      <c r="AI46" s="22"/>
      <c r="AJ46" s="23"/>
      <c r="AL46" s="21" t="s">
        <v>19</v>
      </c>
      <c r="AM46" s="22"/>
      <c r="AN46" s="22"/>
      <c r="AO46" s="22"/>
      <c r="AP46" s="22"/>
      <c r="AQ46" s="22"/>
      <c r="AR46" s="22"/>
      <c r="AS46" s="22"/>
      <c r="AT46" s="22"/>
      <c r="AU46" s="22"/>
      <c r="AV46" s="22"/>
      <c r="AW46" s="22"/>
      <c r="AX46" s="22"/>
      <c r="AY46" s="22"/>
      <c r="AZ46" s="22"/>
      <c r="BA46" s="22"/>
      <c r="BB46" s="22"/>
      <c r="BC46" s="22"/>
      <c r="BD46" s="22"/>
      <c r="BE46" s="22"/>
      <c r="BF46" s="22"/>
      <c r="BG46" s="23"/>
    </row>
    <row r="47" spans="2:59">
      <c r="B47" s="6"/>
      <c r="C47" s="6"/>
      <c r="D47" s="6"/>
      <c r="E47" s="6"/>
      <c r="F47" s="6"/>
      <c r="G47" s="6"/>
      <c r="H47" s="6"/>
      <c r="I47" s="6"/>
      <c r="J47" s="6"/>
      <c r="K47" s="6"/>
      <c r="L47" s="6"/>
      <c r="N47" s="21" t="s">
        <v>90</v>
      </c>
      <c r="O47" s="22"/>
      <c r="P47" s="22"/>
      <c r="Q47" s="22"/>
      <c r="R47" s="22"/>
      <c r="S47" s="22"/>
      <c r="T47" s="22"/>
      <c r="U47" s="22"/>
      <c r="V47" s="22"/>
      <c r="W47" s="22"/>
      <c r="X47" s="22"/>
      <c r="Y47" s="22"/>
      <c r="Z47" s="22"/>
      <c r="AA47" s="22"/>
      <c r="AB47" s="22"/>
      <c r="AC47" s="22"/>
      <c r="AD47" s="22"/>
      <c r="AE47" s="22"/>
      <c r="AF47" s="22"/>
      <c r="AG47" s="22"/>
      <c r="AH47" s="22"/>
      <c r="AI47" s="22"/>
      <c r="AJ47" s="23"/>
      <c r="AL47" s="21" t="s">
        <v>90</v>
      </c>
      <c r="AM47" s="22"/>
      <c r="AN47" s="22"/>
      <c r="AO47" s="22"/>
      <c r="AP47" s="22"/>
      <c r="AQ47" s="22"/>
      <c r="AR47" s="22"/>
      <c r="AS47" s="22"/>
      <c r="AT47" s="22"/>
      <c r="AU47" s="22"/>
      <c r="AV47" s="22"/>
      <c r="AW47" s="22"/>
      <c r="AX47" s="22"/>
      <c r="AY47" s="22"/>
      <c r="AZ47" s="22"/>
      <c r="BA47" s="22"/>
      <c r="BB47" s="22"/>
      <c r="BC47" s="22"/>
      <c r="BD47" s="22"/>
      <c r="BE47" s="22"/>
      <c r="BF47" s="22"/>
      <c r="BG47" s="23"/>
    </row>
    <row r="48" spans="2:59">
      <c r="B48" s="6"/>
      <c r="C48" s="6"/>
      <c r="D48" s="6"/>
      <c r="E48" s="6"/>
      <c r="F48" s="6"/>
      <c r="G48" s="6"/>
      <c r="H48" s="6"/>
      <c r="I48" s="6"/>
      <c r="J48" s="6"/>
      <c r="K48" s="6"/>
      <c r="L48" s="6"/>
      <c r="N48" s="21" t="s">
        <v>91</v>
      </c>
      <c r="O48" s="22"/>
      <c r="P48" s="22"/>
      <c r="Q48" s="22"/>
      <c r="R48" s="22"/>
      <c r="S48" s="22"/>
      <c r="T48" s="22"/>
      <c r="U48" s="22"/>
      <c r="V48" s="22"/>
      <c r="W48" s="22"/>
      <c r="X48" s="22"/>
      <c r="Y48" s="22"/>
      <c r="Z48" s="22"/>
      <c r="AA48" s="22"/>
      <c r="AB48" s="22"/>
      <c r="AC48" s="22"/>
      <c r="AD48" s="22"/>
      <c r="AE48" s="22"/>
      <c r="AF48" s="22"/>
      <c r="AG48" s="22"/>
      <c r="AH48" s="22"/>
      <c r="AI48" s="22"/>
      <c r="AJ48" s="23"/>
      <c r="AL48" s="21" t="s">
        <v>91</v>
      </c>
      <c r="AM48" s="22"/>
      <c r="AN48" s="22"/>
      <c r="AO48" s="22"/>
      <c r="AP48" s="22"/>
      <c r="AQ48" s="22"/>
      <c r="AR48" s="22"/>
      <c r="AS48" s="22"/>
      <c r="AT48" s="22"/>
      <c r="AU48" s="22"/>
      <c r="AV48" s="22"/>
      <c r="AW48" s="22"/>
      <c r="AX48" s="22"/>
      <c r="AY48" s="22"/>
      <c r="AZ48" s="22"/>
      <c r="BA48" s="22"/>
      <c r="BB48" s="22"/>
      <c r="BC48" s="22"/>
      <c r="BD48" s="22"/>
      <c r="BE48" s="22"/>
      <c r="BF48" s="22"/>
      <c r="BG48" s="23"/>
    </row>
    <row r="49" spans="2:59">
      <c r="B49" s="6"/>
      <c r="C49" s="6"/>
      <c r="D49" s="6"/>
      <c r="E49" s="6"/>
      <c r="F49" s="6"/>
      <c r="G49" s="6"/>
      <c r="H49" s="6"/>
      <c r="I49" s="6"/>
      <c r="J49" s="6"/>
      <c r="K49" s="6"/>
      <c r="L49" s="6"/>
      <c r="N49" s="21" t="s">
        <v>22</v>
      </c>
      <c r="O49" s="22"/>
      <c r="P49" s="22"/>
      <c r="Q49" s="22"/>
      <c r="R49" s="22"/>
      <c r="S49" s="22"/>
      <c r="T49" s="22"/>
      <c r="U49" s="22"/>
      <c r="V49" s="22"/>
      <c r="W49" s="22"/>
      <c r="X49" s="22"/>
      <c r="Y49" s="22"/>
      <c r="Z49" s="22"/>
      <c r="AA49" s="22"/>
      <c r="AB49" s="22"/>
      <c r="AC49" s="22"/>
      <c r="AD49" s="22"/>
      <c r="AE49" s="22"/>
      <c r="AF49" s="22"/>
      <c r="AG49" s="22"/>
      <c r="AH49" s="22"/>
      <c r="AI49" s="22"/>
      <c r="AJ49" s="23"/>
      <c r="AL49" s="21"/>
      <c r="AM49" s="22"/>
      <c r="AN49" s="22"/>
      <c r="AO49" s="22"/>
      <c r="AP49" s="22"/>
      <c r="AQ49" s="22"/>
      <c r="AR49" s="22"/>
      <c r="AS49" s="22"/>
      <c r="AT49" s="22"/>
      <c r="AU49" s="22"/>
      <c r="AV49" s="22"/>
      <c r="AW49" s="22"/>
      <c r="AX49" s="22"/>
      <c r="AY49" s="22"/>
      <c r="AZ49" s="22"/>
      <c r="BA49" s="22"/>
      <c r="BB49" s="22"/>
      <c r="BC49" s="22"/>
      <c r="BD49" s="22"/>
      <c r="BE49" s="22"/>
      <c r="BF49" s="22"/>
      <c r="BG49" s="23"/>
    </row>
    <row r="50" spans="2:59">
      <c r="B50" s="6"/>
      <c r="C50" s="6"/>
      <c r="D50" s="6"/>
      <c r="E50" s="6"/>
      <c r="F50" s="6"/>
      <c r="G50" s="6"/>
      <c r="H50" s="6"/>
      <c r="I50" s="6"/>
      <c r="J50" s="6"/>
      <c r="K50" s="6"/>
      <c r="L50" s="6"/>
      <c r="N50" s="24" t="s">
        <v>24</v>
      </c>
      <c r="O50" s="25"/>
      <c r="P50" s="25"/>
      <c r="Q50" s="25"/>
      <c r="R50" s="25"/>
      <c r="S50" s="25"/>
      <c r="T50" s="25"/>
      <c r="U50" s="25"/>
      <c r="V50" s="25"/>
      <c r="W50" s="25"/>
      <c r="X50" s="25"/>
      <c r="Y50" s="25"/>
      <c r="Z50" s="25"/>
      <c r="AA50" s="25"/>
      <c r="AB50" s="25"/>
      <c r="AC50" s="25"/>
      <c r="AD50" s="25"/>
      <c r="AE50" s="25"/>
      <c r="AF50" s="25"/>
      <c r="AG50" s="25"/>
      <c r="AH50" s="25"/>
      <c r="AI50" s="25"/>
      <c r="AJ50" s="26"/>
      <c r="AL50" s="24" t="s">
        <v>92</v>
      </c>
      <c r="AM50" s="25"/>
      <c r="AN50" s="25"/>
      <c r="AO50" s="25"/>
      <c r="AP50" s="25"/>
      <c r="AQ50" s="25"/>
      <c r="AR50" s="25"/>
      <c r="AS50" s="25"/>
      <c r="AT50" s="25"/>
      <c r="AU50" s="25"/>
      <c r="AV50" s="25"/>
      <c r="AW50" s="25"/>
      <c r="AX50" s="25"/>
      <c r="AY50" s="25"/>
      <c r="AZ50" s="25"/>
      <c r="BA50" s="25"/>
      <c r="BB50" s="25"/>
      <c r="BC50" s="25"/>
      <c r="BD50" s="25"/>
      <c r="BE50" s="25"/>
      <c r="BF50" s="25"/>
      <c r="BG50" s="26"/>
    </row>
    <row r="51" spans="2:59">
      <c r="B51" s="6"/>
      <c r="C51" s="6"/>
      <c r="D51" s="6"/>
      <c r="E51" s="6"/>
      <c r="F51" s="6"/>
      <c r="G51" s="6"/>
      <c r="H51" s="6"/>
      <c r="I51" s="6"/>
      <c r="J51" s="6"/>
      <c r="K51" s="6"/>
      <c r="L51" s="6"/>
      <c r="N51" s="21" t="s">
        <v>25</v>
      </c>
      <c r="O51" s="22"/>
      <c r="P51" s="22"/>
      <c r="Q51" s="22"/>
      <c r="R51" s="22"/>
      <c r="S51" s="22"/>
      <c r="T51" s="22"/>
      <c r="U51" s="22"/>
      <c r="V51" s="22"/>
      <c r="W51" s="22"/>
      <c r="X51" s="22"/>
      <c r="Y51" s="22"/>
      <c r="Z51" s="22"/>
      <c r="AA51" s="22"/>
      <c r="AB51" s="22"/>
      <c r="AC51" s="22"/>
      <c r="AD51" s="22"/>
      <c r="AE51" s="22"/>
      <c r="AF51" s="22"/>
      <c r="AG51" s="22"/>
      <c r="AH51" s="22"/>
      <c r="AI51" s="22"/>
      <c r="AJ51" s="23"/>
      <c r="AL51" s="21" t="s">
        <v>25</v>
      </c>
      <c r="AM51" s="22"/>
      <c r="AN51" s="22"/>
      <c r="AO51" s="22"/>
      <c r="AP51" s="22"/>
      <c r="AQ51" s="22"/>
      <c r="AR51" s="22"/>
      <c r="AS51" s="22"/>
      <c r="AT51" s="22"/>
      <c r="AU51" s="22"/>
      <c r="AV51" s="22"/>
      <c r="AW51" s="22"/>
      <c r="AX51" s="22"/>
      <c r="AY51" s="22"/>
      <c r="AZ51" s="22"/>
      <c r="BA51" s="22"/>
      <c r="BB51" s="22"/>
      <c r="BC51" s="22"/>
      <c r="BD51" s="22"/>
      <c r="BE51" s="22"/>
      <c r="BF51" s="22"/>
      <c r="BG51" s="23"/>
    </row>
    <row r="52" spans="2:59">
      <c r="B52" s="6"/>
      <c r="C52" s="6"/>
      <c r="D52" s="6"/>
      <c r="E52" s="6"/>
      <c r="F52" s="6"/>
      <c r="G52" s="6"/>
      <c r="H52" s="6"/>
      <c r="I52" s="6"/>
      <c r="J52" s="6"/>
      <c r="K52" s="6"/>
      <c r="L52" s="6"/>
      <c r="M52" t="s">
        <v>27</v>
      </c>
      <c r="N52" s="21" t="s">
        <v>93</v>
      </c>
      <c r="O52" s="22"/>
      <c r="P52" s="22"/>
      <c r="Q52" s="22"/>
      <c r="R52" s="22"/>
      <c r="S52" s="22"/>
      <c r="T52" s="22"/>
      <c r="U52" s="22"/>
      <c r="V52" s="22"/>
      <c r="W52" s="22"/>
      <c r="X52" s="22"/>
      <c r="Y52" s="22"/>
      <c r="Z52" s="22"/>
      <c r="AA52" s="22"/>
      <c r="AB52" s="22"/>
      <c r="AC52" s="22"/>
      <c r="AD52" s="22"/>
      <c r="AE52" s="22"/>
      <c r="AF52" s="22"/>
      <c r="AG52" s="22"/>
      <c r="AH52" s="22"/>
      <c r="AI52" s="22"/>
      <c r="AJ52" s="23"/>
      <c r="AL52" s="21"/>
      <c r="AM52" s="22"/>
      <c r="AN52" s="22"/>
      <c r="AO52" s="22"/>
      <c r="AP52" s="22"/>
      <c r="AQ52" s="22"/>
      <c r="AR52" s="22"/>
      <c r="AS52" s="22"/>
      <c r="AT52" s="22"/>
      <c r="AU52" s="22"/>
      <c r="AV52" s="22"/>
      <c r="AW52" s="22"/>
      <c r="AX52" s="22"/>
      <c r="AY52" s="22"/>
      <c r="AZ52" s="22"/>
      <c r="BA52" s="22"/>
      <c r="BB52" s="22"/>
      <c r="BC52" s="22"/>
      <c r="BD52" s="22"/>
      <c r="BE52" s="22"/>
      <c r="BF52" s="22"/>
      <c r="BG52" s="23"/>
    </row>
    <row r="53" spans="2:59">
      <c r="B53" s="6"/>
      <c r="C53" s="6"/>
      <c r="D53" s="6"/>
      <c r="E53" s="6"/>
      <c r="F53" s="6"/>
      <c r="G53" s="6"/>
      <c r="H53" s="6"/>
      <c r="I53" s="6"/>
      <c r="J53" s="6"/>
      <c r="K53" s="6"/>
      <c r="L53" s="6"/>
      <c r="M53" t="s">
        <v>29</v>
      </c>
      <c r="N53" s="21" t="s">
        <v>94</v>
      </c>
      <c r="O53" s="22"/>
      <c r="P53" s="22"/>
      <c r="Q53" s="22"/>
      <c r="R53" s="22"/>
      <c r="S53" s="22"/>
      <c r="T53" s="22"/>
      <c r="U53" s="22"/>
      <c r="V53" s="22"/>
      <c r="W53" s="22"/>
      <c r="X53" s="22"/>
      <c r="Y53" s="22"/>
      <c r="Z53" s="22"/>
      <c r="AA53" s="22"/>
      <c r="AB53" s="22"/>
      <c r="AC53" s="22"/>
      <c r="AD53" s="22"/>
      <c r="AE53" s="22"/>
      <c r="AF53" s="22"/>
      <c r="AG53" s="22"/>
      <c r="AH53" s="22"/>
      <c r="AI53" s="22"/>
      <c r="AJ53" s="23"/>
      <c r="AL53" s="21" t="s">
        <v>94</v>
      </c>
      <c r="AM53" s="22"/>
      <c r="AN53" s="22"/>
      <c r="AO53" s="22"/>
      <c r="AP53" s="22"/>
      <c r="AQ53" s="22"/>
      <c r="AR53" s="22"/>
      <c r="AS53" s="22"/>
      <c r="AT53" s="22"/>
      <c r="AU53" s="22"/>
      <c r="AV53" s="22"/>
      <c r="AW53" s="22"/>
      <c r="AX53" s="22"/>
      <c r="AY53" s="22"/>
      <c r="AZ53" s="22"/>
      <c r="BA53" s="22"/>
      <c r="BB53" s="22"/>
      <c r="BC53" s="22"/>
      <c r="BD53" s="22"/>
      <c r="BE53" s="22"/>
      <c r="BF53" s="22"/>
      <c r="BG53" s="23"/>
    </row>
    <row r="54" spans="2:59">
      <c r="B54" s="6"/>
      <c r="C54" s="6"/>
      <c r="D54" s="6"/>
      <c r="E54" s="6"/>
      <c r="F54" s="6"/>
      <c r="G54" s="6"/>
      <c r="H54" s="6"/>
      <c r="I54" s="6"/>
      <c r="J54" s="6"/>
      <c r="K54" s="6"/>
      <c r="L54" s="6"/>
      <c r="M54" t="s">
        <v>95</v>
      </c>
      <c r="N54" s="21" t="s">
        <v>96</v>
      </c>
      <c r="O54" s="22"/>
      <c r="P54" s="22"/>
      <c r="Q54" s="22"/>
      <c r="R54" s="22"/>
      <c r="S54" s="22"/>
      <c r="T54" s="22"/>
      <c r="U54" s="22"/>
      <c r="V54" s="22"/>
      <c r="W54" s="22"/>
      <c r="X54" s="22"/>
      <c r="Y54" s="22"/>
      <c r="Z54" s="22"/>
      <c r="AA54" s="22"/>
      <c r="AB54" s="22"/>
      <c r="AC54" s="22"/>
      <c r="AD54" s="22"/>
      <c r="AE54" s="22"/>
      <c r="AF54" s="22"/>
      <c r="AG54" s="22"/>
      <c r="AH54" s="22"/>
      <c r="AI54" s="22"/>
      <c r="AJ54" s="23"/>
      <c r="AL54" s="21" t="s">
        <v>97</v>
      </c>
      <c r="AM54" s="22"/>
      <c r="AN54" s="22"/>
      <c r="AO54" s="22"/>
      <c r="AP54" s="22"/>
      <c r="AQ54" s="22"/>
      <c r="AR54" s="22"/>
      <c r="AS54" s="22"/>
      <c r="AT54" s="22"/>
      <c r="AU54" s="22"/>
      <c r="AV54" s="22"/>
      <c r="AW54" s="22"/>
      <c r="AX54" s="22"/>
      <c r="AY54" s="22"/>
      <c r="AZ54" s="22"/>
      <c r="BA54" s="22"/>
      <c r="BB54" s="22"/>
      <c r="BC54" s="22"/>
      <c r="BD54" s="22"/>
      <c r="BE54" s="22"/>
      <c r="BF54" s="22"/>
      <c r="BG54" s="23"/>
    </row>
    <row r="55" spans="2:59">
      <c r="B55" s="6"/>
      <c r="C55" s="6"/>
      <c r="D55" s="6"/>
      <c r="E55" s="6"/>
      <c r="F55" s="6"/>
      <c r="G55" s="6"/>
      <c r="H55" s="6"/>
      <c r="I55" s="6"/>
      <c r="J55" s="6"/>
      <c r="K55" s="6"/>
      <c r="L55" s="6"/>
      <c r="N55" s="21"/>
      <c r="O55" s="22"/>
      <c r="P55" s="22"/>
      <c r="Q55" s="22"/>
      <c r="R55" s="22"/>
      <c r="S55" s="22"/>
      <c r="T55" s="22"/>
      <c r="U55" s="22"/>
      <c r="V55" s="22"/>
      <c r="W55" s="22"/>
      <c r="X55" s="22"/>
      <c r="Y55" s="22"/>
      <c r="Z55" s="22"/>
      <c r="AA55" s="22"/>
      <c r="AB55" s="22"/>
      <c r="AC55" s="22"/>
      <c r="AD55" s="22"/>
      <c r="AE55" s="22"/>
      <c r="AF55" s="22"/>
      <c r="AG55" s="22"/>
      <c r="AH55" s="22"/>
      <c r="AI55" s="22"/>
      <c r="AJ55" s="23"/>
      <c r="AL55" s="21"/>
      <c r="AM55" s="22"/>
      <c r="AN55" s="22"/>
      <c r="AO55" s="22"/>
      <c r="AP55" s="22"/>
      <c r="AQ55" s="22"/>
      <c r="AR55" s="22"/>
      <c r="AS55" s="22"/>
      <c r="AT55" s="22"/>
      <c r="AU55" s="22"/>
      <c r="AV55" s="22"/>
      <c r="AW55" s="22"/>
      <c r="AX55" s="22"/>
      <c r="AY55" s="22"/>
      <c r="AZ55" s="22"/>
      <c r="BA55" s="22"/>
      <c r="BB55" s="22"/>
      <c r="BC55" s="22"/>
      <c r="BD55" s="22"/>
      <c r="BE55" s="22"/>
      <c r="BF55" s="22"/>
      <c r="BG55" s="23"/>
    </row>
    <row r="56" spans="2:59">
      <c r="B56" s="6"/>
      <c r="C56" s="6"/>
      <c r="D56" s="6"/>
      <c r="E56" s="6"/>
      <c r="F56" s="6"/>
      <c r="G56" s="6"/>
      <c r="H56" s="6"/>
      <c r="I56" s="6"/>
      <c r="J56" s="6"/>
      <c r="K56" s="6"/>
      <c r="L56" s="6"/>
      <c r="M56" t="s">
        <v>43</v>
      </c>
      <c r="N56" s="21" t="s">
        <v>98</v>
      </c>
      <c r="O56" s="25"/>
      <c r="P56" s="25"/>
      <c r="Q56" s="25"/>
      <c r="R56" s="25"/>
      <c r="S56" s="25"/>
      <c r="T56" s="25"/>
      <c r="U56" s="25"/>
      <c r="V56" s="25"/>
      <c r="W56" s="25"/>
      <c r="X56" s="25"/>
      <c r="Y56" s="25"/>
      <c r="Z56" s="25"/>
      <c r="AA56" s="25"/>
      <c r="AB56" s="25"/>
      <c r="AC56" s="25"/>
      <c r="AD56" s="25"/>
      <c r="AE56" s="25"/>
      <c r="AF56" s="25"/>
      <c r="AG56" s="25"/>
      <c r="AH56" s="25"/>
      <c r="AI56" s="25"/>
      <c r="AJ56" s="26"/>
      <c r="AL56" s="21" t="s">
        <v>99</v>
      </c>
      <c r="AM56" s="25"/>
      <c r="AN56" s="25"/>
      <c r="AO56" s="25"/>
      <c r="AP56" s="25"/>
      <c r="AQ56" s="25"/>
      <c r="AR56" s="25"/>
      <c r="AS56" s="25"/>
      <c r="AT56" s="25"/>
      <c r="AU56" s="25"/>
      <c r="AV56" s="25"/>
      <c r="AW56" s="25"/>
      <c r="AX56" s="25"/>
      <c r="AY56" s="25"/>
      <c r="AZ56" s="25"/>
      <c r="BA56" s="25"/>
      <c r="BB56" s="25"/>
      <c r="BC56" s="25"/>
      <c r="BD56" s="25"/>
      <c r="BE56" s="25"/>
      <c r="BF56" s="25"/>
      <c r="BG56" s="26"/>
    </row>
    <row r="57" spans="2:59">
      <c r="B57" s="6"/>
      <c r="C57" s="6"/>
      <c r="D57" s="6"/>
      <c r="E57" s="6"/>
      <c r="F57" s="6"/>
      <c r="G57" s="6"/>
      <c r="H57" s="6"/>
      <c r="I57" s="6"/>
      <c r="J57" s="6"/>
      <c r="K57" s="6"/>
      <c r="L57" s="6"/>
      <c r="N57" s="21" t="s">
        <v>100</v>
      </c>
      <c r="O57" s="22"/>
      <c r="P57" s="27"/>
      <c r="Q57" s="27"/>
      <c r="R57" s="27"/>
      <c r="S57" s="27"/>
      <c r="T57" s="27"/>
      <c r="U57" s="27"/>
      <c r="V57" s="27"/>
      <c r="W57" s="27"/>
      <c r="X57" s="27"/>
      <c r="Y57" s="27"/>
      <c r="Z57" s="27"/>
      <c r="AA57" s="27"/>
      <c r="AB57" s="27"/>
      <c r="AC57" s="27"/>
      <c r="AD57" s="27"/>
      <c r="AE57" s="27"/>
      <c r="AF57" s="27"/>
      <c r="AG57" s="27"/>
      <c r="AH57" s="27"/>
      <c r="AI57" s="27"/>
      <c r="AJ57" s="28"/>
      <c r="AL57" s="21" t="s">
        <v>101</v>
      </c>
      <c r="AM57" s="25"/>
      <c r="AN57" s="25"/>
      <c r="AO57" s="25"/>
      <c r="AP57" s="25"/>
      <c r="AQ57" s="25"/>
      <c r="AR57" s="25"/>
      <c r="AS57" s="25"/>
      <c r="AT57" s="25"/>
      <c r="AU57" s="25"/>
      <c r="AV57" s="25"/>
      <c r="AW57" s="25"/>
      <c r="AX57" s="25"/>
      <c r="AY57" s="25"/>
      <c r="AZ57" s="25"/>
      <c r="BA57" s="25"/>
      <c r="BB57" s="25"/>
      <c r="BC57" s="25"/>
      <c r="BD57" s="25"/>
      <c r="BE57" s="25"/>
      <c r="BF57" s="25"/>
      <c r="BG57" s="26"/>
    </row>
    <row r="58" spans="2:59">
      <c r="B58" s="6"/>
      <c r="C58" s="6"/>
      <c r="D58" s="6"/>
      <c r="E58" s="6"/>
      <c r="F58" s="6"/>
      <c r="G58" s="6"/>
      <c r="H58" s="6"/>
      <c r="I58" s="6"/>
      <c r="J58" s="6"/>
      <c r="K58" s="6"/>
      <c r="L58" s="6"/>
      <c r="N58" s="21" t="s">
        <v>22</v>
      </c>
      <c r="O58" s="22"/>
      <c r="P58" s="22"/>
      <c r="Q58" s="22"/>
      <c r="R58" s="22"/>
      <c r="S58" s="22"/>
      <c r="T58" s="22"/>
      <c r="U58" s="22"/>
      <c r="V58" s="22"/>
      <c r="W58" s="22"/>
      <c r="X58" s="22"/>
      <c r="Y58" s="22"/>
      <c r="Z58" s="22"/>
      <c r="AA58" s="22"/>
      <c r="AB58" s="22"/>
      <c r="AC58" s="22"/>
      <c r="AD58" s="22"/>
      <c r="AE58" s="22"/>
      <c r="AF58" s="22"/>
      <c r="AG58" s="22"/>
      <c r="AH58" s="22"/>
      <c r="AI58" s="22"/>
      <c r="AJ58" s="23"/>
      <c r="AL58" s="21" t="s">
        <v>102</v>
      </c>
      <c r="AM58" s="22"/>
      <c r="AN58" s="22"/>
      <c r="AO58" s="22"/>
      <c r="AP58" s="22"/>
      <c r="AQ58" s="22"/>
      <c r="AR58" s="22"/>
      <c r="AS58" s="22"/>
      <c r="AT58" s="22"/>
      <c r="AU58" s="22"/>
      <c r="AV58" s="22"/>
      <c r="AW58" s="22"/>
      <c r="AX58" s="22"/>
      <c r="AY58" s="22"/>
      <c r="AZ58" s="22"/>
      <c r="BA58" s="22"/>
      <c r="BB58" s="22"/>
      <c r="BC58" s="22"/>
      <c r="BD58" s="22"/>
      <c r="BE58" s="22"/>
      <c r="BF58" s="22"/>
      <c r="BG58" s="23"/>
    </row>
    <row r="59" spans="2:59">
      <c r="B59" s="6"/>
      <c r="C59" s="6"/>
      <c r="D59" s="6"/>
      <c r="E59" s="6"/>
      <c r="F59" s="6"/>
      <c r="G59" s="6"/>
      <c r="H59" s="6"/>
      <c r="I59" s="6"/>
      <c r="J59" s="6"/>
      <c r="K59" s="6"/>
      <c r="L59" s="6"/>
      <c r="M59" t="s">
        <v>45</v>
      </c>
      <c r="N59" s="21" t="s">
        <v>103</v>
      </c>
      <c r="O59" s="27"/>
      <c r="P59" s="27"/>
      <c r="Q59" s="27"/>
      <c r="R59" s="27"/>
      <c r="S59" s="27"/>
      <c r="T59" s="27"/>
      <c r="U59" s="27"/>
      <c r="V59" s="27"/>
      <c r="W59" s="27"/>
      <c r="X59" s="27"/>
      <c r="Y59" s="27"/>
      <c r="Z59" s="27"/>
      <c r="AA59" s="27"/>
      <c r="AB59" s="27"/>
      <c r="AC59" s="27"/>
      <c r="AD59" s="27"/>
      <c r="AE59" s="27"/>
      <c r="AF59" s="27"/>
      <c r="AG59" s="27"/>
      <c r="AH59" s="27"/>
      <c r="AI59" s="27"/>
      <c r="AJ59" s="28"/>
      <c r="AL59" s="21"/>
      <c r="AM59" s="22"/>
      <c r="AN59" s="22"/>
      <c r="AO59" s="22"/>
      <c r="AP59" s="22"/>
      <c r="AQ59" s="22"/>
      <c r="AR59" s="22"/>
      <c r="AS59" s="22"/>
      <c r="AT59" s="22"/>
      <c r="AU59" s="22"/>
      <c r="AV59" s="22"/>
      <c r="AW59" s="22"/>
      <c r="AX59" s="22"/>
      <c r="AY59" s="22"/>
      <c r="AZ59" s="22"/>
      <c r="BA59" s="22"/>
      <c r="BB59" s="22"/>
      <c r="BC59" s="22"/>
      <c r="BD59" s="22"/>
      <c r="BE59" s="22"/>
      <c r="BF59" s="22"/>
      <c r="BG59" s="23"/>
    </row>
    <row r="60" spans="2:59">
      <c r="B60" s="6"/>
      <c r="C60" s="6"/>
      <c r="D60" s="6"/>
      <c r="E60" s="6"/>
      <c r="F60" s="6"/>
      <c r="G60" s="6"/>
      <c r="H60" s="6"/>
      <c r="I60" s="6"/>
      <c r="J60" s="6"/>
      <c r="K60" s="6"/>
      <c r="L60" s="6"/>
      <c r="M60" t="s">
        <v>104</v>
      </c>
      <c r="N60" s="21" t="s">
        <v>105</v>
      </c>
      <c r="O60" s="22"/>
      <c r="P60" s="22"/>
      <c r="Q60" s="22"/>
      <c r="R60" s="22"/>
      <c r="S60" s="22"/>
      <c r="T60" s="22"/>
      <c r="U60" s="22"/>
      <c r="V60" s="22"/>
      <c r="W60" s="22"/>
      <c r="X60" s="22"/>
      <c r="Y60" s="22"/>
      <c r="Z60" s="22"/>
      <c r="AA60" s="22"/>
      <c r="AB60" s="22"/>
      <c r="AC60" s="22"/>
      <c r="AD60" s="22"/>
      <c r="AE60" s="22"/>
      <c r="AF60" s="22"/>
      <c r="AG60" s="22"/>
      <c r="AH60" s="22"/>
      <c r="AI60" s="22"/>
      <c r="AJ60" s="23"/>
      <c r="AL60" s="21" t="s">
        <v>105</v>
      </c>
      <c r="AM60" s="22"/>
      <c r="AN60" s="22"/>
      <c r="AO60" s="22"/>
      <c r="AP60" s="22"/>
      <c r="AQ60" s="22"/>
      <c r="AR60" s="22"/>
      <c r="AS60" s="22"/>
      <c r="AT60" s="22"/>
      <c r="AU60" s="22"/>
      <c r="AV60" s="22"/>
      <c r="AW60" s="22"/>
      <c r="AX60" s="22"/>
      <c r="AY60" s="22"/>
      <c r="AZ60" s="22"/>
      <c r="BA60" s="22"/>
      <c r="BB60" s="22"/>
      <c r="BC60" s="22"/>
      <c r="BD60" s="22"/>
      <c r="BE60" s="22"/>
      <c r="BF60" s="22"/>
      <c r="BG60" s="23"/>
    </row>
    <row r="61" spans="2:59">
      <c r="B61" s="6"/>
      <c r="C61" s="6"/>
      <c r="D61" s="6"/>
      <c r="E61" s="6"/>
      <c r="F61" s="6"/>
      <c r="G61" s="6"/>
      <c r="H61" s="6"/>
      <c r="I61" s="6"/>
      <c r="J61" s="6"/>
      <c r="K61" s="6"/>
      <c r="L61" s="6"/>
      <c r="N61" s="21" t="s">
        <v>46</v>
      </c>
      <c r="O61" s="22"/>
      <c r="P61" s="22"/>
      <c r="Q61" s="22"/>
      <c r="R61" s="22"/>
      <c r="S61" s="22"/>
      <c r="T61" s="22"/>
      <c r="U61" s="22"/>
      <c r="V61" s="22"/>
      <c r="W61" s="22"/>
      <c r="X61" s="22"/>
      <c r="Y61" s="22"/>
      <c r="Z61" s="22"/>
      <c r="AA61" s="22"/>
      <c r="AB61" s="22"/>
      <c r="AC61" s="22"/>
      <c r="AD61" s="22"/>
      <c r="AE61" s="22"/>
      <c r="AF61" s="22"/>
      <c r="AG61" s="22"/>
      <c r="AH61" s="22"/>
      <c r="AI61" s="22"/>
      <c r="AJ61" s="23"/>
      <c r="AL61" s="21" t="s">
        <v>46</v>
      </c>
      <c r="AM61" s="22"/>
      <c r="AN61" s="22"/>
      <c r="AO61" s="22"/>
      <c r="AP61" s="22"/>
      <c r="AQ61" s="22"/>
      <c r="AR61" s="22"/>
      <c r="AS61" s="22"/>
      <c r="AT61" s="22"/>
      <c r="AU61" s="22"/>
      <c r="AV61" s="22"/>
      <c r="AW61" s="22"/>
      <c r="AX61" s="22"/>
      <c r="AY61" s="22"/>
      <c r="AZ61" s="22"/>
      <c r="BA61" s="22"/>
      <c r="BB61" s="22"/>
      <c r="BC61" s="22"/>
      <c r="BD61" s="22"/>
      <c r="BE61" s="22"/>
      <c r="BF61" s="22"/>
      <c r="BG61" s="23"/>
    </row>
    <row r="62" spans="2:59">
      <c r="B62" s="6"/>
      <c r="C62" s="6"/>
      <c r="D62" s="6"/>
      <c r="E62" s="6"/>
      <c r="F62" s="6"/>
      <c r="G62" s="6"/>
      <c r="H62" s="6"/>
      <c r="I62" s="6"/>
      <c r="J62" s="6"/>
      <c r="K62" s="6"/>
      <c r="L62" s="6"/>
      <c r="N62" s="21" t="s">
        <v>106</v>
      </c>
      <c r="O62" s="22"/>
      <c r="P62" s="22"/>
      <c r="Q62" s="22"/>
      <c r="R62" s="22"/>
      <c r="S62" s="22"/>
      <c r="T62" s="22"/>
      <c r="U62" s="22"/>
      <c r="V62" s="22"/>
      <c r="W62" s="22"/>
      <c r="X62" s="22"/>
      <c r="Y62" s="22"/>
      <c r="Z62" s="22"/>
      <c r="AA62" s="22"/>
      <c r="AB62" s="22"/>
      <c r="AC62" s="22"/>
      <c r="AD62" s="22"/>
      <c r="AE62" s="22"/>
      <c r="AF62" s="22"/>
      <c r="AG62" s="22"/>
      <c r="AH62" s="22"/>
      <c r="AI62" s="22"/>
      <c r="AJ62" s="23"/>
      <c r="AL62" s="21" t="s">
        <v>106</v>
      </c>
      <c r="AM62" s="22"/>
      <c r="AN62" s="22"/>
      <c r="AO62" s="22"/>
      <c r="AP62" s="22"/>
      <c r="AQ62" s="22"/>
      <c r="AR62" s="22"/>
      <c r="AS62" s="22"/>
      <c r="AT62" s="22"/>
      <c r="AU62" s="22"/>
      <c r="AV62" s="22"/>
      <c r="AW62" s="22"/>
      <c r="AX62" s="22"/>
      <c r="AY62" s="22"/>
      <c r="AZ62" s="22"/>
      <c r="BA62" s="22"/>
      <c r="BB62" s="22"/>
      <c r="BC62" s="22"/>
      <c r="BD62" s="22"/>
      <c r="BE62" s="22"/>
      <c r="BF62" s="22"/>
      <c r="BG62" s="23"/>
    </row>
    <row r="63" spans="2:59">
      <c r="B63" s="6"/>
      <c r="C63" s="6"/>
      <c r="D63" s="6"/>
      <c r="E63" s="6"/>
      <c r="F63" s="6"/>
      <c r="G63" s="6"/>
      <c r="H63" s="6"/>
      <c r="I63" s="6"/>
      <c r="J63" s="6"/>
      <c r="K63" s="6"/>
      <c r="L63" s="6"/>
      <c r="N63" s="21" t="s">
        <v>48</v>
      </c>
      <c r="O63" s="22"/>
      <c r="P63" s="22"/>
      <c r="Q63" s="22"/>
      <c r="R63" s="22"/>
      <c r="S63" s="22"/>
      <c r="T63" s="22"/>
      <c r="U63" s="22"/>
      <c r="V63" s="22"/>
      <c r="W63" s="22"/>
      <c r="X63" s="22"/>
      <c r="Y63" s="22"/>
      <c r="Z63" s="22"/>
      <c r="AA63" s="22"/>
      <c r="AB63" s="22"/>
      <c r="AC63" s="22"/>
      <c r="AD63" s="22"/>
      <c r="AE63" s="22"/>
      <c r="AF63" s="22"/>
      <c r="AG63" s="22"/>
      <c r="AH63" s="22"/>
      <c r="AI63" s="22"/>
      <c r="AJ63" s="23"/>
      <c r="AL63" s="21" t="s">
        <v>48</v>
      </c>
      <c r="AM63" s="22"/>
      <c r="AN63" s="22"/>
      <c r="AO63" s="22"/>
      <c r="AP63" s="22"/>
      <c r="AQ63" s="22"/>
      <c r="AR63" s="22"/>
      <c r="AS63" s="22"/>
      <c r="AT63" s="22"/>
      <c r="AU63" s="22"/>
      <c r="AV63" s="22"/>
      <c r="AW63" s="22"/>
      <c r="AX63" s="22"/>
      <c r="AY63" s="22"/>
      <c r="AZ63" s="22"/>
      <c r="BA63" s="22"/>
      <c r="BB63" s="22"/>
      <c r="BC63" s="22"/>
      <c r="BD63" s="22"/>
      <c r="BE63" s="22"/>
      <c r="BF63" s="22"/>
      <c r="BG63" s="23"/>
    </row>
    <row r="64" spans="2:59">
      <c r="B64" s="6"/>
      <c r="C64" s="6"/>
      <c r="D64" s="6"/>
      <c r="E64" s="6"/>
      <c r="F64" s="6"/>
      <c r="G64" s="6"/>
      <c r="H64" s="6"/>
      <c r="I64" s="6"/>
      <c r="J64" s="6"/>
      <c r="K64" s="6"/>
      <c r="L64" s="6"/>
      <c r="N64" s="21"/>
      <c r="O64" s="22"/>
      <c r="P64" s="22"/>
      <c r="Q64" s="22"/>
      <c r="R64" s="22"/>
      <c r="S64" s="22"/>
      <c r="T64" s="22"/>
      <c r="U64" s="22"/>
      <c r="V64" s="22"/>
      <c r="W64" s="22"/>
      <c r="X64" s="22"/>
      <c r="Y64" s="22"/>
      <c r="Z64" s="22"/>
      <c r="AA64" s="22"/>
      <c r="AB64" s="22"/>
      <c r="AC64" s="22"/>
      <c r="AD64" s="22"/>
      <c r="AE64" s="22"/>
      <c r="AF64" s="22"/>
      <c r="AG64" s="22"/>
      <c r="AH64" s="22"/>
      <c r="AI64" s="22"/>
      <c r="AJ64" s="23"/>
      <c r="AL64" s="21"/>
      <c r="AM64" s="22"/>
      <c r="AN64" s="22"/>
      <c r="AO64" s="22"/>
      <c r="AP64" s="22"/>
      <c r="AQ64" s="22"/>
      <c r="AR64" s="22"/>
      <c r="AS64" s="22"/>
      <c r="AT64" s="22"/>
      <c r="AU64" s="22"/>
      <c r="AV64" s="22"/>
      <c r="AW64" s="22"/>
      <c r="AX64" s="22"/>
      <c r="AY64" s="22"/>
      <c r="AZ64" s="22"/>
      <c r="BA64" s="22"/>
      <c r="BB64" s="22"/>
      <c r="BC64" s="22"/>
      <c r="BD64" s="22"/>
      <c r="BE64" s="22"/>
      <c r="BF64" s="22"/>
      <c r="BG64" s="23"/>
    </row>
    <row r="65" spans="2:59">
      <c r="B65" s="6"/>
      <c r="C65" s="6"/>
      <c r="D65" s="6"/>
      <c r="E65" s="6"/>
      <c r="F65" s="6"/>
      <c r="G65" s="6"/>
      <c r="H65" s="6"/>
      <c r="I65" s="6"/>
      <c r="J65" s="6"/>
      <c r="K65" s="6"/>
      <c r="L65" s="6"/>
      <c r="N65" s="29"/>
      <c r="O65" s="30"/>
      <c r="P65" s="30"/>
      <c r="Q65" s="30"/>
      <c r="R65" s="30"/>
      <c r="S65" s="30"/>
      <c r="T65" s="30"/>
      <c r="U65" s="30"/>
      <c r="V65" s="30"/>
      <c r="W65" s="30"/>
      <c r="X65" s="30"/>
      <c r="Y65" s="30"/>
      <c r="Z65" s="30"/>
      <c r="AA65" s="30"/>
      <c r="AB65" s="30"/>
      <c r="AC65" s="30"/>
      <c r="AD65" s="30"/>
      <c r="AE65" s="30"/>
      <c r="AF65" s="30"/>
      <c r="AG65" s="30"/>
      <c r="AH65" s="30"/>
      <c r="AI65" s="30"/>
      <c r="AJ65" s="31"/>
      <c r="AL65" s="29"/>
      <c r="AM65" s="30"/>
      <c r="AN65" s="30"/>
      <c r="AO65" s="30"/>
      <c r="AP65" s="30"/>
      <c r="AQ65" s="30"/>
      <c r="AR65" s="30"/>
      <c r="AS65" s="30"/>
      <c r="AT65" s="30"/>
      <c r="AU65" s="30"/>
      <c r="AV65" s="30"/>
      <c r="AW65" s="30"/>
      <c r="AX65" s="30"/>
      <c r="AY65" s="30"/>
      <c r="AZ65" s="30"/>
      <c r="BA65" s="30"/>
      <c r="BB65" s="30"/>
      <c r="BC65" s="30"/>
      <c r="BD65" s="30"/>
      <c r="BE65" s="30"/>
      <c r="BF65" s="30"/>
      <c r="BG65" s="31"/>
    </row>
    <row r="66" spans="2:59">
      <c r="B66" s="6"/>
      <c r="C66" s="6"/>
      <c r="D66" s="6"/>
      <c r="E66" s="6"/>
      <c r="F66" s="6"/>
      <c r="G66" s="6"/>
      <c r="H66" s="6"/>
      <c r="I66" s="6"/>
      <c r="J66" s="6"/>
      <c r="K66" s="6"/>
      <c r="L66" s="6"/>
    </row>
    <row r="67" spans="2:59">
      <c r="B67" s="6"/>
      <c r="C67" s="6"/>
      <c r="D67" s="6"/>
      <c r="E67" s="6"/>
      <c r="F67" s="6"/>
      <c r="G67" s="6"/>
      <c r="H67" s="6"/>
      <c r="I67" s="6"/>
      <c r="J67" s="6"/>
      <c r="K67" s="6"/>
      <c r="L67" s="6"/>
      <c r="M67" t="s">
        <v>107</v>
      </c>
    </row>
    <row r="68" spans="2:59">
      <c r="B68" s="6"/>
      <c r="C68" s="6"/>
      <c r="D68" s="6"/>
      <c r="E68" s="6"/>
      <c r="F68" s="6"/>
      <c r="G68" s="6"/>
      <c r="H68" s="6"/>
      <c r="I68" s="6"/>
      <c r="J68" s="6"/>
      <c r="K68" s="6"/>
      <c r="L68" s="6"/>
      <c r="N68" t="s">
        <v>108</v>
      </c>
    </row>
    <row r="69" spans="2:59">
      <c r="B69" s="6"/>
      <c r="C69" s="6"/>
      <c r="D69" s="6"/>
      <c r="E69" s="6"/>
      <c r="F69" s="6"/>
      <c r="G69" s="6"/>
      <c r="H69" s="6"/>
      <c r="I69" s="6"/>
      <c r="J69" s="6"/>
      <c r="K69" s="6"/>
      <c r="L69" s="6"/>
      <c r="N69" t="s">
        <v>109</v>
      </c>
    </row>
    <row r="70" spans="2:59">
      <c r="B70" s="6"/>
      <c r="C70" s="6"/>
      <c r="D70" s="6"/>
      <c r="E70" s="6"/>
      <c r="F70" s="6"/>
      <c r="G70" s="6"/>
      <c r="H70" s="6"/>
      <c r="I70" s="6"/>
      <c r="J70" s="6"/>
      <c r="K70" s="6"/>
      <c r="L70" s="6"/>
      <c r="N70" t="s">
        <v>110</v>
      </c>
    </row>
    <row r="71" spans="2:59">
      <c r="B71" s="6"/>
      <c r="C71" s="6"/>
      <c r="D71" s="6"/>
      <c r="E71" s="6"/>
      <c r="F71" s="6"/>
      <c r="G71" s="6"/>
      <c r="H71" s="6"/>
      <c r="I71" s="6"/>
      <c r="J71" s="6"/>
      <c r="K71" s="6"/>
      <c r="L71" s="6"/>
      <c r="N71" t="s">
        <v>111</v>
      </c>
    </row>
    <row r="72" spans="2:59">
      <c r="B72" s="6"/>
      <c r="C72" s="6"/>
      <c r="D72" s="6"/>
      <c r="E72" s="6"/>
      <c r="F72" s="6"/>
      <c r="G72" s="6"/>
      <c r="H72" s="6"/>
      <c r="I72" s="6"/>
      <c r="J72" s="6"/>
      <c r="K72" s="6"/>
      <c r="L72" s="6"/>
      <c r="N72" t="s">
        <v>112</v>
      </c>
    </row>
    <row r="73" spans="2:59">
      <c r="B73" s="6"/>
      <c r="C73" s="6"/>
      <c r="D73" s="6"/>
      <c r="E73" s="6"/>
      <c r="F73" s="6"/>
      <c r="G73" s="6"/>
      <c r="H73" s="6"/>
      <c r="I73" s="6"/>
      <c r="J73" s="6"/>
      <c r="K73" s="6"/>
      <c r="L73" s="6"/>
      <c r="N73" t="s">
        <v>113</v>
      </c>
    </row>
    <row r="74" spans="2:59">
      <c r="B74" s="6"/>
      <c r="C74" s="6"/>
      <c r="D74" s="6"/>
      <c r="E74" s="6"/>
      <c r="F74" s="6"/>
      <c r="G74" s="6"/>
      <c r="H74" s="6"/>
      <c r="I74" s="6"/>
      <c r="J74" s="6"/>
      <c r="K74" s="6"/>
      <c r="L74" s="6"/>
      <c r="N74" t="s">
        <v>114</v>
      </c>
    </row>
    <row r="75" spans="2:59" s="3" customFormat="1" ht="13.5" customHeight="1">
      <c r="B75" s="4"/>
      <c r="C75" s="4"/>
      <c r="D75" s="4"/>
      <c r="E75" s="4"/>
      <c r="F75" s="4"/>
      <c r="G75" s="4"/>
      <c r="H75" s="4"/>
      <c r="I75" s="4"/>
      <c r="J75" s="4"/>
      <c r="K75" s="4"/>
      <c r="L75" s="4"/>
    </row>
    <row r="76" spans="2:59" s="3" customFormat="1" ht="13.5" customHeight="1">
      <c r="B76" s="4"/>
      <c r="C76" s="4"/>
      <c r="D76" s="4"/>
      <c r="E76" s="4"/>
      <c r="F76" s="4"/>
      <c r="G76" s="4"/>
      <c r="H76" s="4"/>
      <c r="I76" s="4"/>
      <c r="J76" s="4"/>
      <c r="K76" s="4"/>
      <c r="L76" s="4"/>
    </row>
    <row r="77" spans="2:59" s="3" customFormat="1" ht="13.5" customHeight="1">
      <c r="B77" s="4" t="s">
        <v>135</v>
      </c>
      <c r="C77" s="4"/>
      <c r="D77" s="4"/>
      <c r="E77" s="4"/>
      <c r="F77" s="4"/>
      <c r="G77" s="4"/>
      <c r="H77" s="4"/>
      <c r="I77" s="4"/>
      <c r="J77" s="4"/>
      <c r="K77" s="4"/>
      <c r="L77" s="4"/>
      <c r="M77" s="35" t="s">
        <v>1</v>
      </c>
      <c r="N77" s="3" t="s">
        <v>53</v>
      </c>
    </row>
    <row r="78" spans="2:59" s="3" customFormat="1" ht="13.5" customHeight="1">
      <c r="B78" s="4"/>
      <c r="C78" s="4"/>
      <c r="D78" s="4"/>
      <c r="E78" s="4"/>
      <c r="F78" s="4"/>
      <c r="G78" s="4"/>
      <c r="H78" s="4"/>
      <c r="I78" s="4"/>
      <c r="J78" s="4"/>
      <c r="K78" s="4"/>
      <c r="L78" s="4"/>
    </row>
    <row r="79" spans="2:59" s="3" customFormat="1">
      <c r="B79" s="4"/>
      <c r="C79" s="4"/>
      <c r="D79" s="4"/>
      <c r="E79" s="4"/>
      <c r="F79" s="4"/>
      <c r="G79" s="4"/>
      <c r="H79" s="4"/>
      <c r="I79" s="4"/>
      <c r="J79" s="4"/>
      <c r="K79" s="4"/>
      <c r="L79" s="4"/>
      <c r="M79" s="3" t="s">
        <v>1</v>
      </c>
      <c r="N79" s="3" t="s">
        <v>54</v>
      </c>
    </row>
    <row r="80" spans="2:59" s="3" customFormat="1" ht="13.5" customHeight="1">
      <c r="B80" s="4"/>
      <c r="C80" s="4"/>
      <c r="D80" s="4"/>
      <c r="E80" s="4"/>
      <c r="F80" s="4"/>
      <c r="G80" s="4"/>
      <c r="H80" s="4"/>
      <c r="I80" s="4"/>
      <c r="J80" s="4"/>
      <c r="K80" s="4"/>
      <c r="L80" s="4"/>
      <c r="N80" s="3" t="s">
        <v>55</v>
      </c>
    </row>
    <row r="81" spans="2:39" s="3" customFormat="1" ht="13.5" customHeight="1">
      <c r="B81" s="4"/>
      <c r="C81" s="4"/>
      <c r="D81" s="4"/>
      <c r="E81" s="4"/>
      <c r="F81" s="4"/>
      <c r="G81" s="4"/>
      <c r="H81" s="4"/>
      <c r="I81" s="4"/>
      <c r="J81" s="4"/>
      <c r="K81" s="4"/>
      <c r="L81" s="4"/>
    </row>
    <row r="82" spans="2:39" s="3" customFormat="1" ht="13.5" customHeight="1">
      <c r="B82" s="4"/>
      <c r="C82" s="4"/>
      <c r="D82" s="4"/>
      <c r="E82" s="4"/>
      <c r="F82" s="4"/>
      <c r="G82" s="4"/>
      <c r="H82" s="4"/>
      <c r="I82" s="4"/>
      <c r="J82" s="4"/>
      <c r="K82" s="4"/>
      <c r="L82" s="4"/>
      <c r="M82" s="3" t="s">
        <v>1</v>
      </c>
      <c r="N82" s="3" t="s">
        <v>56</v>
      </c>
    </row>
    <row r="83" spans="2:39" s="3" customFormat="1" ht="13.5" customHeight="1">
      <c r="B83" s="4"/>
      <c r="C83" s="4"/>
      <c r="D83" s="4"/>
      <c r="E83" s="4"/>
      <c r="F83" s="4"/>
      <c r="G83" s="4"/>
      <c r="H83" s="4"/>
      <c r="I83" s="4"/>
      <c r="J83" s="4"/>
      <c r="K83" s="4"/>
      <c r="L83" s="4"/>
    </row>
    <row r="84" spans="2:39" s="3" customFormat="1" ht="13.5" customHeight="1">
      <c r="B84" s="4"/>
      <c r="C84" s="4"/>
      <c r="D84" s="4"/>
      <c r="E84" s="4"/>
      <c r="F84" s="4"/>
      <c r="G84" s="4"/>
      <c r="H84" s="4"/>
      <c r="I84" s="4"/>
      <c r="J84" s="4"/>
      <c r="K84" s="4"/>
      <c r="L84" s="4"/>
      <c r="N84" s="3" t="s">
        <v>57</v>
      </c>
      <c r="AL84" s="3" t="s">
        <v>1</v>
      </c>
      <c r="AM84" s="3" t="s">
        <v>58</v>
      </c>
    </row>
    <row r="85" spans="2:39" s="3" customFormat="1" ht="13.5" customHeight="1">
      <c r="B85" s="4"/>
      <c r="C85" s="4"/>
      <c r="D85" s="4"/>
      <c r="E85" s="4"/>
      <c r="F85" s="4"/>
      <c r="G85" s="4"/>
      <c r="H85" s="4"/>
      <c r="I85" s="4"/>
      <c r="J85" s="4"/>
      <c r="K85" s="4"/>
      <c r="L85" s="4"/>
      <c r="N85" s="3" t="s">
        <v>59</v>
      </c>
    </row>
    <row r="86" spans="2:39" s="3" customFormat="1" ht="13.5" customHeight="1">
      <c r="B86" s="4"/>
      <c r="C86" s="4"/>
      <c r="D86" s="4"/>
      <c r="E86" s="4"/>
      <c r="F86" s="4"/>
      <c r="G86" s="4"/>
      <c r="H86" s="4"/>
      <c r="I86" s="4"/>
      <c r="J86" s="4"/>
      <c r="K86" s="4"/>
      <c r="L86" s="4"/>
      <c r="N86" s="3" t="s">
        <v>60</v>
      </c>
    </row>
    <row r="87" spans="2:39" s="3" customFormat="1" ht="13.5" customHeight="1">
      <c r="B87" s="4"/>
      <c r="C87" s="4"/>
      <c r="D87" s="4"/>
      <c r="E87" s="4"/>
      <c r="F87" s="4"/>
      <c r="G87" s="4"/>
      <c r="H87" s="4"/>
      <c r="I87" s="4"/>
      <c r="J87" s="4"/>
      <c r="K87" s="4"/>
      <c r="L87" s="4"/>
    </row>
    <row r="88" spans="2:39" s="3" customFormat="1" ht="13.5" customHeight="1">
      <c r="B88" s="4"/>
      <c r="C88" s="4"/>
      <c r="D88" s="4"/>
      <c r="E88" s="4"/>
      <c r="F88" s="4"/>
      <c r="G88" s="4"/>
      <c r="H88" s="4"/>
      <c r="I88" s="4"/>
      <c r="J88" s="4"/>
      <c r="K88" s="4"/>
      <c r="L88" s="4"/>
      <c r="N88" s="3" t="s">
        <v>61</v>
      </c>
      <c r="AL88" s="3" t="s">
        <v>1</v>
      </c>
      <c r="AM88" s="3" t="s">
        <v>62</v>
      </c>
    </row>
    <row r="89" spans="2:39" s="3" customFormat="1" ht="13.5" customHeight="1">
      <c r="B89" s="4"/>
      <c r="C89" s="4"/>
      <c r="D89" s="4"/>
      <c r="E89" s="4"/>
      <c r="F89" s="4"/>
      <c r="G89" s="4"/>
      <c r="H89" s="4"/>
      <c r="I89" s="4"/>
      <c r="J89" s="4"/>
      <c r="K89" s="4"/>
      <c r="L89" s="4"/>
      <c r="N89" s="3" t="s">
        <v>63</v>
      </c>
      <c r="AM89" s="3" t="s">
        <v>64</v>
      </c>
    </row>
    <row r="90" spans="2:39" s="3" customFormat="1" ht="13.5" customHeight="1">
      <c r="B90" s="4"/>
      <c r="C90" s="4"/>
      <c r="D90" s="4"/>
      <c r="E90" s="4"/>
      <c r="F90" s="4"/>
      <c r="G90" s="4"/>
      <c r="H90" s="4"/>
      <c r="I90" s="4"/>
      <c r="J90" s="4"/>
      <c r="K90" s="4"/>
      <c r="L90" s="4"/>
      <c r="N90" s="3" t="s">
        <v>65</v>
      </c>
      <c r="AM90" s="3" t="s">
        <v>66</v>
      </c>
    </row>
    <row r="91" spans="2:39" s="3" customFormat="1" ht="13.5" customHeight="1">
      <c r="B91" s="4"/>
      <c r="C91" s="4"/>
      <c r="D91" s="4"/>
      <c r="E91" s="4"/>
      <c r="F91" s="4"/>
      <c r="G91" s="4"/>
      <c r="H91" s="4"/>
      <c r="I91" s="4"/>
      <c r="J91" s="4"/>
      <c r="K91" s="4"/>
      <c r="L91" s="4"/>
      <c r="N91" s="3" t="s">
        <v>67</v>
      </c>
    </row>
    <row r="92" spans="2:39" s="3" customFormat="1" ht="13.5" customHeight="1">
      <c r="B92" s="4"/>
      <c r="C92" s="4"/>
      <c r="D92" s="4"/>
      <c r="E92" s="4"/>
      <c r="F92" s="4"/>
      <c r="G92" s="4"/>
      <c r="H92" s="4"/>
      <c r="I92" s="4"/>
      <c r="J92" s="4"/>
      <c r="K92" s="4"/>
      <c r="L92" s="4"/>
      <c r="N92" s="3" t="s">
        <v>68</v>
      </c>
    </row>
    <row r="93" spans="2:39" s="3" customFormat="1" ht="13.5" customHeight="1">
      <c r="B93" s="4"/>
      <c r="C93" s="4"/>
      <c r="D93" s="4"/>
      <c r="E93" s="4"/>
      <c r="F93" s="4"/>
      <c r="G93" s="4"/>
      <c r="H93" s="4"/>
      <c r="I93" s="4"/>
      <c r="J93" s="4"/>
      <c r="K93" s="4"/>
      <c r="L93" s="4"/>
      <c r="N93" s="3" t="s">
        <v>69</v>
      </c>
    </row>
    <row r="94" spans="2:39" s="3" customFormat="1" ht="13.5" customHeight="1">
      <c r="B94" s="4"/>
      <c r="C94" s="4"/>
      <c r="D94" s="4"/>
      <c r="E94" s="4"/>
      <c r="F94" s="4"/>
      <c r="G94" s="4"/>
      <c r="H94" s="4"/>
      <c r="I94" s="4"/>
      <c r="J94" s="4"/>
      <c r="K94" s="4"/>
      <c r="L94" s="4"/>
      <c r="N94" s="3" t="s">
        <v>70</v>
      </c>
    </row>
    <row r="95" spans="2:39" s="3" customFormat="1" ht="13.5" customHeight="1">
      <c r="B95" s="4"/>
      <c r="C95" s="4"/>
      <c r="D95" s="4"/>
      <c r="E95" s="4"/>
      <c r="F95" s="4"/>
      <c r="G95" s="4"/>
      <c r="H95" s="4"/>
      <c r="I95" s="4"/>
      <c r="J95" s="4"/>
      <c r="K95" s="4"/>
      <c r="L95" s="4"/>
      <c r="N95" s="3" t="s">
        <v>71</v>
      </c>
    </row>
    <row r="96" spans="2:39" s="3" customFormat="1" ht="13.5" customHeight="1">
      <c r="B96" s="4"/>
      <c r="C96" s="4"/>
      <c r="D96" s="4"/>
      <c r="E96" s="4"/>
      <c r="F96" s="4"/>
      <c r="G96" s="4"/>
      <c r="H96" s="4"/>
      <c r="I96" s="4"/>
      <c r="J96" s="4"/>
      <c r="K96" s="4"/>
      <c r="L96" s="4"/>
    </row>
    <row r="97" spans="2:41" s="3" customFormat="1" ht="13.5" customHeight="1">
      <c r="B97" s="4"/>
      <c r="C97" s="4"/>
      <c r="D97" s="4"/>
      <c r="E97" s="4"/>
      <c r="F97" s="4"/>
      <c r="G97" s="4"/>
      <c r="H97" s="4"/>
      <c r="I97" s="4"/>
      <c r="J97" s="4"/>
      <c r="K97" s="4"/>
      <c r="L97" s="4"/>
      <c r="M97" s="3" t="s">
        <v>1</v>
      </c>
      <c r="N97" s="3" t="s">
        <v>72</v>
      </c>
    </row>
    <row r="98" spans="2:41" s="3" customFormat="1" ht="13.5" customHeight="1">
      <c r="B98" s="4"/>
      <c r="C98" s="4"/>
      <c r="D98" s="4"/>
      <c r="E98" s="4"/>
      <c r="F98" s="4"/>
      <c r="G98" s="4"/>
      <c r="H98" s="4"/>
      <c r="I98" s="4"/>
      <c r="J98" s="4"/>
      <c r="K98" s="4"/>
      <c r="L98" s="4"/>
    </row>
    <row r="99" spans="2:41" s="3" customFormat="1" ht="13.5" customHeight="1">
      <c r="B99" s="4"/>
      <c r="C99" s="4"/>
      <c r="D99" s="4"/>
      <c r="E99" s="4"/>
      <c r="F99" s="4"/>
      <c r="G99" s="4"/>
      <c r="H99" s="4"/>
      <c r="I99" s="4"/>
      <c r="J99" s="4"/>
      <c r="K99" s="4"/>
      <c r="L99" s="4"/>
      <c r="N99" s="3" t="s">
        <v>73</v>
      </c>
    </row>
    <row r="100" spans="2:41" s="3" customFormat="1" ht="13.5" customHeight="1">
      <c r="B100" s="4"/>
      <c r="C100" s="4"/>
      <c r="D100" s="4"/>
      <c r="E100" s="4"/>
      <c r="F100" s="4"/>
      <c r="G100" s="4"/>
      <c r="H100" s="4"/>
      <c r="I100" s="4"/>
      <c r="J100" s="4"/>
      <c r="K100" s="4"/>
      <c r="L100" s="4"/>
      <c r="N100" s="3" t="s">
        <v>25</v>
      </c>
    </row>
    <row r="101" spans="2:41" s="3" customFormat="1" ht="13.5" customHeight="1">
      <c r="B101" s="4"/>
      <c r="C101" s="4"/>
      <c r="D101" s="4"/>
      <c r="E101" s="4"/>
      <c r="F101" s="4"/>
      <c r="G101" s="4"/>
      <c r="H101" s="4"/>
      <c r="I101" s="4"/>
      <c r="J101" s="4"/>
      <c r="K101" s="4"/>
      <c r="L101" s="4"/>
      <c r="N101" s="3" t="s">
        <v>74</v>
      </c>
    </row>
    <row r="102" spans="2:41" s="3" customFormat="1" ht="13.5" customHeight="1">
      <c r="B102" s="4"/>
      <c r="C102" s="4"/>
      <c r="D102" s="4"/>
      <c r="E102" s="4"/>
      <c r="F102" s="4"/>
      <c r="G102" s="4"/>
      <c r="H102" s="4"/>
      <c r="I102" s="4"/>
      <c r="J102" s="4"/>
      <c r="K102" s="4"/>
      <c r="L102" s="4"/>
      <c r="N102" s="3" t="s">
        <v>75</v>
      </c>
      <c r="AL102" s="3" t="s">
        <v>1</v>
      </c>
      <c r="AM102" s="3" t="s">
        <v>76</v>
      </c>
    </row>
    <row r="103" spans="2:41" s="3" customFormat="1" ht="13.5" customHeight="1">
      <c r="B103" s="4"/>
      <c r="C103" s="4"/>
      <c r="D103" s="4"/>
      <c r="E103" s="4"/>
      <c r="F103" s="4"/>
      <c r="G103" s="4"/>
      <c r="H103" s="4"/>
      <c r="I103" s="4"/>
      <c r="J103" s="4"/>
      <c r="K103" s="4"/>
      <c r="L103" s="4"/>
      <c r="N103" s="3" t="s">
        <v>77</v>
      </c>
      <c r="AM103" s="3" t="s">
        <v>78</v>
      </c>
      <c r="AO103" s="3" t="s">
        <v>79</v>
      </c>
    </row>
    <row r="104" spans="2:41" s="3" customFormat="1" ht="13.5" customHeight="1">
      <c r="B104" s="4"/>
      <c r="C104" s="4"/>
      <c r="D104" s="4"/>
      <c r="E104" s="4"/>
      <c r="F104" s="4"/>
      <c r="G104" s="4"/>
      <c r="H104" s="4"/>
      <c r="I104" s="4"/>
      <c r="J104" s="4"/>
      <c r="K104" s="4"/>
      <c r="L104" s="4"/>
      <c r="N104" s="3" t="s">
        <v>80</v>
      </c>
    </row>
    <row r="105" spans="2:41" s="3" customFormat="1" ht="13.5" customHeight="1">
      <c r="B105" s="4"/>
      <c r="C105" s="4"/>
      <c r="D105" s="4"/>
      <c r="E105" s="4"/>
      <c r="F105" s="4"/>
      <c r="G105" s="4"/>
      <c r="H105" s="4"/>
      <c r="I105" s="4"/>
      <c r="J105" s="4"/>
      <c r="K105" s="4"/>
      <c r="L105" s="4"/>
    </row>
    <row r="106" spans="2:41" s="3" customFormat="1" ht="13.5" customHeight="1">
      <c r="B106" s="4"/>
      <c r="C106" s="4"/>
      <c r="D106" s="4"/>
      <c r="E106" s="4"/>
      <c r="F106" s="4"/>
      <c r="G106" s="4"/>
      <c r="H106" s="4"/>
      <c r="I106" s="4"/>
      <c r="J106" s="4"/>
      <c r="K106" s="4"/>
      <c r="L106" s="4"/>
      <c r="N106" s="3" t="s">
        <v>81</v>
      </c>
    </row>
    <row r="107" spans="2:41" s="3" customFormat="1" ht="13.5" customHeight="1">
      <c r="B107" s="4"/>
      <c r="C107" s="4"/>
      <c r="D107" s="4"/>
      <c r="E107" s="4"/>
      <c r="F107" s="4"/>
      <c r="G107" s="4"/>
      <c r="H107" s="4"/>
      <c r="I107" s="4"/>
      <c r="J107" s="4"/>
      <c r="K107" s="4"/>
      <c r="L107" s="4"/>
      <c r="N107" s="3" t="s">
        <v>46</v>
      </c>
    </row>
    <row r="108" spans="2:41" s="3" customFormat="1" ht="13.5" customHeight="1">
      <c r="B108" s="4"/>
      <c r="C108" s="4"/>
      <c r="D108" s="4"/>
      <c r="E108" s="4"/>
      <c r="F108" s="4"/>
      <c r="G108" s="4"/>
      <c r="H108" s="4"/>
      <c r="I108" s="4"/>
      <c r="J108" s="4"/>
      <c r="K108" s="4"/>
      <c r="L108" s="4"/>
    </row>
    <row r="109" spans="2:41" s="3" customFormat="1" ht="13.5" customHeight="1">
      <c r="B109" s="4"/>
      <c r="C109" s="4"/>
      <c r="D109" s="4"/>
      <c r="E109" s="4"/>
      <c r="F109" s="4"/>
      <c r="G109" s="4"/>
      <c r="H109" s="4"/>
      <c r="I109" s="4"/>
      <c r="J109" s="4"/>
      <c r="K109" s="4"/>
      <c r="L109" s="4"/>
      <c r="M109" s="3" t="s">
        <v>1</v>
      </c>
      <c r="N109" s="3" t="s">
        <v>82</v>
      </c>
    </row>
    <row r="110" spans="2:41" s="3" customFormat="1" ht="13.5" customHeight="1">
      <c r="B110" s="4"/>
      <c r="C110" s="4"/>
      <c r="D110" s="4"/>
      <c r="E110" s="4"/>
      <c r="F110" s="4"/>
      <c r="G110" s="4"/>
      <c r="H110" s="4"/>
      <c r="I110" s="4"/>
      <c r="J110" s="4"/>
      <c r="K110" s="4"/>
      <c r="L110" s="4"/>
    </row>
    <row r="111" spans="2:41" s="3" customFormat="1" ht="13.5" customHeight="1">
      <c r="B111" s="4"/>
      <c r="C111" s="4"/>
      <c r="D111" s="4"/>
      <c r="E111" s="4"/>
      <c r="F111" s="4"/>
      <c r="G111" s="4"/>
      <c r="H111" s="4"/>
      <c r="I111" s="4"/>
      <c r="J111" s="4"/>
      <c r="K111" s="4"/>
      <c r="L111" s="4"/>
      <c r="N111" s="3" t="s">
        <v>83</v>
      </c>
    </row>
    <row r="112" spans="2:41" s="3" customFormat="1" ht="13.5" customHeight="1">
      <c r="B112" s="4"/>
      <c r="C112" s="4"/>
      <c r="D112" s="4"/>
      <c r="E112" s="4"/>
      <c r="F112" s="4"/>
      <c r="G112" s="4"/>
      <c r="H112" s="4"/>
      <c r="I112" s="4"/>
      <c r="J112" s="4"/>
      <c r="K112" s="4"/>
      <c r="L112" s="4"/>
      <c r="N112" s="3" t="s">
        <v>25</v>
      </c>
    </row>
    <row r="113" spans="2:59" s="3" customFormat="1" ht="13.5" customHeight="1">
      <c r="B113" s="4"/>
      <c r="C113" s="4"/>
      <c r="D113" s="4"/>
      <c r="E113" s="4"/>
      <c r="F113" s="4"/>
      <c r="G113" s="4"/>
      <c r="H113" s="4"/>
      <c r="I113" s="4"/>
      <c r="J113" s="4"/>
      <c r="K113" s="4"/>
      <c r="L113" s="4"/>
      <c r="N113" s="3" t="s">
        <v>74</v>
      </c>
    </row>
    <row r="114" spans="2:59" s="3" customFormat="1" ht="13.5" customHeight="1">
      <c r="B114" s="4"/>
      <c r="C114" s="4"/>
      <c r="D114" s="4"/>
      <c r="E114" s="4"/>
      <c r="F114" s="4"/>
      <c r="G114" s="4"/>
      <c r="H114" s="4"/>
      <c r="I114" s="4"/>
      <c r="J114" s="4"/>
      <c r="K114" s="4"/>
      <c r="L114" s="4"/>
      <c r="N114" s="3" t="s">
        <v>75</v>
      </c>
      <c r="AL114" s="3" t="s">
        <v>1</v>
      </c>
      <c r="AM114" s="3" t="s">
        <v>84</v>
      </c>
    </row>
    <row r="115" spans="2:59" s="3" customFormat="1" ht="13.5" customHeight="1">
      <c r="B115" s="4"/>
      <c r="C115" s="4"/>
      <c r="D115" s="4"/>
      <c r="E115" s="4"/>
      <c r="F115" s="4"/>
      <c r="G115" s="4"/>
      <c r="H115" s="4"/>
      <c r="I115" s="4"/>
      <c r="J115" s="4"/>
      <c r="K115" s="4"/>
      <c r="L115" s="4"/>
      <c r="N115" s="3" t="s">
        <v>77</v>
      </c>
      <c r="AM115" s="3" t="s">
        <v>78</v>
      </c>
      <c r="AO115" s="3" t="s">
        <v>85</v>
      </c>
    </row>
    <row r="116" spans="2:59" s="3" customFormat="1" ht="13.5" customHeight="1">
      <c r="B116" s="4"/>
      <c r="C116" s="4"/>
      <c r="D116" s="4"/>
      <c r="E116" s="4"/>
      <c r="F116" s="4"/>
      <c r="G116" s="4"/>
      <c r="H116" s="4"/>
      <c r="I116" s="4"/>
      <c r="J116" s="4"/>
      <c r="K116" s="4"/>
      <c r="L116" s="4"/>
      <c r="N116" s="3" t="s">
        <v>86</v>
      </c>
    </row>
    <row r="117" spans="2:59" s="3" customFormat="1" ht="13.5" customHeight="1">
      <c r="B117" s="4"/>
      <c r="C117" s="4"/>
      <c r="D117" s="4"/>
      <c r="E117" s="4"/>
      <c r="F117" s="4"/>
      <c r="G117" s="4"/>
      <c r="H117" s="4"/>
      <c r="I117" s="4"/>
      <c r="J117" s="4"/>
      <c r="K117" s="4"/>
      <c r="L117" s="4"/>
    </row>
    <row r="118" spans="2:59" s="3" customFormat="1" ht="13.5" customHeight="1">
      <c r="B118" s="4"/>
      <c r="C118" s="4"/>
      <c r="D118" s="4"/>
      <c r="E118" s="4"/>
      <c r="F118" s="4"/>
      <c r="G118" s="4"/>
      <c r="H118" s="4"/>
      <c r="I118" s="4"/>
      <c r="J118" s="4"/>
      <c r="K118" s="4"/>
      <c r="L118" s="4"/>
      <c r="N118" s="3" t="s">
        <v>87</v>
      </c>
    </row>
    <row r="119" spans="2:59" s="3" customFormat="1" ht="13.5" customHeight="1">
      <c r="B119" s="4"/>
      <c r="C119" s="4"/>
      <c r="D119" s="4"/>
      <c r="E119" s="4"/>
      <c r="F119" s="4"/>
      <c r="G119" s="4"/>
      <c r="H119" s="4"/>
      <c r="I119" s="4"/>
      <c r="J119" s="4"/>
      <c r="K119" s="4"/>
      <c r="L119" s="4"/>
      <c r="N119" s="3" t="s">
        <v>46</v>
      </c>
    </row>
    <row r="120" spans="2:59" s="3" customFormat="1" ht="13.5" customHeight="1">
      <c r="B120" s="4"/>
      <c r="C120" s="4"/>
      <c r="D120" s="4"/>
      <c r="E120" s="4"/>
      <c r="F120" s="4"/>
      <c r="G120" s="4"/>
      <c r="H120" s="4"/>
      <c r="I120" s="4"/>
      <c r="J120" s="4"/>
      <c r="K120" s="4"/>
      <c r="L120" s="4"/>
    </row>
    <row r="121" spans="2:59">
      <c r="B121" s="6"/>
      <c r="C121" s="6"/>
      <c r="D121" s="6"/>
      <c r="E121" s="6"/>
      <c r="F121" s="6"/>
      <c r="G121" s="6"/>
      <c r="H121" s="6"/>
      <c r="I121" s="6"/>
      <c r="J121" s="6"/>
      <c r="K121" s="6"/>
      <c r="L121" s="6"/>
    </row>
    <row r="122" spans="2:59">
      <c r="B122" s="6" t="s">
        <v>14</v>
      </c>
      <c r="C122" s="6"/>
      <c r="D122" s="6"/>
      <c r="E122" s="6"/>
      <c r="F122" s="6"/>
      <c r="G122" s="6"/>
      <c r="H122" s="6"/>
      <c r="I122" s="6"/>
      <c r="J122" s="6"/>
      <c r="K122" s="6"/>
      <c r="L122" s="6"/>
      <c r="M122" s="34" t="s">
        <v>1</v>
      </c>
      <c r="N122" t="s">
        <v>15</v>
      </c>
    </row>
    <row r="123" spans="2:59">
      <c r="B123" s="6"/>
      <c r="C123" s="6"/>
      <c r="D123" s="6"/>
      <c r="E123" s="6"/>
      <c r="F123" s="6"/>
      <c r="G123" s="6"/>
      <c r="H123" s="6"/>
      <c r="I123" s="6"/>
      <c r="J123" s="6"/>
      <c r="K123" s="6"/>
      <c r="L123" s="6"/>
    </row>
    <row r="124" spans="2:59">
      <c r="B124" s="6"/>
      <c r="C124" s="6"/>
      <c r="D124" s="6"/>
      <c r="E124" s="6"/>
      <c r="F124" s="6"/>
      <c r="G124" s="6"/>
      <c r="H124" s="6"/>
      <c r="I124" s="6"/>
      <c r="J124" s="6"/>
      <c r="K124" s="6"/>
      <c r="L124" s="6"/>
      <c r="O124" s="7" t="s">
        <v>16</v>
      </c>
      <c r="P124" s="8"/>
      <c r="Q124" s="8"/>
      <c r="R124" s="8"/>
      <c r="S124" s="8"/>
      <c r="T124" s="8"/>
      <c r="U124" s="8"/>
      <c r="V124" s="8"/>
      <c r="W124" s="8"/>
      <c r="X124" s="8"/>
      <c r="Y124" s="9"/>
      <c r="Z124" s="9"/>
      <c r="AA124" s="9"/>
      <c r="AB124" s="9"/>
      <c r="AC124" s="9"/>
      <c r="AD124" s="9"/>
      <c r="AE124" s="9"/>
      <c r="AF124" s="9"/>
      <c r="AG124" s="9"/>
      <c r="AH124" s="9"/>
      <c r="AI124" s="9"/>
      <c r="AJ124" s="10"/>
      <c r="AL124" s="7" t="s">
        <v>17</v>
      </c>
      <c r="AM124" s="8"/>
      <c r="AN124" s="8"/>
      <c r="AO124" s="8"/>
      <c r="AP124" s="8"/>
      <c r="AQ124" s="8"/>
      <c r="AR124" s="8"/>
      <c r="AS124" s="8"/>
      <c r="AT124" s="8"/>
      <c r="AU124" s="8"/>
      <c r="AV124" s="9"/>
      <c r="AW124" s="9"/>
      <c r="AX124" s="9"/>
      <c r="AY124" s="9"/>
      <c r="AZ124" s="9"/>
      <c r="BA124" s="9"/>
      <c r="BB124" s="9"/>
      <c r="BC124" s="9"/>
      <c r="BD124" s="9"/>
      <c r="BE124" s="9"/>
      <c r="BF124" s="9"/>
      <c r="BG124" s="10"/>
    </row>
    <row r="125" spans="2:59">
      <c r="B125" s="6"/>
      <c r="C125" s="6"/>
      <c r="D125" s="6"/>
      <c r="E125" s="6"/>
      <c r="F125" s="6"/>
      <c r="G125" s="6"/>
      <c r="H125" s="6"/>
      <c r="I125" s="6"/>
      <c r="J125" s="6"/>
      <c r="K125" s="6"/>
      <c r="L125" s="6"/>
      <c r="O125" s="11"/>
      <c r="AJ125" s="12"/>
      <c r="AL125" s="11"/>
      <c r="BG125" s="12"/>
    </row>
    <row r="126" spans="2:59">
      <c r="B126" s="6"/>
      <c r="C126" s="6"/>
      <c r="D126" s="6"/>
      <c r="E126" s="6"/>
      <c r="F126" s="6"/>
      <c r="G126" s="6"/>
      <c r="H126" s="6"/>
      <c r="I126" s="6"/>
      <c r="J126" s="6"/>
      <c r="K126" s="6"/>
      <c r="L126" s="6"/>
      <c r="O126" s="11" t="s">
        <v>18</v>
      </c>
      <c r="AJ126" s="12"/>
      <c r="AL126" s="11" t="s">
        <v>18</v>
      </c>
      <c r="BG126" s="12"/>
    </row>
    <row r="127" spans="2:59">
      <c r="B127" s="6"/>
      <c r="C127" s="6"/>
      <c r="D127" s="6"/>
      <c r="E127" s="6"/>
      <c r="F127" s="6"/>
      <c r="G127" s="6"/>
      <c r="H127" s="6"/>
      <c r="I127" s="6"/>
      <c r="J127" s="6"/>
      <c r="K127" s="6"/>
      <c r="L127" s="6"/>
      <c r="O127" s="11" t="s">
        <v>19</v>
      </c>
      <c r="AJ127" s="12"/>
      <c r="AL127" s="11" t="s">
        <v>19</v>
      </c>
      <c r="BG127" s="12"/>
    </row>
    <row r="128" spans="2:59">
      <c r="B128" s="6"/>
      <c r="C128" s="6"/>
      <c r="D128" s="6"/>
      <c r="E128" s="6"/>
      <c r="F128" s="6"/>
      <c r="G128" s="6"/>
      <c r="H128" s="6"/>
      <c r="I128" s="6"/>
      <c r="J128" s="6"/>
      <c r="K128" s="6"/>
      <c r="L128" s="6"/>
      <c r="O128" s="11" t="s">
        <v>20</v>
      </c>
      <c r="AJ128" s="12"/>
      <c r="AL128" s="11" t="s">
        <v>21</v>
      </c>
      <c r="BG128" s="12"/>
    </row>
    <row r="129" spans="2:59">
      <c r="B129" s="6"/>
      <c r="C129" s="6"/>
      <c r="D129" s="6"/>
      <c r="E129" s="6"/>
      <c r="F129" s="6"/>
      <c r="G129" s="6"/>
      <c r="H129" s="6"/>
      <c r="I129" s="6"/>
      <c r="J129" s="6"/>
      <c r="K129" s="6"/>
      <c r="L129" s="6"/>
      <c r="O129" s="11" t="s">
        <v>22</v>
      </c>
      <c r="AJ129" s="12"/>
      <c r="AL129" s="11" t="s">
        <v>23</v>
      </c>
      <c r="BG129" s="12"/>
    </row>
    <row r="130" spans="2:59">
      <c r="B130" s="6"/>
      <c r="C130" s="6"/>
      <c r="D130" s="6"/>
      <c r="E130" s="6"/>
      <c r="F130" s="6"/>
      <c r="G130" s="6"/>
      <c r="H130" s="6"/>
      <c r="I130" s="6"/>
      <c r="J130" s="6"/>
      <c r="K130" s="6"/>
      <c r="L130" s="6"/>
      <c r="O130" s="13" t="s">
        <v>24</v>
      </c>
      <c r="P130" s="14"/>
      <c r="Q130" s="14"/>
      <c r="R130" s="14"/>
      <c r="S130" s="14"/>
      <c r="T130" s="14"/>
      <c r="U130" s="14"/>
      <c r="V130" s="14"/>
      <c r="W130" s="14"/>
      <c r="X130" s="14"/>
      <c r="Y130" s="14"/>
      <c r="Z130" s="14"/>
      <c r="AA130" s="14"/>
      <c r="AB130" s="14"/>
      <c r="AC130" s="14"/>
      <c r="AD130" s="14"/>
      <c r="AE130" s="14"/>
      <c r="AF130" s="14"/>
      <c r="AG130" s="14"/>
      <c r="AH130" s="14"/>
      <c r="AI130" s="14"/>
      <c r="AJ130" s="15"/>
      <c r="AL130" s="11"/>
      <c r="BG130" s="12"/>
    </row>
    <row r="131" spans="2:59">
      <c r="B131" s="6"/>
      <c r="C131" s="6"/>
      <c r="D131" s="6"/>
      <c r="E131" s="6"/>
      <c r="F131" s="6"/>
      <c r="G131" s="6"/>
      <c r="H131" s="6"/>
      <c r="I131" s="6"/>
      <c r="J131" s="6"/>
      <c r="K131" s="6"/>
      <c r="L131" s="6"/>
      <c r="O131" s="11" t="s">
        <v>25</v>
      </c>
      <c r="AJ131" s="12"/>
      <c r="AL131" s="13" t="s">
        <v>26</v>
      </c>
      <c r="AM131" s="14"/>
      <c r="AN131" s="14"/>
      <c r="AO131" s="14"/>
      <c r="AP131" s="14"/>
      <c r="AQ131" s="14"/>
      <c r="AR131" s="14"/>
      <c r="AS131" s="14"/>
      <c r="AT131" s="14"/>
      <c r="AU131" s="14"/>
      <c r="AV131" s="14"/>
      <c r="AW131" s="14"/>
      <c r="AX131" s="14"/>
      <c r="AY131" s="14"/>
      <c r="AZ131" s="14"/>
      <c r="BA131" s="14"/>
      <c r="BB131" s="14"/>
      <c r="BC131" s="14"/>
      <c r="BD131" s="14"/>
      <c r="BE131" s="14"/>
      <c r="BF131" s="14"/>
      <c r="BG131" s="15"/>
    </row>
    <row r="132" spans="2:59">
      <c r="B132" s="6"/>
      <c r="C132" s="6"/>
      <c r="D132" s="6"/>
      <c r="E132" s="6"/>
      <c r="F132" s="6"/>
      <c r="G132" s="6"/>
      <c r="H132" s="6"/>
      <c r="I132" s="6"/>
      <c r="J132" s="6"/>
      <c r="K132" s="6"/>
      <c r="L132" s="6"/>
      <c r="N132" t="s">
        <v>27</v>
      </c>
      <c r="O132" s="11" t="s">
        <v>28</v>
      </c>
      <c r="AJ132" s="12"/>
      <c r="AL132" s="11" t="s">
        <v>25</v>
      </c>
      <c r="BG132" s="12"/>
    </row>
    <row r="133" spans="2:59">
      <c r="B133" s="6"/>
      <c r="C133" s="6"/>
      <c r="D133" s="6"/>
      <c r="E133" s="6"/>
      <c r="F133" s="6"/>
      <c r="G133" s="6"/>
      <c r="H133" s="6"/>
      <c r="I133" s="6"/>
      <c r="J133" s="6"/>
      <c r="K133" s="6"/>
      <c r="L133" s="6"/>
      <c r="N133" t="s">
        <v>29</v>
      </c>
      <c r="O133" s="11" t="s">
        <v>30</v>
      </c>
      <c r="AJ133" s="12"/>
      <c r="AL133" s="11" t="s">
        <v>31</v>
      </c>
      <c r="BG133" s="12"/>
    </row>
    <row r="134" spans="2:59">
      <c r="B134" s="6"/>
      <c r="C134" s="6"/>
      <c r="D134" s="6"/>
      <c r="E134" s="6"/>
      <c r="F134" s="6"/>
      <c r="G134" s="6"/>
      <c r="H134" s="6"/>
      <c r="I134" s="6"/>
      <c r="J134" s="6"/>
      <c r="K134" s="6"/>
      <c r="L134" s="6"/>
      <c r="O134" s="11" t="s">
        <v>22</v>
      </c>
      <c r="AJ134" s="12"/>
      <c r="AL134" s="11" t="s">
        <v>32</v>
      </c>
      <c r="BG134" s="12"/>
    </row>
    <row r="135" spans="2:59">
      <c r="B135" s="6"/>
      <c r="C135" s="6"/>
      <c r="D135" s="6"/>
      <c r="E135" s="6"/>
      <c r="F135" s="6"/>
      <c r="G135" s="6"/>
      <c r="H135" s="6"/>
      <c r="I135" s="6"/>
      <c r="J135" s="6"/>
      <c r="K135" s="6"/>
      <c r="L135" s="6"/>
      <c r="N135" t="s">
        <v>33</v>
      </c>
      <c r="O135" s="11" t="s">
        <v>34</v>
      </c>
      <c r="P135" s="14"/>
      <c r="Q135" s="14"/>
      <c r="R135" s="14"/>
      <c r="S135" s="14"/>
      <c r="T135" s="14"/>
      <c r="U135" s="14"/>
      <c r="V135" s="14"/>
      <c r="W135" s="14"/>
      <c r="X135" s="14"/>
      <c r="Y135" s="14"/>
      <c r="Z135" s="14"/>
      <c r="AA135" s="14"/>
      <c r="AB135" s="14"/>
      <c r="AC135" s="14"/>
      <c r="AD135" s="14"/>
      <c r="AE135" s="14"/>
      <c r="AF135" s="14"/>
      <c r="AG135" s="14"/>
      <c r="AH135" s="14"/>
      <c r="AI135" s="14"/>
      <c r="AJ135" s="15"/>
      <c r="AL135" s="11" t="s">
        <v>35</v>
      </c>
      <c r="BG135" s="12"/>
    </row>
    <row r="136" spans="2:59">
      <c r="B136" s="6"/>
      <c r="C136" s="6"/>
      <c r="D136" s="6"/>
      <c r="E136" s="6"/>
      <c r="F136" s="6"/>
      <c r="G136" s="6"/>
      <c r="H136" s="6"/>
      <c r="I136" s="6"/>
      <c r="J136" s="6"/>
      <c r="K136" s="6"/>
      <c r="L136" s="6"/>
      <c r="O136" s="11" t="s">
        <v>36</v>
      </c>
      <c r="AJ136" s="12"/>
      <c r="AL136" s="11"/>
      <c r="BG136" s="12"/>
    </row>
    <row r="137" spans="2:59">
      <c r="B137" s="6"/>
      <c r="C137" s="6"/>
      <c r="D137" s="6"/>
      <c r="E137" s="6"/>
      <c r="F137" s="6"/>
      <c r="G137" s="6"/>
      <c r="H137" s="6"/>
      <c r="I137" s="6"/>
      <c r="J137" s="6"/>
      <c r="K137" s="6"/>
      <c r="L137" s="6"/>
      <c r="O137" s="11" t="s">
        <v>37</v>
      </c>
      <c r="AJ137" s="12"/>
      <c r="AL137" s="11" t="s">
        <v>38</v>
      </c>
      <c r="AM137" s="14"/>
      <c r="AN137" s="14"/>
      <c r="AO137" s="14"/>
      <c r="AP137" s="14"/>
      <c r="AQ137" s="14"/>
      <c r="AR137" s="14"/>
      <c r="AS137" s="14"/>
      <c r="AT137" s="14"/>
      <c r="AU137" s="14"/>
      <c r="AV137" s="14"/>
      <c r="AW137" s="14"/>
      <c r="AX137" s="14"/>
      <c r="AY137" s="14"/>
      <c r="AZ137" s="14"/>
      <c r="BA137" s="14"/>
      <c r="BB137" s="14"/>
      <c r="BC137" s="14"/>
      <c r="BD137" s="14"/>
      <c r="BE137" s="14"/>
      <c r="BF137" s="14"/>
      <c r="BG137" s="15"/>
    </row>
    <row r="138" spans="2:59">
      <c r="B138" s="6"/>
      <c r="C138" s="6"/>
      <c r="D138" s="6"/>
      <c r="E138" s="6"/>
      <c r="F138" s="6"/>
      <c r="G138" s="6"/>
      <c r="H138" s="6"/>
      <c r="I138" s="6"/>
      <c r="J138" s="6"/>
      <c r="K138" s="6"/>
      <c r="L138" s="6"/>
      <c r="O138" s="11" t="s">
        <v>39</v>
      </c>
      <c r="AJ138" s="12"/>
      <c r="AL138" s="11" t="s">
        <v>36</v>
      </c>
      <c r="BG138" s="12"/>
    </row>
    <row r="139" spans="2:59">
      <c r="B139" s="6"/>
      <c r="C139" s="6"/>
      <c r="D139" s="6"/>
      <c r="E139" s="6"/>
      <c r="F139" s="6"/>
      <c r="G139" s="6"/>
      <c r="H139" s="6"/>
      <c r="I139" s="6"/>
      <c r="J139" s="6"/>
      <c r="K139" s="6"/>
      <c r="L139" s="6"/>
      <c r="O139" s="11" t="s">
        <v>40</v>
      </c>
      <c r="Q139" s="16"/>
      <c r="R139" s="16"/>
      <c r="S139" s="16"/>
      <c r="T139" s="16"/>
      <c r="U139" s="16"/>
      <c r="V139" s="16"/>
      <c r="W139" s="16"/>
      <c r="X139" s="16"/>
      <c r="Y139" s="16"/>
      <c r="Z139" s="16"/>
      <c r="AA139" s="16"/>
      <c r="AB139" s="16"/>
      <c r="AC139" s="16"/>
      <c r="AD139" s="16"/>
      <c r="AE139" s="16"/>
      <c r="AF139" s="16"/>
      <c r="AG139" s="16"/>
      <c r="AH139" s="16"/>
      <c r="AI139" s="16"/>
      <c r="AJ139" s="17"/>
      <c r="AL139" s="11" t="s">
        <v>37</v>
      </c>
      <c r="BG139" s="12"/>
    </row>
    <row r="140" spans="2:59">
      <c r="B140" s="6"/>
      <c r="C140" s="6"/>
      <c r="D140" s="6"/>
      <c r="E140" s="6"/>
      <c r="F140" s="6"/>
      <c r="G140" s="6"/>
      <c r="H140" s="6"/>
      <c r="I140" s="6"/>
      <c r="J140" s="6"/>
      <c r="K140" s="6"/>
      <c r="L140" s="6"/>
      <c r="O140" s="11" t="s">
        <v>41</v>
      </c>
      <c r="AJ140" s="12"/>
      <c r="AL140" s="11" t="s">
        <v>39</v>
      </c>
      <c r="BG140" s="12"/>
    </row>
    <row r="141" spans="2:59">
      <c r="B141" s="6"/>
      <c r="C141" s="6"/>
      <c r="D141" s="6"/>
      <c r="E141" s="6"/>
      <c r="F141" s="6"/>
      <c r="G141" s="6"/>
      <c r="H141" s="6"/>
      <c r="I141" s="6"/>
      <c r="J141" s="6"/>
      <c r="K141" s="6"/>
      <c r="L141" s="6"/>
      <c r="O141" s="11" t="s">
        <v>42</v>
      </c>
      <c r="AJ141" s="12"/>
      <c r="AL141" s="11" t="s">
        <v>40</v>
      </c>
      <c r="AN141" s="16"/>
      <c r="AO141" s="16"/>
      <c r="AP141" s="16"/>
      <c r="AQ141" s="16"/>
      <c r="AR141" s="16"/>
      <c r="AS141" s="16"/>
      <c r="AT141" s="16"/>
      <c r="AU141" s="16"/>
      <c r="AV141" s="16"/>
      <c r="AW141" s="16"/>
      <c r="AX141" s="16"/>
      <c r="AY141" s="16"/>
      <c r="AZ141" s="16"/>
      <c r="BA141" s="16"/>
      <c r="BB141" s="16"/>
      <c r="BC141" s="16"/>
      <c r="BD141" s="16"/>
      <c r="BE141" s="16"/>
      <c r="BF141" s="16"/>
      <c r="BG141" s="17"/>
    </row>
    <row r="142" spans="2:59">
      <c r="B142" s="6"/>
      <c r="C142" s="6"/>
      <c r="D142" s="6"/>
      <c r="E142" s="6"/>
      <c r="F142" s="6"/>
      <c r="G142" s="6"/>
      <c r="H142" s="6"/>
      <c r="I142" s="6"/>
      <c r="J142" s="6"/>
      <c r="K142" s="6"/>
      <c r="L142" s="6"/>
      <c r="N142" t="s">
        <v>43</v>
      </c>
      <c r="O142" s="11" t="s">
        <v>44</v>
      </c>
      <c r="P142" s="16"/>
      <c r="Q142" s="16"/>
      <c r="R142" s="16"/>
      <c r="S142" s="16"/>
      <c r="T142" s="16"/>
      <c r="U142" s="16"/>
      <c r="V142" s="16"/>
      <c r="W142" s="16"/>
      <c r="X142" s="16"/>
      <c r="Y142" s="16"/>
      <c r="Z142" s="16"/>
      <c r="AA142" s="16"/>
      <c r="AB142" s="16"/>
      <c r="AC142" s="16"/>
      <c r="AD142" s="16"/>
      <c r="AE142" s="16"/>
      <c r="AF142" s="16"/>
      <c r="AG142" s="16"/>
      <c r="AH142" s="16"/>
      <c r="AI142" s="16"/>
      <c r="AJ142" s="17"/>
      <c r="AL142" s="11" t="s">
        <v>41</v>
      </c>
      <c r="BG142" s="12"/>
    </row>
    <row r="143" spans="2:59">
      <c r="B143" s="6"/>
      <c r="C143" s="6"/>
      <c r="D143" s="6"/>
      <c r="E143" s="6"/>
      <c r="F143" s="6"/>
      <c r="G143" s="6"/>
      <c r="H143" s="6"/>
      <c r="I143" s="6"/>
      <c r="J143" s="6"/>
      <c r="K143" s="6"/>
      <c r="L143" s="6"/>
      <c r="N143" t="s">
        <v>45</v>
      </c>
      <c r="O143" s="11" t="s">
        <v>31</v>
      </c>
      <c r="AJ143" s="12"/>
      <c r="AL143" s="11" t="s">
        <v>46</v>
      </c>
      <c r="BG143" s="12"/>
    </row>
    <row r="144" spans="2:59">
      <c r="B144" s="6"/>
      <c r="C144" s="6"/>
      <c r="D144" s="6"/>
      <c r="E144" s="6"/>
      <c r="F144" s="6"/>
      <c r="G144" s="6"/>
      <c r="H144" s="6"/>
      <c r="I144" s="6"/>
      <c r="J144" s="6"/>
      <c r="K144" s="6"/>
      <c r="L144" s="6"/>
      <c r="O144" s="11" t="s">
        <v>46</v>
      </c>
      <c r="AJ144" s="12"/>
      <c r="AL144" s="11" t="s">
        <v>47</v>
      </c>
      <c r="BG144" s="12"/>
    </row>
    <row r="145" spans="2:59">
      <c r="B145" s="6"/>
      <c r="C145" s="6"/>
      <c r="D145" s="6"/>
      <c r="E145" s="6"/>
      <c r="F145" s="6"/>
      <c r="G145" s="6"/>
      <c r="H145" s="6"/>
      <c r="I145" s="6"/>
      <c r="J145" s="6"/>
      <c r="K145" s="6"/>
      <c r="L145" s="6"/>
      <c r="O145" s="11" t="s">
        <v>48</v>
      </c>
      <c r="AJ145" s="12"/>
      <c r="AL145" s="11" t="s">
        <v>48</v>
      </c>
      <c r="BG145" s="12"/>
    </row>
    <row r="146" spans="2:59">
      <c r="B146" s="6"/>
      <c r="C146" s="6"/>
      <c r="D146" s="6"/>
      <c r="E146" s="6"/>
      <c r="F146" s="6"/>
      <c r="G146" s="6"/>
      <c r="H146" s="6"/>
      <c r="I146" s="6"/>
      <c r="J146" s="6"/>
      <c r="K146" s="6"/>
      <c r="L146" s="6"/>
      <c r="O146" s="18"/>
      <c r="P146" s="19"/>
      <c r="Q146" s="19"/>
      <c r="R146" s="19"/>
      <c r="S146" s="19"/>
      <c r="T146" s="19"/>
      <c r="U146" s="19"/>
      <c r="V146" s="19"/>
      <c r="W146" s="19"/>
      <c r="X146" s="19"/>
      <c r="Y146" s="19"/>
      <c r="Z146" s="19"/>
      <c r="AA146" s="19"/>
      <c r="AB146" s="19"/>
      <c r="AC146" s="19"/>
      <c r="AD146" s="19"/>
      <c r="AE146" s="19"/>
      <c r="AF146" s="19"/>
      <c r="AG146" s="19"/>
      <c r="AH146" s="19"/>
      <c r="AI146" s="19"/>
      <c r="AJ146" s="20"/>
      <c r="AL146" s="18"/>
      <c r="AM146" s="19"/>
      <c r="AN146" s="19"/>
      <c r="AO146" s="19"/>
      <c r="AP146" s="19"/>
      <c r="AQ146" s="19"/>
      <c r="AR146" s="19"/>
      <c r="AS146" s="19"/>
      <c r="AT146" s="19"/>
      <c r="AU146" s="19"/>
      <c r="AV146" s="19"/>
      <c r="AW146" s="19"/>
      <c r="AX146" s="19"/>
      <c r="AY146" s="19"/>
      <c r="AZ146" s="19"/>
      <c r="BA146" s="19"/>
      <c r="BB146" s="19"/>
      <c r="BC146" s="19"/>
      <c r="BD146" s="19"/>
      <c r="BE146" s="19"/>
      <c r="BF146" s="19"/>
      <c r="BG146" s="20"/>
    </row>
    <row r="147" spans="2:59">
      <c r="B147" s="6"/>
      <c r="C147" s="6"/>
      <c r="D147" s="6"/>
      <c r="E147" s="6"/>
      <c r="F147" s="6"/>
      <c r="G147" s="6"/>
      <c r="H147" s="6"/>
      <c r="I147" s="6"/>
      <c r="J147" s="6"/>
      <c r="K147" s="6"/>
      <c r="L147" s="6"/>
    </row>
    <row r="148" spans="2:59">
      <c r="B148" s="6"/>
      <c r="C148" s="6"/>
      <c r="D148" s="6"/>
      <c r="E148" s="6"/>
      <c r="F148" s="6"/>
      <c r="G148" s="6"/>
      <c r="H148" s="6"/>
      <c r="I148" s="6"/>
      <c r="J148" s="6"/>
      <c r="K148" s="6"/>
      <c r="L148" s="6"/>
      <c r="N148" t="s">
        <v>49</v>
      </c>
    </row>
    <row r="149" spans="2:59">
      <c r="B149" s="6"/>
      <c r="C149" s="6"/>
      <c r="D149" s="6"/>
      <c r="E149" s="6"/>
      <c r="F149" s="6"/>
      <c r="G149" s="6"/>
      <c r="H149" s="6"/>
      <c r="I149" s="6"/>
      <c r="J149" s="6"/>
      <c r="K149" s="6"/>
      <c r="L149" s="6"/>
      <c r="O149" t="s">
        <v>50</v>
      </c>
    </row>
    <row r="150" spans="2:59">
      <c r="B150" s="6"/>
      <c r="C150" s="6"/>
      <c r="D150" s="6"/>
      <c r="E150" s="6"/>
      <c r="F150" s="6"/>
      <c r="G150" s="6"/>
      <c r="H150" s="6"/>
      <c r="I150" s="6"/>
      <c r="J150" s="6"/>
      <c r="K150" s="6"/>
      <c r="L150" s="6"/>
      <c r="O150" t="s">
        <v>51</v>
      </c>
    </row>
    <row r="151" spans="2:59">
      <c r="B151" s="6"/>
      <c r="C151" s="6"/>
      <c r="D151" s="6"/>
      <c r="E151" s="6"/>
      <c r="F151" s="6"/>
      <c r="G151" s="6"/>
      <c r="H151" s="6"/>
      <c r="I151" s="6"/>
      <c r="J151" s="6"/>
      <c r="K151" s="6"/>
      <c r="L151" s="6"/>
      <c r="O151" t="s">
        <v>52</v>
      </c>
    </row>
    <row r="152" spans="2:59">
      <c r="B152" s="6"/>
      <c r="C152" s="6"/>
      <c r="D152" s="6"/>
      <c r="E152" s="6"/>
      <c r="F152" s="6"/>
      <c r="G152" s="6"/>
      <c r="H152" s="6"/>
      <c r="I152" s="6"/>
      <c r="J152" s="6"/>
      <c r="K152" s="6"/>
      <c r="L152" s="6"/>
    </row>
    <row r="153" spans="2:59">
      <c r="B153" s="6"/>
      <c r="C153" s="6"/>
      <c r="D153" s="6"/>
      <c r="E153" s="6"/>
      <c r="F153" s="6"/>
      <c r="G153" s="6"/>
      <c r="H153" s="6"/>
      <c r="I153" s="6"/>
      <c r="J153" s="6"/>
      <c r="K153" s="6"/>
      <c r="L153" s="6"/>
    </row>
    <row r="154" spans="2:59">
      <c r="B154" s="6"/>
      <c r="C154" s="6"/>
      <c r="D154" s="6"/>
      <c r="E154" s="6"/>
      <c r="F154" s="6"/>
      <c r="G154" s="6"/>
      <c r="H154" s="6"/>
      <c r="I154" s="6"/>
      <c r="J154" s="6"/>
      <c r="K154" s="6"/>
      <c r="L154" s="6"/>
    </row>
    <row r="155" spans="2:59">
      <c r="B155" s="6"/>
      <c r="C155" s="6"/>
      <c r="D155" s="6"/>
      <c r="E155" s="6"/>
      <c r="F155" s="6"/>
      <c r="G155" s="6"/>
      <c r="H155" s="6"/>
      <c r="I155" s="6"/>
      <c r="J155" s="6"/>
      <c r="K155" s="6"/>
      <c r="L155" s="6"/>
    </row>
    <row r="156" spans="2:59">
      <c r="B156" s="6"/>
      <c r="C156" s="6"/>
      <c r="D156" s="6"/>
      <c r="E156" s="6"/>
      <c r="F156" s="6"/>
      <c r="G156" s="6"/>
      <c r="H156" s="6"/>
      <c r="I156" s="6"/>
      <c r="J156" s="6"/>
      <c r="K156" s="6"/>
      <c r="L156" s="6"/>
    </row>
    <row r="157" spans="2:59">
      <c r="B157" s="6"/>
      <c r="C157" s="6"/>
      <c r="D157" s="6"/>
      <c r="E157" s="6"/>
      <c r="F157" s="6"/>
      <c r="G157" s="6"/>
      <c r="H157" s="6"/>
      <c r="I157" s="6"/>
      <c r="J157" s="6"/>
      <c r="K157" s="6"/>
      <c r="L157" s="6"/>
    </row>
    <row r="158" spans="2:59">
      <c r="B158" s="6"/>
      <c r="C158" s="6"/>
      <c r="D158" s="6"/>
      <c r="E158" s="6"/>
      <c r="F158" s="6"/>
      <c r="G158" s="6"/>
      <c r="H158" s="6"/>
      <c r="I158" s="6"/>
      <c r="J158" s="6"/>
      <c r="K158" s="6"/>
      <c r="L158" s="6"/>
    </row>
    <row r="159" spans="2:59">
      <c r="B159" s="6"/>
      <c r="C159" s="6"/>
      <c r="D159" s="6"/>
      <c r="E159" s="6"/>
      <c r="F159" s="6"/>
      <c r="G159" s="6"/>
      <c r="H159" s="6"/>
      <c r="I159" s="6"/>
      <c r="J159" s="6"/>
      <c r="K159" s="6"/>
      <c r="L159" s="6"/>
    </row>
    <row r="160" spans="2:59">
      <c r="B160" s="6"/>
      <c r="C160" s="6"/>
      <c r="D160" s="6"/>
      <c r="E160" s="6"/>
      <c r="F160" s="6"/>
      <c r="G160" s="6"/>
      <c r="H160" s="6"/>
      <c r="I160" s="6"/>
      <c r="J160" s="6"/>
      <c r="K160" s="6"/>
      <c r="L160" s="6"/>
    </row>
    <row r="161" spans="2:12">
      <c r="B161" s="6"/>
      <c r="C161" s="6"/>
      <c r="D161" s="6"/>
      <c r="E161" s="6"/>
      <c r="F161" s="6"/>
      <c r="G161" s="6"/>
      <c r="H161" s="6"/>
      <c r="I161" s="6"/>
      <c r="J161" s="6"/>
      <c r="K161" s="6"/>
      <c r="L161" s="6"/>
    </row>
    <row r="162" spans="2:12">
      <c r="B162" s="6"/>
      <c r="C162" s="6"/>
      <c r="D162" s="6"/>
      <c r="E162" s="6"/>
      <c r="F162" s="6"/>
      <c r="G162" s="6"/>
      <c r="H162" s="6"/>
      <c r="I162" s="6"/>
      <c r="J162" s="6"/>
      <c r="K162" s="6"/>
      <c r="L162" s="6"/>
    </row>
    <row r="163" spans="2:12">
      <c r="B163" s="6"/>
      <c r="C163" s="6"/>
      <c r="D163" s="6"/>
      <c r="E163" s="6"/>
      <c r="F163" s="6"/>
      <c r="G163" s="6"/>
      <c r="H163" s="6"/>
      <c r="I163" s="6"/>
      <c r="J163" s="6"/>
      <c r="K163" s="6"/>
      <c r="L163" s="6"/>
    </row>
    <row r="164" spans="2:12">
      <c r="B164" s="6"/>
      <c r="C164" s="6"/>
      <c r="D164" s="6"/>
      <c r="E164" s="6"/>
      <c r="F164" s="6"/>
      <c r="G164" s="6"/>
      <c r="H164" s="6"/>
      <c r="I164" s="6"/>
      <c r="J164" s="6"/>
      <c r="K164" s="6"/>
      <c r="L164" s="6"/>
    </row>
    <row r="165" spans="2:12">
      <c r="B165" s="6"/>
      <c r="C165" s="6"/>
      <c r="D165" s="6"/>
      <c r="E165" s="6"/>
      <c r="F165" s="6"/>
      <c r="G165" s="6"/>
      <c r="H165" s="6"/>
      <c r="I165" s="6"/>
      <c r="J165" s="6"/>
      <c r="K165" s="6"/>
      <c r="L165" s="6"/>
    </row>
    <row r="166" spans="2:12">
      <c r="B166" s="6"/>
      <c r="C166" s="6"/>
      <c r="D166" s="6"/>
      <c r="E166" s="6"/>
      <c r="F166" s="6"/>
      <c r="G166" s="6"/>
      <c r="H166" s="6"/>
      <c r="I166" s="6"/>
      <c r="J166" s="6"/>
      <c r="K166" s="6"/>
      <c r="L166" s="6"/>
    </row>
    <row r="167" spans="2:12">
      <c r="B167" s="6"/>
      <c r="C167" s="6"/>
      <c r="D167" s="6"/>
      <c r="E167" s="6"/>
      <c r="F167" s="6"/>
      <c r="G167" s="6"/>
      <c r="H167" s="6"/>
      <c r="I167" s="6"/>
      <c r="J167" s="6"/>
      <c r="K167" s="6"/>
      <c r="L167" s="6"/>
    </row>
    <row r="168" spans="2:12">
      <c r="B168" s="6"/>
      <c r="C168" s="6"/>
      <c r="D168" s="6"/>
      <c r="E168" s="6"/>
      <c r="F168" s="6"/>
      <c r="G168" s="6"/>
      <c r="H168" s="6"/>
      <c r="I168" s="6"/>
      <c r="J168" s="6"/>
      <c r="K168" s="6"/>
      <c r="L168" s="6"/>
    </row>
    <row r="169" spans="2:12">
      <c r="B169" s="6"/>
      <c r="C169" s="6"/>
      <c r="D169" s="6"/>
      <c r="E169" s="6"/>
      <c r="F169" s="6"/>
      <c r="G169" s="6"/>
      <c r="H169" s="6"/>
      <c r="I169" s="6"/>
      <c r="J169" s="6"/>
      <c r="K169" s="6"/>
      <c r="L169" s="6"/>
    </row>
    <row r="170" spans="2:12">
      <c r="B170" s="6"/>
      <c r="C170" s="6"/>
      <c r="D170" s="6"/>
      <c r="E170" s="6"/>
      <c r="F170" s="6"/>
      <c r="G170" s="6"/>
      <c r="H170" s="6"/>
      <c r="I170" s="6"/>
      <c r="J170" s="6"/>
      <c r="K170" s="6"/>
      <c r="L170" s="6"/>
    </row>
    <row r="171" spans="2:12">
      <c r="B171" s="6"/>
      <c r="C171" s="6"/>
      <c r="D171" s="6"/>
      <c r="E171" s="6"/>
      <c r="F171" s="6"/>
      <c r="G171" s="6"/>
      <c r="H171" s="6"/>
      <c r="I171" s="6"/>
      <c r="J171" s="6"/>
      <c r="K171" s="6"/>
      <c r="L171" s="6"/>
    </row>
    <row r="172" spans="2:12">
      <c r="B172" s="6"/>
      <c r="C172" s="6"/>
      <c r="D172" s="6"/>
      <c r="E172" s="6"/>
      <c r="F172" s="6"/>
      <c r="G172" s="6"/>
      <c r="H172" s="6"/>
      <c r="I172" s="6"/>
      <c r="J172" s="6"/>
      <c r="K172" s="6"/>
      <c r="L172" s="6"/>
    </row>
    <row r="173" spans="2:12">
      <c r="B173" s="6"/>
      <c r="C173" s="6"/>
      <c r="D173" s="6"/>
      <c r="E173" s="6"/>
      <c r="F173" s="6"/>
      <c r="G173" s="6"/>
      <c r="H173" s="6"/>
      <c r="I173" s="6"/>
      <c r="J173" s="6"/>
      <c r="K173" s="6"/>
      <c r="L173" s="6"/>
    </row>
    <row r="174" spans="2:12">
      <c r="B174" s="6"/>
      <c r="C174" s="6"/>
      <c r="D174" s="6"/>
      <c r="E174" s="6"/>
      <c r="F174" s="6"/>
      <c r="G174" s="6"/>
      <c r="H174" s="6"/>
      <c r="I174" s="6"/>
      <c r="J174" s="6"/>
      <c r="K174" s="6"/>
      <c r="L174" s="6"/>
    </row>
    <row r="175" spans="2:12">
      <c r="B175" s="6"/>
      <c r="C175" s="6"/>
      <c r="D175" s="6"/>
      <c r="E175" s="6"/>
      <c r="F175" s="6"/>
      <c r="G175" s="6"/>
      <c r="H175" s="6"/>
      <c r="I175" s="6"/>
      <c r="J175" s="6"/>
      <c r="K175" s="6"/>
      <c r="L175" s="6"/>
    </row>
    <row r="176" spans="2:12">
      <c r="B176" s="6"/>
      <c r="C176" s="6"/>
      <c r="D176" s="6"/>
      <c r="E176" s="6"/>
      <c r="F176" s="6"/>
      <c r="G176" s="6"/>
      <c r="H176" s="6"/>
      <c r="I176" s="6"/>
      <c r="J176" s="6"/>
      <c r="K176" s="6"/>
      <c r="L176" s="6"/>
    </row>
    <row r="177" spans="2:12">
      <c r="B177" s="6"/>
      <c r="C177" s="6"/>
      <c r="D177" s="6"/>
      <c r="E177" s="6"/>
      <c r="F177" s="6"/>
      <c r="G177" s="6"/>
      <c r="H177" s="6"/>
      <c r="I177" s="6"/>
      <c r="J177" s="6"/>
      <c r="K177" s="6"/>
      <c r="L177" s="6"/>
    </row>
    <row r="178" spans="2:12">
      <c r="B178" s="6"/>
      <c r="C178" s="6"/>
      <c r="D178" s="6"/>
      <c r="E178" s="6"/>
      <c r="F178" s="6"/>
      <c r="G178" s="6"/>
      <c r="H178" s="6"/>
      <c r="I178" s="6"/>
      <c r="J178" s="6"/>
      <c r="K178" s="6"/>
      <c r="L178" s="6"/>
    </row>
    <row r="179" spans="2:12">
      <c r="B179" s="6"/>
      <c r="C179" s="6"/>
      <c r="D179" s="6"/>
      <c r="E179" s="6"/>
      <c r="F179" s="6"/>
      <c r="G179" s="6"/>
      <c r="H179" s="6"/>
      <c r="I179" s="6"/>
      <c r="J179" s="6"/>
      <c r="K179" s="6"/>
      <c r="L179" s="6"/>
    </row>
    <row r="180" spans="2:12">
      <c r="B180" s="6"/>
      <c r="C180" s="6"/>
      <c r="D180" s="6"/>
      <c r="E180" s="6"/>
      <c r="F180" s="6"/>
      <c r="G180" s="6"/>
      <c r="H180" s="6"/>
      <c r="I180" s="6"/>
      <c r="J180" s="6"/>
      <c r="K180" s="6"/>
      <c r="L180" s="6"/>
    </row>
    <row r="181" spans="2:12">
      <c r="B181" s="6"/>
      <c r="C181" s="6"/>
      <c r="D181" s="6"/>
      <c r="E181" s="6"/>
      <c r="F181" s="6"/>
      <c r="G181" s="6"/>
      <c r="H181" s="6"/>
      <c r="I181" s="6"/>
      <c r="J181" s="6"/>
      <c r="K181" s="6"/>
      <c r="L181" s="6"/>
    </row>
    <row r="182" spans="2:12">
      <c r="B182" s="6"/>
      <c r="C182" s="6"/>
      <c r="D182" s="6"/>
      <c r="E182" s="6"/>
      <c r="F182" s="6"/>
      <c r="G182" s="6"/>
      <c r="H182" s="6"/>
      <c r="I182" s="6"/>
      <c r="J182" s="6"/>
      <c r="K182" s="6"/>
      <c r="L182" s="6"/>
    </row>
    <row r="183" spans="2:12">
      <c r="B183" s="6"/>
      <c r="C183" s="6"/>
      <c r="D183" s="6"/>
      <c r="E183" s="6"/>
      <c r="F183" s="6"/>
      <c r="G183" s="6"/>
      <c r="H183" s="6"/>
      <c r="I183" s="6"/>
      <c r="J183" s="6"/>
      <c r="K183" s="6"/>
      <c r="L183" s="6"/>
    </row>
    <row r="184" spans="2:12">
      <c r="B184" s="6"/>
      <c r="C184" s="6"/>
      <c r="D184" s="6"/>
      <c r="E184" s="6"/>
      <c r="F184" s="6"/>
      <c r="G184" s="6"/>
      <c r="H184" s="6"/>
      <c r="I184" s="6"/>
      <c r="J184" s="6"/>
      <c r="K184" s="6"/>
      <c r="L184" s="6"/>
    </row>
    <row r="185" spans="2:12">
      <c r="B185" s="6"/>
      <c r="C185" s="6"/>
      <c r="D185" s="6"/>
      <c r="E185" s="6"/>
      <c r="F185" s="6"/>
      <c r="G185" s="6"/>
      <c r="H185" s="6"/>
      <c r="I185" s="6"/>
      <c r="J185" s="6"/>
      <c r="K185" s="6"/>
      <c r="L185" s="6"/>
    </row>
    <row r="186" spans="2:12">
      <c r="B186" s="6"/>
      <c r="C186" s="6"/>
      <c r="D186" s="6"/>
      <c r="E186" s="6"/>
      <c r="F186" s="6"/>
      <c r="G186" s="6"/>
      <c r="H186" s="6"/>
      <c r="I186" s="6"/>
      <c r="J186" s="6"/>
      <c r="K186" s="6"/>
      <c r="L186" s="6"/>
    </row>
    <row r="187" spans="2:12">
      <c r="B187" s="6"/>
      <c r="C187" s="6"/>
      <c r="D187" s="6"/>
      <c r="E187" s="6"/>
      <c r="F187" s="6"/>
      <c r="G187" s="6"/>
      <c r="H187" s="6"/>
      <c r="I187" s="6"/>
      <c r="J187" s="6"/>
      <c r="K187" s="6"/>
      <c r="L187" s="6"/>
    </row>
    <row r="188" spans="2:12">
      <c r="B188" s="6"/>
      <c r="C188" s="6"/>
      <c r="D188" s="6"/>
      <c r="E188" s="6"/>
      <c r="F188" s="6"/>
      <c r="G188" s="6"/>
      <c r="H188" s="6"/>
      <c r="I188" s="6"/>
      <c r="J188" s="6"/>
      <c r="K188" s="6"/>
      <c r="L188" s="6"/>
    </row>
    <row r="189" spans="2:12">
      <c r="B189" s="6"/>
      <c r="C189" s="6"/>
      <c r="D189" s="6"/>
      <c r="E189" s="6"/>
      <c r="F189" s="6"/>
      <c r="G189" s="6"/>
      <c r="H189" s="6"/>
      <c r="I189" s="6"/>
      <c r="J189" s="6"/>
      <c r="K189" s="6"/>
      <c r="L189" s="6"/>
    </row>
    <row r="190" spans="2:12">
      <c r="B190" s="6"/>
      <c r="C190" s="6"/>
      <c r="D190" s="6"/>
      <c r="E190" s="6"/>
      <c r="F190" s="6"/>
      <c r="G190" s="6"/>
      <c r="H190" s="6"/>
      <c r="I190" s="6"/>
      <c r="J190" s="6"/>
      <c r="K190" s="6"/>
      <c r="L190" s="6"/>
    </row>
    <row r="191" spans="2:12">
      <c r="B191" s="6"/>
      <c r="C191" s="6"/>
      <c r="D191" s="6"/>
      <c r="E191" s="6"/>
      <c r="F191" s="6"/>
      <c r="G191" s="6"/>
      <c r="H191" s="6"/>
      <c r="I191" s="6"/>
      <c r="J191" s="6"/>
      <c r="K191" s="6"/>
      <c r="L191" s="6"/>
    </row>
    <row r="192" spans="2:12">
      <c r="B192" s="6"/>
      <c r="C192" s="6"/>
      <c r="D192" s="6"/>
      <c r="E192" s="6"/>
      <c r="F192" s="6"/>
      <c r="G192" s="6"/>
      <c r="H192" s="6"/>
      <c r="I192" s="6"/>
      <c r="J192" s="6"/>
      <c r="K192" s="6"/>
      <c r="L192" s="6"/>
    </row>
    <row r="193" spans="2:12">
      <c r="B193" s="6"/>
      <c r="C193" s="6"/>
      <c r="D193" s="6"/>
      <c r="E193" s="6"/>
      <c r="F193" s="6"/>
      <c r="G193" s="6"/>
      <c r="H193" s="6"/>
      <c r="I193" s="6"/>
      <c r="J193" s="6"/>
      <c r="K193" s="6"/>
      <c r="L193" s="6"/>
    </row>
    <row r="194" spans="2:12">
      <c r="B194" s="6"/>
      <c r="C194" s="6"/>
      <c r="D194" s="6"/>
      <c r="E194" s="6"/>
      <c r="F194" s="6"/>
      <c r="G194" s="6"/>
      <c r="H194" s="6"/>
      <c r="I194" s="6"/>
      <c r="J194" s="6"/>
      <c r="K194" s="6"/>
      <c r="L194" s="6"/>
    </row>
    <row r="195" spans="2:12">
      <c r="B195" s="6"/>
      <c r="C195" s="6"/>
      <c r="D195" s="6"/>
      <c r="E195" s="6"/>
      <c r="F195" s="6"/>
      <c r="G195" s="6"/>
      <c r="H195" s="6"/>
      <c r="I195" s="6"/>
      <c r="J195" s="6"/>
      <c r="K195" s="6"/>
      <c r="L195" s="6"/>
    </row>
    <row r="196" spans="2:12">
      <c r="B196" s="6"/>
      <c r="C196" s="6"/>
      <c r="D196" s="6"/>
      <c r="E196" s="6"/>
      <c r="F196" s="6"/>
      <c r="G196" s="6"/>
      <c r="H196" s="6"/>
      <c r="I196" s="6"/>
      <c r="J196" s="6"/>
      <c r="K196" s="6"/>
      <c r="L196" s="6"/>
    </row>
    <row r="197" spans="2:12">
      <c r="B197" s="6"/>
      <c r="C197" s="6"/>
      <c r="D197" s="6"/>
      <c r="E197" s="6"/>
      <c r="F197" s="6"/>
      <c r="G197" s="6"/>
      <c r="H197" s="6"/>
      <c r="I197" s="6"/>
      <c r="J197" s="6"/>
      <c r="K197" s="6"/>
      <c r="L197" s="6"/>
    </row>
    <row r="198" spans="2:12">
      <c r="B198" s="6"/>
      <c r="C198" s="6"/>
      <c r="D198" s="6"/>
      <c r="E198" s="6"/>
      <c r="F198" s="6"/>
      <c r="G198" s="6"/>
      <c r="H198" s="6"/>
      <c r="I198" s="6"/>
      <c r="J198" s="6"/>
      <c r="K198" s="6"/>
      <c r="L198" s="6"/>
    </row>
    <row r="199" spans="2:12">
      <c r="B199" s="6"/>
      <c r="C199" s="6"/>
      <c r="D199" s="6"/>
      <c r="E199" s="6"/>
      <c r="F199" s="6"/>
      <c r="G199" s="6"/>
      <c r="H199" s="6"/>
      <c r="I199" s="6"/>
      <c r="J199" s="6"/>
      <c r="K199" s="6"/>
      <c r="L199" s="6"/>
    </row>
    <row r="200" spans="2:12">
      <c r="B200" s="6"/>
      <c r="C200" s="6"/>
      <c r="D200" s="6"/>
      <c r="E200" s="6"/>
      <c r="F200" s="6"/>
      <c r="G200" s="6"/>
      <c r="H200" s="6"/>
      <c r="I200" s="6"/>
      <c r="J200" s="6"/>
      <c r="K200" s="6"/>
      <c r="L200" s="6"/>
    </row>
    <row r="201" spans="2:12">
      <c r="B201" s="6"/>
      <c r="C201" s="6"/>
      <c r="D201" s="6"/>
      <c r="E201" s="6"/>
      <c r="F201" s="6"/>
      <c r="G201" s="6"/>
      <c r="H201" s="6"/>
      <c r="I201" s="6"/>
      <c r="J201" s="6"/>
      <c r="K201" s="6"/>
      <c r="L201" s="6"/>
    </row>
    <row r="202" spans="2:12">
      <c r="B202" s="6"/>
      <c r="C202" s="6"/>
      <c r="D202" s="6"/>
      <c r="E202" s="6"/>
      <c r="F202" s="6"/>
      <c r="G202" s="6"/>
      <c r="H202" s="6"/>
      <c r="I202" s="6"/>
      <c r="J202" s="6"/>
      <c r="K202" s="6"/>
      <c r="L202" s="6"/>
    </row>
    <row r="203" spans="2:12">
      <c r="B203" s="6"/>
      <c r="C203" s="6"/>
      <c r="D203" s="6"/>
      <c r="E203" s="6"/>
      <c r="F203" s="6"/>
      <c r="G203" s="6"/>
      <c r="H203" s="6"/>
      <c r="I203" s="6"/>
      <c r="J203" s="6"/>
      <c r="K203" s="6"/>
      <c r="L203" s="6"/>
    </row>
    <row r="204" spans="2:12">
      <c r="B204" s="6"/>
      <c r="C204" s="6"/>
      <c r="D204" s="6"/>
      <c r="E204" s="6"/>
      <c r="F204" s="6"/>
      <c r="G204" s="6"/>
      <c r="H204" s="6"/>
      <c r="I204" s="6"/>
      <c r="J204" s="6"/>
      <c r="K204" s="6"/>
      <c r="L204" s="6"/>
    </row>
    <row r="205" spans="2:12">
      <c r="B205" s="6"/>
      <c r="C205" s="6"/>
      <c r="D205" s="6"/>
      <c r="E205" s="6"/>
      <c r="F205" s="6"/>
      <c r="G205" s="6"/>
      <c r="H205" s="6"/>
      <c r="I205" s="6"/>
      <c r="J205" s="6"/>
      <c r="K205" s="6"/>
      <c r="L205" s="6"/>
    </row>
    <row r="206" spans="2:12">
      <c r="B206" s="6"/>
      <c r="C206" s="6"/>
      <c r="D206" s="6"/>
      <c r="E206" s="6"/>
      <c r="F206" s="6"/>
      <c r="G206" s="6"/>
      <c r="H206" s="6"/>
      <c r="I206" s="6"/>
      <c r="J206" s="6"/>
      <c r="K206" s="6"/>
      <c r="L206" s="6"/>
    </row>
    <row r="207" spans="2:12">
      <c r="B207" s="6"/>
      <c r="C207" s="6"/>
      <c r="D207" s="6"/>
      <c r="E207" s="6"/>
      <c r="F207" s="6"/>
      <c r="G207" s="6"/>
      <c r="H207" s="6"/>
      <c r="I207" s="6"/>
      <c r="J207" s="6"/>
      <c r="K207" s="6"/>
      <c r="L207" s="6"/>
    </row>
    <row r="208" spans="2:12">
      <c r="B208" s="6"/>
      <c r="C208" s="6"/>
      <c r="D208" s="6"/>
      <c r="E208" s="6"/>
      <c r="F208" s="6"/>
      <c r="G208" s="6"/>
      <c r="H208" s="6"/>
      <c r="I208" s="6"/>
      <c r="J208" s="6"/>
      <c r="K208" s="6"/>
      <c r="L208" s="6"/>
    </row>
    <row r="209" spans="2:12">
      <c r="B209" s="6"/>
      <c r="C209" s="6"/>
      <c r="D209" s="6"/>
      <c r="E209" s="6"/>
      <c r="F209" s="6"/>
      <c r="G209" s="6"/>
      <c r="H209" s="6"/>
      <c r="I209" s="6"/>
      <c r="J209" s="6"/>
      <c r="K209" s="6"/>
      <c r="L209" s="6"/>
    </row>
    <row r="210" spans="2:12">
      <c r="B210" s="6"/>
      <c r="C210" s="6"/>
      <c r="D210" s="6"/>
      <c r="E210" s="6"/>
      <c r="F210" s="6"/>
      <c r="G210" s="6"/>
      <c r="H210" s="6"/>
      <c r="I210" s="6"/>
      <c r="J210" s="6"/>
      <c r="K210" s="6"/>
      <c r="L210" s="6"/>
    </row>
    <row r="211" spans="2:12">
      <c r="B211" s="6"/>
      <c r="C211" s="6"/>
      <c r="D211" s="6"/>
      <c r="E211" s="6"/>
      <c r="F211" s="6"/>
      <c r="G211" s="6"/>
      <c r="H211" s="6"/>
      <c r="I211" s="6"/>
      <c r="J211" s="6"/>
      <c r="K211" s="6"/>
      <c r="L211" s="6"/>
    </row>
    <row r="212" spans="2:12">
      <c r="B212" s="6"/>
      <c r="C212" s="6"/>
      <c r="D212" s="6"/>
      <c r="E212" s="6"/>
      <c r="F212" s="6"/>
      <c r="G212" s="6"/>
      <c r="H212" s="6"/>
      <c r="I212" s="6"/>
      <c r="J212" s="6"/>
      <c r="K212" s="6"/>
      <c r="L212" s="6"/>
    </row>
    <row r="213" spans="2:12">
      <c r="B213" s="6"/>
      <c r="C213" s="6"/>
      <c r="D213" s="6"/>
      <c r="E213" s="6"/>
      <c r="F213" s="6"/>
      <c r="G213" s="6"/>
      <c r="H213" s="6"/>
      <c r="I213" s="6"/>
      <c r="J213" s="6"/>
      <c r="K213" s="6"/>
      <c r="L213" s="6"/>
    </row>
    <row r="214" spans="2:12">
      <c r="B214" s="6"/>
      <c r="C214" s="6"/>
      <c r="D214" s="6"/>
      <c r="E214" s="6"/>
      <c r="F214" s="6"/>
      <c r="G214" s="6"/>
      <c r="H214" s="6"/>
      <c r="I214" s="6"/>
      <c r="J214" s="6"/>
      <c r="K214" s="6"/>
      <c r="L214" s="6"/>
    </row>
    <row r="215" spans="2:12">
      <c r="B215" s="6"/>
      <c r="C215" s="6"/>
      <c r="D215" s="6"/>
      <c r="E215" s="6"/>
      <c r="F215" s="6"/>
      <c r="G215" s="6"/>
      <c r="H215" s="6"/>
      <c r="I215" s="6"/>
      <c r="J215" s="6"/>
      <c r="K215" s="6"/>
      <c r="L215" s="6"/>
    </row>
    <row r="216" spans="2:12">
      <c r="B216" s="6"/>
      <c r="C216" s="6"/>
      <c r="D216" s="6"/>
      <c r="E216" s="6"/>
      <c r="F216" s="6"/>
      <c r="G216" s="6"/>
      <c r="H216" s="6"/>
      <c r="I216" s="6"/>
      <c r="J216" s="6"/>
      <c r="K216" s="6"/>
      <c r="L216" s="6"/>
    </row>
    <row r="217" spans="2:12">
      <c r="B217" s="6"/>
      <c r="C217" s="6"/>
      <c r="D217" s="6"/>
      <c r="E217" s="6"/>
      <c r="F217" s="6"/>
      <c r="G217" s="6"/>
      <c r="H217" s="6"/>
      <c r="I217" s="6"/>
      <c r="J217" s="6"/>
      <c r="K217" s="6"/>
      <c r="L217" s="6"/>
    </row>
    <row r="218" spans="2:12">
      <c r="B218" s="6"/>
      <c r="C218" s="6"/>
      <c r="D218" s="6"/>
      <c r="E218" s="6"/>
      <c r="F218" s="6"/>
      <c r="G218" s="6"/>
      <c r="H218" s="6"/>
      <c r="I218" s="6"/>
      <c r="J218" s="6"/>
      <c r="K218" s="6"/>
      <c r="L218" s="6"/>
    </row>
    <row r="219" spans="2:12">
      <c r="B219" s="6"/>
      <c r="C219" s="6"/>
      <c r="D219" s="6"/>
      <c r="E219" s="6"/>
      <c r="F219" s="6"/>
      <c r="G219" s="6"/>
      <c r="H219" s="6"/>
      <c r="I219" s="6"/>
      <c r="J219" s="6"/>
      <c r="K219" s="6"/>
      <c r="L219" s="6"/>
    </row>
    <row r="220" spans="2:12">
      <c r="B220" s="6"/>
      <c r="C220" s="6"/>
      <c r="D220" s="6"/>
      <c r="E220" s="6"/>
      <c r="F220" s="6"/>
      <c r="G220" s="6"/>
      <c r="H220" s="6"/>
      <c r="I220" s="6"/>
      <c r="J220" s="6"/>
      <c r="K220" s="6"/>
      <c r="L220" s="6"/>
    </row>
    <row r="221" spans="2:12">
      <c r="B221" s="6"/>
      <c r="C221" s="6"/>
      <c r="D221" s="6"/>
      <c r="E221" s="6"/>
      <c r="F221" s="6"/>
      <c r="G221" s="6"/>
      <c r="H221" s="6"/>
      <c r="I221" s="6"/>
      <c r="J221" s="6"/>
      <c r="K221" s="6"/>
      <c r="L221" s="6"/>
    </row>
    <row r="222" spans="2:12">
      <c r="B222" s="6"/>
      <c r="C222" s="6"/>
      <c r="D222" s="6"/>
      <c r="E222" s="6"/>
      <c r="F222" s="6"/>
      <c r="G222" s="6"/>
      <c r="H222" s="6"/>
      <c r="I222" s="6"/>
      <c r="J222" s="6"/>
      <c r="K222" s="6"/>
      <c r="L222" s="6"/>
    </row>
    <row r="223" spans="2:12">
      <c r="B223" s="6"/>
      <c r="C223" s="6"/>
      <c r="D223" s="6"/>
      <c r="E223" s="6"/>
      <c r="F223" s="6"/>
      <c r="G223" s="6"/>
      <c r="H223" s="6"/>
      <c r="I223" s="6"/>
      <c r="J223" s="6"/>
      <c r="K223" s="6"/>
      <c r="L223" s="6"/>
    </row>
    <row r="224" spans="2:12">
      <c r="B224" s="6"/>
      <c r="C224" s="6"/>
      <c r="D224" s="6"/>
      <c r="E224" s="6"/>
      <c r="F224" s="6"/>
      <c r="G224" s="6"/>
      <c r="H224" s="6"/>
      <c r="I224" s="6"/>
      <c r="J224" s="6"/>
      <c r="K224" s="6"/>
      <c r="L224" s="6"/>
    </row>
    <row r="225" spans="2:12">
      <c r="B225" s="6"/>
      <c r="C225" s="6"/>
      <c r="D225" s="6"/>
      <c r="E225" s="6"/>
      <c r="F225" s="6"/>
      <c r="G225" s="6"/>
      <c r="H225" s="6"/>
      <c r="I225" s="6"/>
      <c r="J225" s="6"/>
      <c r="K225" s="6"/>
      <c r="L225" s="6"/>
    </row>
    <row r="226" spans="2:12">
      <c r="B226" s="6"/>
      <c r="C226" s="6"/>
      <c r="D226" s="6"/>
      <c r="E226" s="6"/>
      <c r="F226" s="6"/>
      <c r="G226" s="6"/>
      <c r="H226" s="6"/>
      <c r="I226" s="6"/>
      <c r="J226" s="6"/>
      <c r="K226" s="6"/>
      <c r="L226" s="6"/>
    </row>
    <row r="227" spans="2:12">
      <c r="B227" s="6"/>
      <c r="C227" s="6"/>
      <c r="D227" s="6"/>
      <c r="E227" s="6"/>
      <c r="F227" s="6"/>
      <c r="G227" s="6"/>
      <c r="H227" s="6"/>
      <c r="I227" s="6"/>
      <c r="J227" s="6"/>
      <c r="K227" s="6"/>
      <c r="L227" s="6"/>
    </row>
    <row r="228" spans="2:12">
      <c r="B228" s="6"/>
      <c r="C228" s="6"/>
      <c r="D228" s="6"/>
      <c r="E228" s="6"/>
      <c r="F228" s="6"/>
      <c r="G228" s="6"/>
      <c r="H228" s="6"/>
      <c r="I228" s="6"/>
      <c r="J228" s="6"/>
      <c r="K228" s="6"/>
      <c r="L228" s="6"/>
    </row>
    <row r="229" spans="2:12">
      <c r="B229" s="6"/>
      <c r="C229" s="6"/>
      <c r="D229" s="6"/>
      <c r="E229" s="6"/>
      <c r="F229" s="6"/>
      <c r="G229" s="6"/>
      <c r="H229" s="6"/>
      <c r="I229" s="6"/>
      <c r="J229" s="6"/>
      <c r="K229" s="6"/>
      <c r="L229" s="6"/>
    </row>
    <row r="230" spans="2:12">
      <c r="B230" s="6"/>
      <c r="C230" s="6"/>
      <c r="D230" s="6"/>
      <c r="E230" s="6"/>
      <c r="F230" s="6"/>
      <c r="G230" s="6"/>
      <c r="H230" s="6"/>
      <c r="I230" s="6"/>
      <c r="J230" s="6"/>
      <c r="K230" s="6"/>
      <c r="L230" s="6"/>
    </row>
    <row r="231" spans="2:12">
      <c r="B231" s="6"/>
      <c r="C231" s="6"/>
      <c r="D231" s="6"/>
      <c r="E231" s="6"/>
      <c r="F231" s="6"/>
      <c r="G231" s="6"/>
      <c r="H231" s="6"/>
      <c r="I231" s="6"/>
      <c r="J231" s="6"/>
      <c r="K231" s="6"/>
      <c r="L231" s="6"/>
    </row>
    <row r="232" spans="2:12">
      <c r="B232" s="6"/>
      <c r="C232" s="6"/>
      <c r="D232" s="6"/>
      <c r="E232" s="6"/>
      <c r="F232" s="6"/>
      <c r="G232" s="6"/>
      <c r="H232" s="6"/>
      <c r="I232" s="6"/>
      <c r="J232" s="6"/>
      <c r="K232" s="6"/>
      <c r="L232" s="6"/>
    </row>
    <row r="233" spans="2:12">
      <c r="B233" s="6"/>
      <c r="C233" s="6"/>
      <c r="D233" s="6"/>
      <c r="E233" s="6"/>
      <c r="F233" s="6"/>
      <c r="G233" s="6"/>
      <c r="H233" s="6"/>
      <c r="I233" s="6"/>
      <c r="J233" s="6"/>
      <c r="K233" s="6"/>
      <c r="L233" s="6"/>
    </row>
    <row r="234" spans="2:12">
      <c r="B234" s="6"/>
      <c r="C234" s="6"/>
      <c r="D234" s="6"/>
      <c r="E234" s="6"/>
      <c r="F234" s="6"/>
      <c r="G234" s="6"/>
      <c r="H234" s="6"/>
      <c r="I234" s="6"/>
      <c r="J234" s="6"/>
      <c r="K234" s="6"/>
      <c r="L234" s="6"/>
    </row>
    <row r="235" spans="2:12">
      <c r="B235" s="6"/>
      <c r="C235" s="6"/>
      <c r="D235" s="6"/>
      <c r="E235" s="6"/>
      <c r="F235" s="6"/>
      <c r="G235" s="6"/>
      <c r="H235" s="6"/>
      <c r="I235" s="6"/>
      <c r="J235" s="6"/>
      <c r="K235" s="6"/>
      <c r="L235" s="6"/>
    </row>
    <row r="236" spans="2:12">
      <c r="B236" s="6"/>
      <c r="C236" s="6"/>
      <c r="D236" s="6"/>
      <c r="E236" s="6"/>
      <c r="F236" s="6"/>
      <c r="G236" s="6"/>
      <c r="H236" s="6"/>
      <c r="I236" s="6"/>
      <c r="J236" s="6"/>
      <c r="K236" s="6"/>
      <c r="L236" s="6"/>
    </row>
    <row r="237" spans="2:12">
      <c r="B237" s="6"/>
      <c r="C237" s="6"/>
      <c r="D237" s="6"/>
      <c r="E237" s="6"/>
      <c r="F237" s="6"/>
      <c r="G237" s="6"/>
      <c r="H237" s="6"/>
      <c r="I237" s="6"/>
      <c r="J237" s="6"/>
      <c r="K237" s="6"/>
      <c r="L237" s="6"/>
    </row>
    <row r="238" spans="2:12">
      <c r="B238" s="6"/>
      <c r="C238" s="6"/>
      <c r="D238" s="6"/>
      <c r="E238" s="6"/>
      <c r="F238" s="6"/>
      <c r="G238" s="6"/>
      <c r="H238" s="6"/>
      <c r="I238" s="6"/>
      <c r="J238" s="6"/>
      <c r="K238" s="6"/>
      <c r="L238" s="6"/>
    </row>
    <row r="239" spans="2:12">
      <c r="B239" s="6"/>
      <c r="C239" s="6"/>
      <c r="D239" s="6"/>
      <c r="E239" s="6"/>
      <c r="F239" s="6"/>
      <c r="G239" s="6"/>
      <c r="H239" s="6"/>
      <c r="I239" s="6"/>
      <c r="J239" s="6"/>
      <c r="K239" s="6"/>
      <c r="L239" s="6"/>
    </row>
    <row r="240" spans="2:12">
      <c r="B240" s="6"/>
      <c r="C240" s="6"/>
      <c r="D240" s="6"/>
      <c r="E240" s="6"/>
      <c r="F240" s="6"/>
      <c r="G240" s="6"/>
      <c r="H240" s="6"/>
      <c r="I240" s="6"/>
      <c r="J240" s="6"/>
      <c r="K240" s="6"/>
      <c r="L240" s="6"/>
    </row>
    <row r="241" spans="2:12">
      <c r="B241" s="6"/>
      <c r="C241" s="6"/>
      <c r="D241" s="6"/>
      <c r="E241" s="6"/>
      <c r="F241" s="6"/>
      <c r="G241" s="6"/>
      <c r="H241" s="6"/>
      <c r="I241" s="6"/>
      <c r="J241" s="6"/>
      <c r="K241" s="6"/>
      <c r="L241" s="6"/>
    </row>
    <row r="242" spans="2:12">
      <c r="B242" s="6"/>
      <c r="C242" s="6"/>
      <c r="D242" s="6"/>
      <c r="E242" s="6"/>
      <c r="F242" s="6"/>
      <c r="G242" s="6"/>
      <c r="H242" s="6"/>
      <c r="I242" s="6"/>
      <c r="J242" s="6"/>
      <c r="K242" s="6"/>
      <c r="L242" s="6"/>
    </row>
    <row r="243" spans="2:12">
      <c r="B243" s="6"/>
      <c r="C243" s="6"/>
      <c r="D243" s="6"/>
      <c r="E243" s="6"/>
      <c r="F243" s="6"/>
      <c r="G243" s="6"/>
      <c r="H243" s="6"/>
      <c r="I243" s="6"/>
      <c r="J243" s="6"/>
      <c r="K243" s="6"/>
      <c r="L243" s="6"/>
    </row>
    <row r="244" spans="2:12">
      <c r="B244" s="6"/>
      <c r="C244" s="6"/>
      <c r="D244" s="6"/>
      <c r="E244" s="6"/>
      <c r="F244" s="6"/>
      <c r="G244" s="6"/>
      <c r="H244" s="6"/>
      <c r="I244" s="6"/>
      <c r="J244" s="6"/>
      <c r="K244" s="6"/>
      <c r="L244" s="6"/>
    </row>
    <row r="245" spans="2:12">
      <c r="B245" s="6"/>
      <c r="C245" s="6"/>
      <c r="D245" s="6"/>
      <c r="E245" s="6"/>
      <c r="F245" s="6"/>
      <c r="G245" s="6"/>
      <c r="H245" s="6"/>
      <c r="I245" s="6"/>
      <c r="J245" s="6"/>
      <c r="K245" s="6"/>
      <c r="L245" s="6"/>
    </row>
    <row r="246" spans="2:12">
      <c r="B246" s="6"/>
      <c r="C246" s="6"/>
      <c r="D246" s="6"/>
      <c r="E246" s="6"/>
      <c r="F246" s="6"/>
      <c r="G246" s="6"/>
      <c r="H246" s="6"/>
      <c r="I246" s="6"/>
      <c r="J246" s="6"/>
      <c r="K246" s="6"/>
      <c r="L246" s="6"/>
    </row>
    <row r="247" spans="2:12">
      <c r="B247" s="6"/>
      <c r="C247" s="6"/>
      <c r="D247" s="6"/>
      <c r="E247" s="6"/>
      <c r="F247" s="6"/>
      <c r="G247" s="6"/>
      <c r="H247" s="6"/>
      <c r="I247" s="6"/>
      <c r="J247" s="6"/>
      <c r="K247" s="6"/>
      <c r="L247" s="6"/>
    </row>
    <row r="248" spans="2:12">
      <c r="B248" s="6"/>
      <c r="C248" s="6"/>
      <c r="D248" s="6"/>
      <c r="E248" s="6"/>
      <c r="F248" s="6"/>
      <c r="G248" s="6"/>
      <c r="H248" s="6"/>
      <c r="I248" s="6"/>
      <c r="J248" s="6"/>
      <c r="K248" s="6"/>
      <c r="L248" s="6"/>
    </row>
    <row r="249" spans="2:12">
      <c r="B249" s="6"/>
      <c r="C249" s="6"/>
      <c r="D249" s="6"/>
      <c r="E249" s="6"/>
      <c r="F249" s="6"/>
      <c r="G249" s="6"/>
      <c r="H249" s="6"/>
      <c r="I249" s="6"/>
      <c r="J249" s="6"/>
      <c r="K249" s="6"/>
      <c r="L249" s="6"/>
    </row>
    <row r="250" spans="2:12">
      <c r="B250" s="6"/>
      <c r="C250" s="6"/>
      <c r="D250" s="6"/>
      <c r="E250" s="6"/>
      <c r="F250" s="6"/>
      <c r="G250" s="6"/>
      <c r="H250" s="6"/>
      <c r="I250" s="6"/>
      <c r="J250" s="6"/>
      <c r="K250" s="6"/>
      <c r="L250" s="6"/>
    </row>
    <row r="251" spans="2:12">
      <c r="B251" s="6"/>
      <c r="C251" s="6"/>
      <c r="D251" s="6"/>
      <c r="E251" s="6"/>
      <c r="F251" s="6"/>
      <c r="G251" s="6"/>
      <c r="H251" s="6"/>
      <c r="I251" s="6"/>
      <c r="J251" s="6"/>
      <c r="K251" s="6"/>
      <c r="L251" s="6"/>
    </row>
    <row r="252" spans="2:12">
      <c r="B252" s="6"/>
      <c r="C252" s="6"/>
      <c r="D252" s="6"/>
      <c r="E252" s="6"/>
      <c r="F252" s="6"/>
      <c r="G252" s="6"/>
      <c r="H252" s="6"/>
      <c r="I252" s="6"/>
      <c r="J252" s="6"/>
      <c r="K252" s="6"/>
      <c r="L252" s="6"/>
    </row>
    <row r="253" spans="2:12">
      <c r="B253" s="6"/>
      <c r="C253" s="6"/>
      <c r="D253" s="6"/>
      <c r="E253" s="6"/>
      <c r="F253" s="6"/>
      <c r="G253" s="6"/>
      <c r="H253" s="6"/>
      <c r="I253" s="6"/>
      <c r="J253" s="6"/>
      <c r="K253" s="6"/>
      <c r="L253" s="6"/>
    </row>
    <row r="254" spans="2:12">
      <c r="B254" s="6"/>
      <c r="C254" s="6"/>
      <c r="D254" s="6"/>
      <c r="E254" s="6"/>
      <c r="F254" s="6"/>
      <c r="G254" s="6"/>
      <c r="H254" s="6"/>
      <c r="I254" s="6"/>
      <c r="J254" s="6"/>
      <c r="K254" s="6"/>
      <c r="L254" s="6"/>
    </row>
    <row r="255" spans="2:12">
      <c r="B255" s="6"/>
      <c r="C255" s="6"/>
      <c r="D255" s="6"/>
      <c r="E255" s="6"/>
      <c r="F255" s="6"/>
      <c r="G255" s="6"/>
      <c r="H255" s="6"/>
      <c r="I255" s="6"/>
      <c r="J255" s="6"/>
      <c r="K255" s="6"/>
      <c r="L255" s="6"/>
    </row>
    <row r="256" spans="2:12">
      <c r="B256" s="6"/>
      <c r="C256" s="6"/>
      <c r="D256" s="6"/>
      <c r="E256" s="6"/>
      <c r="F256" s="6"/>
      <c r="G256" s="6"/>
      <c r="H256" s="6"/>
      <c r="I256" s="6"/>
      <c r="J256" s="6"/>
      <c r="K256" s="6"/>
      <c r="L256" s="6"/>
    </row>
    <row r="257" spans="2:12">
      <c r="B257" s="6"/>
      <c r="C257" s="6"/>
      <c r="D257" s="6"/>
      <c r="E257" s="6"/>
      <c r="F257" s="6"/>
      <c r="G257" s="6"/>
      <c r="H257" s="6"/>
      <c r="I257" s="6"/>
      <c r="J257" s="6"/>
      <c r="K257" s="6"/>
      <c r="L257" s="6"/>
    </row>
    <row r="258" spans="2:12">
      <c r="B258" s="6"/>
      <c r="C258" s="6"/>
      <c r="D258" s="6"/>
      <c r="E258" s="6"/>
      <c r="F258" s="6"/>
      <c r="G258" s="6"/>
      <c r="H258" s="6"/>
      <c r="I258" s="6"/>
      <c r="J258" s="6"/>
      <c r="K258" s="6"/>
      <c r="L258" s="6"/>
    </row>
    <row r="259" spans="2:12">
      <c r="B259" s="6"/>
      <c r="C259" s="6"/>
      <c r="D259" s="6"/>
      <c r="E259" s="6"/>
      <c r="F259" s="6"/>
      <c r="G259" s="6"/>
      <c r="H259" s="6"/>
      <c r="I259" s="6"/>
      <c r="J259" s="6"/>
      <c r="K259" s="6"/>
      <c r="L259" s="6"/>
    </row>
    <row r="260" spans="2:12">
      <c r="B260" s="6"/>
      <c r="C260" s="6"/>
      <c r="D260" s="6"/>
      <c r="E260" s="6"/>
      <c r="F260" s="6"/>
      <c r="G260" s="6"/>
      <c r="H260" s="6"/>
      <c r="I260" s="6"/>
      <c r="J260" s="6"/>
      <c r="K260" s="6"/>
      <c r="L260" s="6"/>
    </row>
    <row r="261" spans="2:12">
      <c r="B261" s="6"/>
      <c r="C261" s="6"/>
      <c r="D261" s="6"/>
      <c r="E261" s="6"/>
      <c r="F261" s="6"/>
      <c r="G261" s="6"/>
      <c r="H261" s="6"/>
      <c r="I261" s="6"/>
      <c r="J261" s="6"/>
      <c r="K261" s="6"/>
      <c r="L261" s="6"/>
    </row>
    <row r="262" spans="2:12">
      <c r="B262" s="6"/>
      <c r="C262" s="6"/>
      <c r="D262" s="6"/>
      <c r="E262" s="6"/>
      <c r="F262" s="6"/>
      <c r="G262" s="6"/>
      <c r="H262" s="6"/>
      <c r="I262" s="6"/>
      <c r="J262" s="6"/>
      <c r="K262" s="6"/>
      <c r="L262" s="6"/>
    </row>
    <row r="263" spans="2:12">
      <c r="B263" s="6"/>
      <c r="C263" s="6"/>
      <c r="D263" s="6"/>
      <c r="E263" s="6"/>
      <c r="F263" s="6"/>
      <c r="G263" s="6"/>
      <c r="H263" s="6"/>
      <c r="I263" s="6"/>
      <c r="J263" s="6"/>
      <c r="K263" s="6"/>
      <c r="L263" s="6"/>
    </row>
    <row r="264" spans="2:12">
      <c r="B264" s="6"/>
      <c r="C264" s="6"/>
      <c r="D264" s="6"/>
      <c r="E264" s="6"/>
      <c r="F264" s="6"/>
      <c r="G264" s="6"/>
      <c r="H264" s="6"/>
      <c r="I264" s="6"/>
      <c r="J264" s="6"/>
      <c r="K264" s="6"/>
      <c r="L264" s="6"/>
    </row>
    <row r="265" spans="2:12">
      <c r="B265" s="6"/>
      <c r="C265" s="6"/>
      <c r="D265" s="6"/>
      <c r="E265" s="6"/>
      <c r="F265" s="6"/>
      <c r="G265" s="6"/>
      <c r="H265" s="6"/>
      <c r="I265" s="6"/>
      <c r="J265" s="6"/>
      <c r="K265" s="6"/>
      <c r="L265" s="6"/>
    </row>
    <row r="266" spans="2:12">
      <c r="B266" s="6"/>
      <c r="C266" s="6"/>
      <c r="D266" s="6"/>
      <c r="E266" s="6"/>
      <c r="F266" s="6"/>
      <c r="G266" s="6"/>
      <c r="H266" s="6"/>
      <c r="I266" s="6"/>
      <c r="J266" s="6"/>
      <c r="K266" s="6"/>
      <c r="L266" s="6"/>
    </row>
    <row r="267" spans="2:12">
      <c r="B267" s="6"/>
      <c r="C267" s="6"/>
      <c r="D267" s="6"/>
      <c r="E267" s="6"/>
      <c r="F267" s="6"/>
      <c r="G267" s="6"/>
      <c r="H267" s="6"/>
      <c r="I267" s="6"/>
      <c r="J267" s="6"/>
      <c r="K267" s="6"/>
      <c r="L267" s="6"/>
    </row>
    <row r="268" spans="2:12">
      <c r="B268" s="6"/>
      <c r="C268" s="6"/>
      <c r="D268" s="6"/>
      <c r="E268" s="6"/>
      <c r="F268" s="6"/>
      <c r="G268" s="6"/>
      <c r="H268" s="6"/>
      <c r="I268" s="6"/>
      <c r="J268" s="6"/>
      <c r="K268" s="6"/>
      <c r="L268" s="6"/>
    </row>
    <row r="269" spans="2:12">
      <c r="B269" s="6"/>
      <c r="C269" s="6"/>
      <c r="D269" s="6"/>
      <c r="E269" s="6"/>
      <c r="F269" s="6"/>
      <c r="G269" s="6"/>
      <c r="H269" s="6"/>
      <c r="I269" s="6"/>
      <c r="J269" s="6"/>
      <c r="K269" s="6"/>
      <c r="L269" s="6"/>
    </row>
    <row r="270" spans="2:12">
      <c r="B270" s="6"/>
      <c r="C270" s="6"/>
      <c r="D270" s="6"/>
      <c r="E270" s="6"/>
      <c r="F270" s="6"/>
      <c r="G270" s="6"/>
      <c r="H270" s="6"/>
      <c r="I270" s="6"/>
      <c r="J270" s="6"/>
      <c r="K270" s="6"/>
      <c r="L270" s="6"/>
    </row>
    <row r="271" spans="2:12">
      <c r="B271" s="6"/>
      <c r="C271" s="6"/>
      <c r="D271" s="6"/>
      <c r="E271" s="6"/>
      <c r="F271" s="6"/>
      <c r="G271" s="6"/>
      <c r="H271" s="6"/>
      <c r="I271" s="6"/>
      <c r="J271" s="6"/>
      <c r="K271" s="6"/>
      <c r="L271" s="6"/>
    </row>
    <row r="272" spans="2:12">
      <c r="B272" s="6"/>
      <c r="C272" s="6"/>
      <c r="D272" s="6"/>
      <c r="E272" s="6"/>
      <c r="F272" s="6"/>
      <c r="G272" s="6"/>
      <c r="H272" s="6"/>
      <c r="I272" s="6"/>
      <c r="J272" s="6"/>
      <c r="K272" s="6"/>
      <c r="L272" s="6"/>
    </row>
    <row r="273" spans="2:12">
      <c r="B273" s="6"/>
      <c r="C273" s="6"/>
      <c r="D273" s="6"/>
      <c r="E273" s="6"/>
      <c r="F273" s="6"/>
      <c r="G273" s="6"/>
      <c r="H273" s="6"/>
      <c r="I273" s="6"/>
      <c r="J273" s="6"/>
      <c r="K273" s="6"/>
      <c r="L273" s="6"/>
    </row>
    <row r="274" spans="2:12">
      <c r="B274" s="6"/>
      <c r="C274" s="6"/>
      <c r="D274" s="6"/>
      <c r="E274" s="6"/>
      <c r="F274" s="6"/>
      <c r="G274" s="6"/>
      <c r="H274" s="6"/>
      <c r="I274" s="6"/>
      <c r="J274" s="6"/>
      <c r="K274" s="6"/>
      <c r="L274" s="6"/>
    </row>
    <row r="275" spans="2:12">
      <c r="B275" s="6"/>
      <c r="C275" s="6"/>
      <c r="D275" s="6"/>
      <c r="E275" s="6"/>
      <c r="F275" s="6"/>
      <c r="G275" s="6"/>
      <c r="H275" s="6"/>
      <c r="I275" s="6"/>
      <c r="J275" s="6"/>
      <c r="K275" s="6"/>
      <c r="L275" s="6"/>
    </row>
    <row r="276" spans="2:12">
      <c r="B276" s="6"/>
      <c r="C276" s="6"/>
      <c r="D276" s="6"/>
      <c r="E276" s="6"/>
      <c r="F276" s="6"/>
      <c r="G276" s="6"/>
      <c r="H276" s="6"/>
      <c r="I276" s="6"/>
      <c r="J276" s="6"/>
      <c r="K276" s="6"/>
      <c r="L276" s="6"/>
    </row>
    <row r="277" spans="2:12">
      <c r="B277" s="6"/>
      <c r="C277" s="6"/>
      <c r="D277" s="6"/>
      <c r="E277" s="6"/>
      <c r="F277" s="6"/>
      <c r="G277" s="6"/>
      <c r="H277" s="6"/>
      <c r="I277" s="6"/>
      <c r="J277" s="6"/>
      <c r="K277" s="6"/>
      <c r="L277" s="6"/>
    </row>
    <row r="278" spans="2:12">
      <c r="B278" s="6"/>
      <c r="C278" s="6"/>
      <c r="D278" s="6"/>
      <c r="E278" s="6"/>
      <c r="F278" s="6"/>
      <c r="G278" s="6"/>
      <c r="H278" s="6"/>
      <c r="I278" s="6"/>
      <c r="J278" s="6"/>
      <c r="K278" s="6"/>
      <c r="L278" s="6"/>
    </row>
    <row r="279" spans="2:12">
      <c r="B279" s="6"/>
      <c r="C279" s="6"/>
      <c r="D279" s="6"/>
      <c r="E279" s="6"/>
      <c r="F279" s="6"/>
      <c r="G279" s="6"/>
      <c r="H279" s="6"/>
      <c r="I279" s="6"/>
      <c r="J279" s="6"/>
      <c r="K279" s="6"/>
      <c r="L279" s="6"/>
    </row>
    <row r="280" spans="2:12">
      <c r="B280" s="6"/>
      <c r="C280" s="6"/>
      <c r="D280" s="6"/>
      <c r="E280" s="6"/>
      <c r="F280" s="6"/>
      <c r="G280" s="6"/>
      <c r="H280" s="6"/>
      <c r="I280" s="6"/>
      <c r="J280" s="6"/>
      <c r="K280" s="6"/>
      <c r="L280" s="6"/>
    </row>
    <row r="281" spans="2:12">
      <c r="B281" s="6"/>
      <c r="C281" s="6"/>
      <c r="D281" s="6"/>
      <c r="E281" s="6"/>
      <c r="F281" s="6"/>
      <c r="G281" s="6"/>
      <c r="H281" s="6"/>
      <c r="I281" s="6"/>
      <c r="J281" s="6"/>
      <c r="K281" s="6"/>
      <c r="L281" s="6"/>
    </row>
    <row r="282" spans="2:12">
      <c r="B282" s="6"/>
      <c r="C282" s="6"/>
      <c r="D282" s="6"/>
      <c r="E282" s="6"/>
      <c r="F282" s="6"/>
      <c r="G282" s="6"/>
      <c r="H282" s="6"/>
      <c r="I282" s="6"/>
      <c r="J282" s="6"/>
      <c r="K282" s="6"/>
      <c r="L282" s="6"/>
    </row>
    <row r="283" spans="2:12">
      <c r="B283" s="6"/>
      <c r="C283" s="6"/>
      <c r="D283" s="6"/>
      <c r="E283" s="6"/>
      <c r="F283" s="6"/>
      <c r="G283" s="6"/>
      <c r="H283" s="6"/>
      <c r="I283" s="6"/>
      <c r="J283" s="6"/>
      <c r="K283" s="6"/>
      <c r="L283" s="6"/>
    </row>
    <row r="284" spans="2:12">
      <c r="B284" s="6"/>
      <c r="C284" s="6"/>
      <c r="D284" s="6"/>
      <c r="E284" s="6"/>
      <c r="F284" s="6"/>
      <c r="G284" s="6"/>
      <c r="H284" s="6"/>
      <c r="I284" s="6"/>
      <c r="J284" s="6"/>
      <c r="K284" s="6"/>
      <c r="L284" s="6"/>
    </row>
    <row r="285" spans="2:12">
      <c r="B285" s="6"/>
      <c r="C285" s="6"/>
      <c r="D285" s="6"/>
      <c r="E285" s="6"/>
      <c r="F285" s="6"/>
      <c r="G285" s="6"/>
      <c r="H285" s="6"/>
      <c r="I285" s="6"/>
      <c r="J285" s="6"/>
      <c r="K285" s="6"/>
      <c r="L285" s="6"/>
    </row>
    <row r="286" spans="2:12">
      <c r="B286" s="6"/>
      <c r="C286" s="6"/>
      <c r="D286" s="6"/>
      <c r="E286" s="6"/>
      <c r="F286" s="6"/>
      <c r="G286" s="6"/>
      <c r="H286" s="6"/>
      <c r="I286" s="6"/>
      <c r="J286" s="6"/>
      <c r="K286" s="6"/>
      <c r="L286" s="6"/>
    </row>
    <row r="287" spans="2:12">
      <c r="B287" s="6"/>
      <c r="C287" s="6"/>
      <c r="D287" s="6"/>
      <c r="E287" s="6"/>
      <c r="F287" s="6"/>
      <c r="G287" s="6"/>
      <c r="H287" s="6"/>
      <c r="I287" s="6"/>
      <c r="J287" s="6"/>
      <c r="K287" s="6"/>
      <c r="L287" s="6"/>
    </row>
    <row r="288" spans="2:12">
      <c r="B288" s="6"/>
      <c r="C288" s="6"/>
      <c r="D288" s="6"/>
      <c r="E288" s="6"/>
      <c r="F288" s="6"/>
      <c r="G288" s="6"/>
      <c r="H288" s="6"/>
      <c r="I288" s="6"/>
      <c r="J288" s="6"/>
      <c r="K288" s="6"/>
      <c r="L288" s="6"/>
    </row>
    <row r="289" spans="2:12">
      <c r="B289" s="6"/>
      <c r="C289" s="6"/>
      <c r="D289" s="6"/>
      <c r="E289" s="6"/>
      <c r="F289" s="6"/>
      <c r="G289" s="6"/>
      <c r="H289" s="6"/>
      <c r="I289" s="6"/>
      <c r="J289" s="6"/>
      <c r="K289" s="6"/>
      <c r="L289" s="6"/>
    </row>
    <row r="290" spans="2:12">
      <c r="B290" s="6"/>
      <c r="C290" s="6"/>
      <c r="D290" s="6"/>
      <c r="E290" s="6"/>
      <c r="F290" s="6"/>
      <c r="G290" s="6"/>
      <c r="H290" s="6"/>
      <c r="I290" s="6"/>
      <c r="J290" s="6"/>
      <c r="K290" s="6"/>
      <c r="L290" s="6"/>
    </row>
    <row r="291" spans="2:12">
      <c r="B291" s="6"/>
      <c r="C291" s="6"/>
      <c r="D291" s="6"/>
      <c r="E291" s="6"/>
      <c r="F291" s="6"/>
      <c r="G291" s="6"/>
      <c r="H291" s="6"/>
      <c r="I291" s="6"/>
      <c r="J291" s="6"/>
      <c r="K291" s="6"/>
      <c r="L291" s="6"/>
    </row>
    <row r="292" spans="2:12">
      <c r="B292" s="6"/>
      <c r="C292" s="6"/>
      <c r="D292" s="6"/>
      <c r="E292" s="6"/>
      <c r="F292" s="6"/>
      <c r="G292" s="6"/>
      <c r="H292" s="6"/>
      <c r="I292" s="6"/>
      <c r="J292" s="6"/>
      <c r="K292" s="6"/>
      <c r="L292" s="6"/>
    </row>
    <row r="293" spans="2:12">
      <c r="B293" s="6"/>
      <c r="C293" s="6"/>
      <c r="D293" s="6"/>
      <c r="E293" s="6"/>
      <c r="F293" s="6"/>
      <c r="G293" s="6"/>
      <c r="H293" s="6"/>
      <c r="I293" s="6"/>
      <c r="J293" s="6"/>
      <c r="K293" s="6"/>
      <c r="L293" s="6"/>
    </row>
    <row r="294" spans="2:12">
      <c r="B294" s="6"/>
      <c r="C294" s="6"/>
      <c r="D294" s="6"/>
      <c r="E294" s="6"/>
      <c r="F294" s="6"/>
      <c r="G294" s="6"/>
      <c r="H294" s="6"/>
      <c r="I294" s="6"/>
      <c r="J294" s="6"/>
      <c r="K294" s="6"/>
      <c r="L294" s="6"/>
    </row>
    <row r="295" spans="2:12">
      <c r="B295" s="6"/>
      <c r="C295" s="6"/>
      <c r="D295" s="6"/>
      <c r="E295" s="6"/>
      <c r="F295" s="6"/>
      <c r="G295" s="6"/>
      <c r="H295" s="6"/>
      <c r="I295" s="6"/>
      <c r="J295" s="6"/>
      <c r="K295" s="6"/>
      <c r="L295" s="6"/>
    </row>
    <row r="296" spans="2:12">
      <c r="B296" s="6"/>
      <c r="C296" s="6"/>
      <c r="D296" s="6"/>
      <c r="E296" s="6"/>
      <c r="F296" s="6"/>
      <c r="G296" s="6"/>
      <c r="H296" s="6"/>
      <c r="I296" s="6"/>
      <c r="J296" s="6"/>
      <c r="K296" s="6"/>
      <c r="L296" s="6"/>
    </row>
    <row r="297" spans="2:12">
      <c r="B297" s="6"/>
      <c r="C297" s="6"/>
      <c r="D297" s="6"/>
      <c r="E297" s="6"/>
      <c r="F297" s="6"/>
      <c r="G297" s="6"/>
      <c r="H297" s="6"/>
      <c r="I297" s="6"/>
      <c r="J297" s="6"/>
      <c r="K297" s="6"/>
      <c r="L297" s="6"/>
    </row>
    <row r="298" spans="2:12">
      <c r="B298" s="6"/>
      <c r="C298" s="6"/>
      <c r="D298" s="6"/>
      <c r="E298" s="6"/>
      <c r="F298" s="6"/>
      <c r="G298" s="6"/>
      <c r="H298" s="6"/>
      <c r="I298" s="6"/>
      <c r="J298" s="6"/>
      <c r="K298" s="6"/>
      <c r="L298" s="6"/>
    </row>
    <row r="299" spans="2:12">
      <c r="B299" s="6"/>
      <c r="C299" s="6"/>
      <c r="D299" s="6"/>
      <c r="E299" s="6"/>
      <c r="F299" s="6"/>
      <c r="G299" s="6"/>
      <c r="H299" s="6"/>
      <c r="I299" s="6"/>
      <c r="J299" s="6"/>
      <c r="K299" s="6"/>
      <c r="L299" s="6"/>
    </row>
    <row r="300" spans="2:12">
      <c r="B300" s="6"/>
      <c r="C300" s="6"/>
      <c r="D300" s="6"/>
      <c r="E300" s="6"/>
      <c r="F300" s="6"/>
      <c r="G300" s="6"/>
      <c r="H300" s="6"/>
      <c r="I300" s="6"/>
      <c r="J300" s="6"/>
      <c r="K300" s="6"/>
      <c r="L300" s="6"/>
    </row>
    <row r="301" spans="2:12">
      <c r="B301" s="6"/>
      <c r="C301" s="6"/>
      <c r="D301" s="6"/>
      <c r="E301" s="6"/>
      <c r="F301" s="6"/>
      <c r="G301" s="6"/>
      <c r="H301" s="6"/>
      <c r="I301" s="6"/>
      <c r="J301" s="6"/>
      <c r="K301" s="6"/>
      <c r="L301" s="6"/>
    </row>
    <row r="302" spans="2:12">
      <c r="B302" s="6"/>
      <c r="C302" s="6"/>
      <c r="D302" s="6"/>
      <c r="E302" s="6"/>
      <c r="F302" s="6"/>
      <c r="G302" s="6"/>
      <c r="H302" s="6"/>
      <c r="I302" s="6"/>
      <c r="J302" s="6"/>
      <c r="K302" s="6"/>
      <c r="L302" s="6"/>
    </row>
    <row r="303" spans="2:12">
      <c r="B303" s="6"/>
      <c r="C303" s="6"/>
      <c r="D303" s="6"/>
      <c r="E303" s="6"/>
      <c r="F303" s="6"/>
      <c r="G303" s="6"/>
      <c r="H303" s="6"/>
      <c r="I303" s="6"/>
      <c r="J303" s="6"/>
      <c r="K303" s="6"/>
      <c r="L303" s="6"/>
    </row>
    <row r="304" spans="2:12">
      <c r="B304" s="6"/>
      <c r="C304" s="6"/>
      <c r="D304" s="6"/>
      <c r="E304" s="6"/>
      <c r="F304" s="6"/>
      <c r="G304" s="6"/>
      <c r="H304" s="6"/>
      <c r="I304" s="6"/>
      <c r="J304" s="6"/>
      <c r="K304" s="6"/>
      <c r="L304" s="6"/>
    </row>
    <row r="305" spans="2:12">
      <c r="B305" s="6"/>
      <c r="C305" s="6"/>
      <c r="D305" s="6"/>
      <c r="E305" s="6"/>
      <c r="F305" s="6"/>
      <c r="G305" s="6"/>
      <c r="H305" s="6"/>
      <c r="I305" s="6"/>
      <c r="J305" s="6"/>
      <c r="K305" s="6"/>
      <c r="L305" s="6"/>
    </row>
    <row r="306" spans="2:12">
      <c r="B306" s="6"/>
      <c r="C306" s="6"/>
      <c r="D306" s="6"/>
      <c r="E306" s="6"/>
      <c r="F306" s="6"/>
      <c r="G306" s="6"/>
      <c r="H306" s="6"/>
      <c r="I306" s="6"/>
      <c r="J306" s="6"/>
      <c r="K306" s="6"/>
      <c r="L306" s="6"/>
    </row>
    <row r="307" spans="2:12">
      <c r="B307" s="6"/>
      <c r="C307" s="6"/>
      <c r="D307" s="6"/>
      <c r="E307" s="6"/>
      <c r="F307" s="6"/>
      <c r="G307" s="6"/>
      <c r="H307" s="6"/>
      <c r="I307" s="6"/>
      <c r="J307" s="6"/>
      <c r="K307" s="6"/>
      <c r="L307" s="6"/>
    </row>
    <row r="308" spans="2:12">
      <c r="B308" s="6"/>
      <c r="C308" s="6"/>
      <c r="D308" s="6"/>
      <c r="E308" s="6"/>
      <c r="F308" s="6"/>
      <c r="G308" s="6"/>
      <c r="H308" s="6"/>
      <c r="I308" s="6"/>
      <c r="J308" s="6"/>
      <c r="K308" s="6"/>
      <c r="L308" s="6"/>
    </row>
    <row r="309" spans="2:12">
      <c r="B309" s="6"/>
      <c r="C309" s="6"/>
      <c r="D309" s="6"/>
      <c r="E309" s="6"/>
      <c r="F309" s="6"/>
      <c r="G309" s="6"/>
      <c r="H309" s="6"/>
      <c r="I309" s="6"/>
      <c r="J309" s="6"/>
      <c r="K309" s="6"/>
      <c r="L309" s="6"/>
    </row>
    <row r="310" spans="2:12">
      <c r="B310" s="6"/>
      <c r="C310" s="6"/>
      <c r="D310" s="6"/>
      <c r="E310" s="6"/>
      <c r="F310" s="6"/>
      <c r="G310" s="6"/>
      <c r="H310" s="6"/>
      <c r="I310" s="6"/>
      <c r="J310" s="6"/>
      <c r="K310" s="6"/>
      <c r="L310" s="6"/>
    </row>
    <row r="311" spans="2:12">
      <c r="B311" s="6"/>
      <c r="C311" s="6"/>
      <c r="D311" s="6"/>
      <c r="E311" s="6"/>
      <c r="F311" s="6"/>
      <c r="G311" s="6"/>
      <c r="H311" s="6"/>
      <c r="I311" s="6"/>
      <c r="J311" s="6"/>
      <c r="K311" s="6"/>
      <c r="L311" s="6"/>
    </row>
    <row r="312" spans="2:12">
      <c r="B312" s="6"/>
      <c r="C312" s="6"/>
      <c r="D312" s="6"/>
      <c r="E312" s="6"/>
      <c r="F312" s="6"/>
      <c r="G312" s="6"/>
      <c r="H312" s="6"/>
      <c r="I312" s="6"/>
      <c r="J312" s="6"/>
      <c r="K312" s="6"/>
      <c r="L312" s="6"/>
    </row>
    <row r="313" spans="2:12">
      <c r="B313" s="6"/>
      <c r="C313" s="6"/>
      <c r="D313" s="6"/>
      <c r="E313" s="6"/>
      <c r="F313" s="6"/>
      <c r="G313" s="6"/>
      <c r="H313" s="6"/>
      <c r="I313" s="6"/>
      <c r="J313" s="6"/>
      <c r="K313" s="6"/>
      <c r="L313" s="6"/>
    </row>
    <row r="314" spans="2:12">
      <c r="B314" s="6"/>
      <c r="C314" s="6"/>
      <c r="D314" s="6"/>
      <c r="E314" s="6"/>
      <c r="F314" s="6"/>
      <c r="G314" s="6"/>
      <c r="H314" s="6"/>
      <c r="I314" s="6"/>
      <c r="J314" s="6"/>
      <c r="K314" s="6"/>
      <c r="L314" s="6"/>
    </row>
    <row r="315" spans="2:12">
      <c r="B315" s="6"/>
      <c r="C315" s="6"/>
      <c r="D315" s="6"/>
      <c r="E315" s="6"/>
      <c r="F315" s="6"/>
      <c r="G315" s="6"/>
      <c r="H315" s="6"/>
      <c r="I315" s="6"/>
      <c r="J315" s="6"/>
      <c r="K315" s="6"/>
      <c r="L315" s="6"/>
    </row>
    <row r="316" spans="2:12">
      <c r="B316" s="6"/>
      <c r="C316" s="6"/>
      <c r="D316" s="6"/>
      <c r="E316" s="6"/>
      <c r="F316" s="6"/>
      <c r="G316" s="6"/>
      <c r="H316" s="6"/>
      <c r="I316" s="6"/>
      <c r="J316" s="6"/>
      <c r="K316" s="6"/>
      <c r="L316" s="6"/>
    </row>
    <row r="317" spans="2:12">
      <c r="B317" s="6"/>
      <c r="C317" s="6"/>
      <c r="D317" s="6"/>
      <c r="E317" s="6"/>
      <c r="F317" s="6"/>
      <c r="G317" s="6"/>
      <c r="H317" s="6"/>
      <c r="I317" s="6"/>
      <c r="J317" s="6"/>
      <c r="K317" s="6"/>
      <c r="L317" s="6"/>
    </row>
    <row r="318" spans="2:12">
      <c r="B318" s="6"/>
      <c r="C318" s="6"/>
      <c r="D318" s="6"/>
      <c r="E318" s="6"/>
      <c r="F318" s="6"/>
      <c r="G318" s="6"/>
      <c r="H318" s="6"/>
      <c r="I318" s="6"/>
      <c r="J318" s="6"/>
      <c r="K318" s="6"/>
      <c r="L318" s="6"/>
    </row>
    <row r="319" spans="2:12">
      <c r="B319" s="6"/>
      <c r="C319" s="6"/>
      <c r="D319" s="6"/>
      <c r="E319" s="6"/>
      <c r="F319" s="6"/>
      <c r="G319" s="6"/>
      <c r="H319" s="6"/>
      <c r="I319" s="6"/>
      <c r="J319" s="6"/>
      <c r="K319" s="6"/>
      <c r="L319" s="6"/>
    </row>
    <row r="320" spans="2:12">
      <c r="B320" s="6"/>
      <c r="C320" s="6"/>
      <c r="D320" s="6"/>
      <c r="E320" s="6"/>
      <c r="F320" s="6"/>
      <c r="G320" s="6"/>
      <c r="H320" s="6"/>
      <c r="I320" s="6"/>
      <c r="J320" s="6"/>
      <c r="K320" s="6"/>
      <c r="L320" s="6"/>
    </row>
    <row r="321" spans="2:12">
      <c r="B321" s="6"/>
      <c r="C321" s="6"/>
      <c r="D321" s="6"/>
      <c r="E321" s="6"/>
      <c r="F321" s="6"/>
      <c r="G321" s="6"/>
      <c r="H321" s="6"/>
      <c r="I321" s="6"/>
      <c r="J321" s="6"/>
      <c r="K321" s="6"/>
      <c r="L321" s="6"/>
    </row>
    <row r="322" spans="2:12">
      <c r="B322" s="6"/>
      <c r="C322" s="6"/>
      <c r="D322" s="6"/>
      <c r="E322" s="6"/>
      <c r="F322" s="6"/>
      <c r="G322" s="6"/>
      <c r="H322" s="6"/>
      <c r="I322" s="6"/>
      <c r="J322" s="6"/>
      <c r="K322" s="6"/>
      <c r="L322" s="6"/>
    </row>
    <row r="323" spans="2:12">
      <c r="B323" s="6"/>
      <c r="C323" s="6"/>
      <c r="D323" s="6"/>
      <c r="E323" s="6"/>
      <c r="F323" s="6"/>
      <c r="G323" s="6"/>
      <c r="H323" s="6"/>
      <c r="I323" s="6"/>
      <c r="J323" s="6"/>
      <c r="K323" s="6"/>
      <c r="L323" s="6"/>
    </row>
    <row r="324" spans="2:12">
      <c r="B324" s="6"/>
      <c r="C324" s="6"/>
      <c r="D324" s="6"/>
      <c r="E324" s="6"/>
      <c r="F324" s="6"/>
      <c r="G324" s="6"/>
      <c r="H324" s="6"/>
      <c r="I324" s="6"/>
      <c r="J324" s="6"/>
      <c r="K324" s="6"/>
      <c r="L324" s="6"/>
    </row>
    <row r="325" spans="2:12">
      <c r="B325" s="6"/>
      <c r="C325" s="6"/>
      <c r="D325" s="6"/>
      <c r="E325" s="6"/>
      <c r="F325" s="6"/>
      <c r="G325" s="6"/>
      <c r="H325" s="6"/>
      <c r="I325" s="6"/>
      <c r="J325" s="6"/>
      <c r="K325" s="6"/>
      <c r="L325" s="6"/>
    </row>
    <row r="326" spans="2:12">
      <c r="B326" s="6"/>
      <c r="C326" s="6"/>
      <c r="D326" s="6"/>
      <c r="E326" s="6"/>
      <c r="F326" s="6"/>
      <c r="G326" s="6"/>
      <c r="H326" s="6"/>
      <c r="I326" s="6"/>
      <c r="J326" s="6"/>
      <c r="K326" s="6"/>
      <c r="L326" s="6"/>
    </row>
    <row r="327" spans="2:12">
      <c r="B327" s="6"/>
      <c r="C327" s="6"/>
      <c r="D327" s="6"/>
      <c r="E327" s="6"/>
      <c r="F327" s="6"/>
      <c r="G327" s="6"/>
      <c r="H327" s="6"/>
      <c r="I327" s="6"/>
      <c r="J327" s="6"/>
      <c r="K327" s="6"/>
      <c r="L327" s="6"/>
    </row>
    <row r="328" spans="2:12">
      <c r="B328" s="6"/>
      <c r="C328" s="6"/>
      <c r="D328" s="6"/>
      <c r="E328" s="6"/>
      <c r="F328" s="6"/>
      <c r="G328" s="6"/>
      <c r="H328" s="6"/>
      <c r="I328" s="6"/>
      <c r="J328" s="6"/>
      <c r="K328" s="6"/>
      <c r="L328" s="6"/>
    </row>
    <row r="329" spans="2:12">
      <c r="B329" s="6"/>
      <c r="C329" s="6"/>
      <c r="D329" s="6"/>
      <c r="E329" s="6"/>
      <c r="F329" s="6"/>
      <c r="G329" s="6"/>
      <c r="H329" s="6"/>
      <c r="I329" s="6"/>
      <c r="J329" s="6"/>
      <c r="K329" s="6"/>
      <c r="L329" s="6"/>
    </row>
    <row r="330" spans="2:12">
      <c r="B330" s="6"/>
      <c r="C330" s="6"/>
      <c r="D330" s="6"/>
      <c r="E330" s="6"/>
      <c r="F330" s="6"/>
      <c r="G330" s="6"/>
      <c r="H330" s="6"/>
      <c r="I330" s="6"/>
      <c r="J330" s="6"/>
      <c r="K330" s="6"/>
      <c r="L330" s="6"/>
    </row>
    <row r="331" spans="2:12">
      <c r="B331" s="6"/>
      <c r="C331" s="6"/>
      <c r="D331" s="6"/>
      <c r="E331" s="6"/>
      <c r="F331" s="6"/>
      <c r="G331" s="6"/>
      <c r="H331" s="6"/>
      <c r="I331" s="6"/>
      <c r="J331" s="6"/>
      <c r="K331" s="6"/>
      <c r="L331" s="6"/>
    </row>
    <row r="332" spans="2:12">
      <c r="B332" s="6"/>
      <c r="C332" s="6"/>
      <c r="D332" s="6"/>
      <c r="E332" s="6"/>
      <c r="F332" s="6"/>
      <c r="G332" s="6"/>
      <c r="H332" s="6"/>
      <c r="I332" s="6"/>
      <c r="J332" s="6"/>
      <c r="K332" s="6"/>
      <c r="L332" s="6"/>
    </row>
    <row r="333" spans="2:12">
      <c r="B333" s="6"/>
      <c r="C333" s="6"/>
      <c r="D333" s="6"/>
      <c r="E333" s="6"/>
      <c r="F333" s="6"/>
      <c r="G333" s="6"/>
      <c r="H333" s="6"/>
      <c r="I333" s="6"/>
      <c r="J333" s="6"/>
      <c r="K333" s="6"/>
      <c r="L333" s="6"/>
    </row>
    <row r="334" spans="2:12">
      <c r="B334" s="6"/>
      <c r="C334" s="6"/>
      <c r="D334" s="6"/>
      <c r="E334" s="6"/>
      <c r="F334" s="6"/>
      <c r="G334" s="6"/>
      <c r="H334" s="6"/>
      <c r="I334" s="6"/>
      <c r="J334" s="6"/>
      <c r="K334" s="6"/>
      <c r="L334" s="6"/>
    </row>
    <row r="335" spans="2:12">
      <c r="B335" s="6"/>
      <c r="C335" s="6"/>
      <c r="D335" s="6"/>
      <c r="E335" s="6"/>
      <c r="F335" s="6"/>
      <c r="G335" s="6"/>
      <c r="H335" s="6"/>
      <c r="I335" s="6"/>
      <c r="J335" s="6"/>
      <c r="K335" s="6"/>
      <c r="L335" s="6"/>
    </row>
    <row r="336" spans="2:12">
      <c r="B336" s="6"/>
      <c r="C336" s="6"/>
      <c r="D336" s="6"/>
      <c r="E336" s="6"/>
      <c r="F336" s="6"/>
      <c r="G336" s="6"/>
      <c r="H336" s="6"/>
      <c r="I336" s="6"/>
      <c r="J336" s="6"/>
      <c r="K336" s="6"/>
      <c r="L336" s="6"/>
    </row>
    <row r="337" spans="2:12">
      <c r="B337" s="6"/>
      <c r="C337" s="6"/>
      <c r="D337" s="6"/>
      <c r="E337" s="6"/>
      <c r="F337" s="6"/>
      <c r="G337" s="6"/>
      <c r="H337" s="6"/>
      <c r="I337" s="6"/>
      <c r="J337" s="6"/>
      <c r="K337" s="6"/>
      <c r="L337" s="6"/>
    </row>
    <row r="338" spans="2:12">
      <c r="B338" s="6"/>
      <c r="C338" s="6"/>
      <c r="D338" s="6"/>
      <c r="E338" s="6"/>
      <c r="F338" s="6"/>
      <c r="G338" s="6"/>
      <c r="H338" s="6"/>
      <c r="I338" s="6"/>
      <c r="J338" s="6"/>
      <c r="K338" s="6"/>
      <c r="L338" s="6"/>
    </row>
    <row r="339" spans="2:12">
      <c r="B339" s="6"/>
      <c r="C339" s="6"/>
      <c r="D339" s="6"/>
      <c r="E339" s="6"/>
      <c r="F339" s="6"/>
      <c r="G339" s="6"/>
      <c r="H339" s="6"/>
      <c r="I339" s="6"/>
      <c r="J339" s="6"/>
      <c r="K339" s="6"/>
      <c r="L339" s="6"/>
    </row>
    <row r="340" spans="2:12">
      <c r="B340" s="6"/>
      <c r="C340" s="6"/>
      <c r="D340" s="6"/>
      <c r="E340" s="6"/>
      <c r="F340" s="6"/>
      <c r="G340" s="6"/>
      <c r="H340" s="6"/>
      <c r="I340" s="6"/>
      <c r="J340" s="6"/>
      <c r="K340" s="6"/>
      <c r="L340" s="6"/>
    </row>
    <row r="341" spans="2:12">
      <c r="B341" s="6"/>
      <c r="C341" s="6"/>
      <c r="D341" s="6"/>
      <c r="E341" s="6"/>
      <c r="F341" s="6"/>
      <c r="G341" s="6"/>
      <c r="H341" s="6"/>
      <c r="I341" s="6"/>
      <c r="J341" s="6"/>
      <c r="K341" s="6"/>
      <c r="L341" s="6"/>
    </row>
    <row r="342" spans="2:12">
      <c r="B342" s="6"/>
      <c r="C342" s="6"/>
      <c r="D342" s="6"/>
      <c r="E342" s="6"/>
      <c r="F342" s="6"/>
      <c r="G342" s="6"/>
      <c r="H342" s="6"/>
      <c r="I342" s="6"/>
      <c r="J342" s="6"/>
      <c r="K342" s="6"/>
      <c r="L342" s="6"/>
    </row>
    <row r="343" spans="2:12">
      <c r="B343" s="6"/>
      <c r="C343" s="6"/>
      <c r="D343" s="6"/>
      <c r="E343" s="6"/>
      <c r="F343" s="6"/>
      <c r="G343" s="6"/>
      <c r="H343" s="6"/>
      <c r="I343" s="6"/>
      <c r="J343" s="6"/>
      <c r="K343" s="6"/>
      <c r="L343" s="6"/>
    </row>
    <row r="344" spans="2:12">
      <c r="B344" s="6"/>
      <c r="C344" s="6"/>
      <c r="D344" s="6"/>
      <c r="E344" s="6"/>
      <c r="F344" s="6"/>
      <c r="G344" s="6"/>
      <c r="H344" s="6"/>
      <c r="I344" s="6"/>
      <c r="J344" s="6"/>
      <c r="K344" s="6"/>
      <c r="L344" s="6"/>
    </row>
    <row r="345" spans="2:12">
      <c r="B345" s="6"/>
      <c r="C345" s="6"/>
      <c r="D345" s="6"/>
      <c r="E345" s="6"/>
      <c r="F345" s="6"/>
      <c r="G345" s="6"/>
      <c r="H345" s="6"/>
      <c r="I345" s="6"/>
      <c r="J345" s="6"/>
      <c r="K345" s="6"/>
      <c r="L345" s="6"/>
    </row>
    <row r="346" spans="2:12">
      <c r="B346" s="6"/>
      <c r="C346" s="6"/>
      <c r="D346" s="6"/>
      <c r="E346" s="6"/>
      <c r="F346" s="6"/>
      <c r="G346" s="6"/>
      <c r="H346" s="6"/>
      <c r="I346" s="6"/>
      <c r="J346" s="6"/>
      <c r="K346" s="6"/>
      <c r="L346" s="6"/>
    </row>
    <row r="347" spans="2:12">
      <c r="B347" s="6"/>
      <c r="C347" s="6"/>
      <c r="D347" s="6"/>
      <c r="E347" s="6"/>
      <c r="F347" s="6"/>
      <c r="G347" s="6"/>
      <c r="H347" s="6"/>
      <c r="I347" s="6"/>
      <c r="J347" s="6"/>
      <c r="K347" s="6"/>
      <c r="L347" s="6"/>
    </row>
    <row r="348" spans="2:12">
      <c r="B348" s="6"/>
      <c r="C348" s="6"/>
      <c r="D348" s="6"/>
      <c r="E348" s="6"/>
      <c r="F348" s="6"/>
      <c r="G348" s="6"/>
      <c r="H348" s="6"/>
      <c r="I348" s="6"/>
      <c r="J348" s="6"/>
      <c r="K348" s="6"/>
      <c r="L348" s="6"/>
    </row>
    <row r="349" spans="2:12">
      <c r="B349" s="6"/>
      <c r="C349" s="6"/>
      <c r="D349" s="6"/>
      <c r="E349" s="6"/>
      <c r="F349" s="6"/>
      <c r="G349" s="6"/>
      <c r="H349" s="6"/>
      <c r="I349" s="6"/>
      <c r="J349" s="6"/>
      <c r="K349" s="6"/>
      <c r="L349" s="6"/>
    </row>
    <row r="350" spans="2:12">
      <c r="B350" s="6"/>
      <c r="C350" s="6"/>
      <c r="D350" s="6"/>
      <c r="E350" s="6"/>
      <c r="F350" s="6"/>
      <c r="G350" s="6"/>
      <c r="H350" s="6"/>
      <c r="I350" s="6"/>
      <c r="J350" s="6"/>
      <c r="K350" s="6"/>
      <c r="L350" s="6"/>
    </row>
    <row r="351" spans="2:12">
      <c r="B351" s="6"/>
      <c r="C351" s="6"/>
      <c r="D351" s="6"/>
      <c r="E351" s="6"/>
      <c r="F351" s="6"/>
      <c r="G351" s="6"/>
      <c r="H351" s="6"/>
      <c r="I351" s="6"/>
      <c r="J351" s="6"/>
      <c r="K351" s="6"/>
      <c r="L351" s="6"/>
    </row>
    <row r="352" spans="2:12">
      <c r="B352" s="6"/>
      <c r="C352" s="6"/>
      <c r="D352" s="6"/>
      <c r="E352" s="6"/>
      <c r="F352" s="6"/>
      <c r="G352" s="6"/>
      <c r="H352" s="6"/>
      <c r="I352" s="6"/>
      <c r="J352" s="6"/>
      <c r="K352" s="6"/>
      <c r="L352" s="6"/>
    </row>
    <row r="353" spans="2:12">
      <c r="B353" s="6"/>
      <c r="C353" s="6"/>
      <c r="D353" s="6"/>
      <c r="E353" s="6"/>
      <c r="F353" s="6"/>
      <c r="G353" s="6"/>
      <c r="H353" s="6"/>
      <c r="I353" s="6"/>
      <c r="J353" s="6"/>
      <c r="K353" s="6"/>
      <c r="L353" s="6"/>
    </row>
    <row r="354" spans="2:12">
      <c r="B354" s="6"/>
      <c r="C354" s="6"/>
      <c r="D354" s="6"/>
      <c r="E354" s="6"/>
      <c r="F354" s="6"/>
      <c r="G354" s="6"/>
      <c r="H354" s="6"/>
      <c r="I354" s="6"/>
      <c r="J354" s="6"/>
      <c r="K354" s="6"/>
      <c r="L354" s="6"/>
    </row>
    <row r="355" spans="2:12">
      <c r="B355" s="6"/>
      <c r="C355" s="6"/>
      <c r="D355" s="6"/>
      <c r="E355" s="6"/>
      <c r="F355" s="6"/>
      <c r="G355" s="6"/>
      <c r="H355" s="6"/>
      <c r="I355" s="6"/>
      <c r="J355" s="6"/>
      <c r="K355" s="6"/>
      <c r="L355" s="6"/>
    </row>
    <row r="356" spans="2:12">
      <c r="B356" s="6"/>
      <c r="C356" s="6"/>
      <c r="D356" s="6"/>
      <c r="E356" s="6"/>
      <c r="F356" s="6"/>
      <c r="G356" s="6"/>
      <c r="H356" s="6"/>
      <c r="I356" s="6"/>
      <c r="J356" s="6"/>
      <c r="K356" s="6"/>
      <c r="L356" s="6"/>
    </row>
    <row r="357" spans="2:12">
      <c r="B357" s="6"/>
      <c r="C357" s="6"/>
      <c r="D357" s="6"/>
      <c r="E357" s="6"/>
      <c r="F357" s="6"/>
      <c r="G357" s="6"/>
      <c r="H357" s="6"/>
      <c r="I357" s="6"/>
      <c r="J357" s="6"/>
      <c r="K357" s="6"/>
      <c r="L357" s="6"/>
    </row>
    <row r="358" spans="2:12">
      <c r="B358" s="6"/>
      <c r="C358" s="6"/>
      <c r="D358" s="6"/>
      <c r="E358" s="6"/>
      <c r="F358" s="6"/>
      <c r="G358" s="6"/>
      <c r="H358" s="6"/>
      <c r="I358" s="6"/>
      <c r="J358" s="6"/>
      <c r="K358" s="6"/>
      <c r="L358" s="6"/>
    </row>
    <row r="359" spans="2:12">
      <c r="B359" s="6"/>
      <c r="C359" s="6"/>
      <c r="D359" s="6"/>
      <c r="E359" s="6"/>
      <c r="F359" s="6"/>
      <c r="G359" s="6"/>
      <c r="H359" s="6"/>
      <c r="I359" s="6"/>
      <c r="J359" s="6"/>
      <c r="K359" s="6"/>
      <c r="L359" s="6"/>
    </row>
    <row r="360" spans="2:12">
      <c r="B360" s="6"/>
      <c r="C360" s="6"/>
      <c r="D360" s="6"/>
      <c r="E360" s="6"/>
      <c r="F360" s="6"/>
      <c r="G360" s="6"/>
      <c r="H360" s="6"/>
      <c r="I360" s="6"/>
      <c r="J360" s="6"/>
      <c r="K360" s="6"/>
      <c r="L360" s="6"/>
    </row>
    <row r="361" spans="2:12">
      <c r="B361" s="6"/>
      <c r="C361" s="6"/>
      <c r="D361" s="6"/>
      <c r="E361" s="6"/>
      <c r="F361" s="6"/>
      <c r="G361" s="6"/>
      <c r="H361" s="6"/>
      <c r="I361" s="6"/>
      <c r="J361" s="6"/>
      <c r="K361" s="6"/>
      <c r="L361" s="6"/>
    </row>
    <row r="362" spans="2:12">
      <c r="B362" s="6"/>
      <c r="C362" s="6"/>
      <c r="D362" s="6"/>
      <c r="E362" s="6"/>
      <c r="F362" s="6"/>
      <c r="G362" s="6"/>
      <c r="H362" s="6"/>
      <c r="I362" s="6"/>
      <c r="J362" s="6"/>
      <c r="K362" s="6"/>
      <c r="L362" s="6"/>
    </row>
    <row r="363" spans="2:12">
      <c r="B363" s="6"/>
      <c r="C363" s="6"/>
      <c r="D363" s="6"/>
      <c r="E363" s="6"/>
      <c r="F363" s="6"/>
      <c r="G363" s="6"/>
      <c r="H363" s="6"/>
      <c r="I363" s="6"/>
      <c r="J363" s="6"/>
      <c r="K363" s="6"/>
      <c r="L363" s="6"/>
    </row>
    <row r="364" spans="2:12">
      <c r="B364" s="6"/>
      <c r="C364" s="6"/>
      <c r="D364" s="6"/>
      <c r="E364" s="6"/>
      <c r="F364" s="6"/>
      <c r="G364" s="6"/>
      <c r="H364" s="6"/>
      <c r="I364" s="6"/>
      <c r="J364" s="6"/>
      <c r="K364" s="6"/>
      <c r="L364" s="6"/>
    </row>
    <row r="365" spans="2:12">
      <c r="B365" s="6"/>
      <c r="C365" s="6"/>
      <c r="D365" s="6"/>
      <c r="E365" s="6"/>
      <c r="F365" s="6"/>
      <c r="G365" s="6"/>
      <c r="H365" s="6"/>
      <c r="I365" s="6"/>
      <c r="J365" s="6"/>
      <c r="K365" s="6"/>
      <c r="L365" s="6"/>
    </row>
    <row r="366" spans="2:12">
      <c r="B366" s="6"/>
      <c r="C366" s="6"/>
      <c r="D366" s="6"/>
      <c r="E366" s="6"/>
      <c r="F366" s="6"/>
      <c r="G366" s="6"/>
      <c r="H366" s="6"/>
      <c r="I366" s="6"/>
      <c r="J366" s="6"/>
      <c r="K366" s="6"/>
      <c r="L366" s="6"/>
    </row>
    <row r="367" spans="2:12">
      <c r="B367" s="6"/>
      <c r="C367" s="6"/>
      <c r="D367" s="6"/>
      <c r="E367" s="6"/>
      <c r="F367" s="6"/>
      <c r="G367" s="6"/>
      <c r="H367" s="6"/>
      <c r="I367" s="6"/>
      <c r="J367" s="6"/>
      <c r="K367" s="6"/>
      <c r="L367" s="6"/>
    </row>
    <row r="368" spans="2:12">
      <c r="B368" s="6"/>
      <c r="C368" s="6"/>
      <c r="D368" s="6"/>
      <c r="E368" s="6"/>
      <c r="F368" s="6"/>
      <c r="G368" s="6"/>
      <c r="H368" s="6"/>
      <c r="I368" s="6"/>
      <c r="J368" s="6"/>
      <c r="K368" s="6"/>
      <c r="L368" s="6"/>
    </row>
    <row r="369" spans="2:12">
      <c r="B369" s="6"/>
      <c r="C369" s="6"/>
      <c r="D369" s="6"/>
      <c r="E369" s="6"/>
      <c r="F369" s="6"/>
      <c r="G369" s="6"/>
      <c r="H369" s="6"/>
      <c r="I369" s="6"/>
      <c r="J369" s="6"/>
      <c r="K369" s="6"/>
      <c r="L369" s="6"/>
    </row>
    <row r="370" spans="2:12">
      <c r="B370" s="6"/>
      <c r="C370" s="6"/>
      <c r="D370" s="6"/>
      <c r="E370" s="6"/>
      <c r="F370" s="6"/>
      <c r="G370" s="6"/>
      <c r="H370" s="6"/>
      <c r="I370" s="6"/>
      <c r="J370" s="6"/>
      <c r="K370" s="6"/>
      <c r="L370" s="6"/>
    </row>
    <row r="371" spans="2:12">
      <c r="B371" s="6"/>
      <c r="C371" s="6"/>
      <c r="D371" s="6"/>
      <c r="E371" s="6"/>
      <c r="F371" s="6"/>
      <c r="G371" s="6"/>
      <c r="H371" s="6"/>
      <c r="I371" s="6"/>
      <c r="J371" s="6"/>
      <c r="K371" s="6"/>
      <c r="L371" s="6"/>
    </row>
    <row r="372" spans="2:12">
      <c r="B372" s="6"/>
      <c r="C372" s="6"/>
      <c r="D372" s="6"/>
      <c r="E372" s="6"/>
      <c r="F372" s="6"/>
      <c r="G372" s="6"/>
      <c r="H372" s="6"/>
      <c r="I372" s="6"/>
      <c r="J372" s="6"/>
      <c r="K372" s="6"/>
      <c r="L372" s="6"/>
    </row>
    <row r="373" spans="2:12">
      <c r="B373" s="6"/>
      <c r="C373" s="6"/>
      <c r="D373" s="6"/>
      <c r="E373" s="6"/>
      <c r="F373" s="6"/>
      <c r="G373" s="6"/>
      <c r="H373" s="6"/>
      <c r="I373" s="6"/>
      <c r="J373" s="6"/>
      <c r="K373" s="6"/>
      <c r="L373" s="6"/>
    </row>
    <row r="374" spans="2:12">
      <c r="B374" s="6"/>
      <c r="C374" s="6"/>
      <c r="D374" s="6"/>
      <c r="E374" s="6"/>
      <c r="F374" s="6"/>
      <c r="G374" s="6"/>
      <c r="H374" s="6"/>
      <c r="I374" s="6"/>
      <c r="J374" s="6"/>
      <c r="K374" s="6"/>
      <c r="L374" s="6"/>
    </row>
    <row r="375" spans="2:12">
      <c r="B375" s="6"/>
      <c r="C375" s="6"/>
      <c r="D375" s="6"/>
      <c r="E375" s="6"/>
      <c r="F375" s="6"/>
      <c r="G375" s="6"/>
      <c r="H375" s="6"/>
      <c r="I375" s="6"/>
      <c r="J375" s="6"/>
      <c r="K375" s="6"/>
      <c r="L375" s="6"/>
    </row>
    <row r="376" spans="2:12">
      <c r="B376" s="6"/>
      <c r="C376" s="6"/>
      <c r="D376" s="6"/>
      <c r="E376" s="6"/>
      <c r="F376" s="6"/>
      <c r="G376" s="6"/>
      <c r="H376" s="6"/>
      <c r="I376" s="6"/>
      <c r="J376" s="6"/>
      <c r="K376" s="6"/>
      <c r="L376" s="6"/>
    </row>
    <row r="377" spans="2:12">
      <c r="B377" s="6"/>
      <c r="C377" s="6"/>
      <c r="D377" s="6"/>
      <c r="E377" s="6"/>
      <c r="F377" s="6"/>
      <c r="G377" s="6"/>
      <c r="H377" s="6"/>
      <c r="I377" s="6"/>
      <c r="J377" s="6"/>
      <c r="K377" s="6"/>
      <c r="L377" s="6"/>
    </row>
    <row r="378" spans="2:12">
      <c r="B378" s="6"/>
      <c r="C378" s="6"/>
      <c r="D378" s="6"/>
      <c r="E378" s="6"/>
      <c r="F378" s="6"/>
      <c r="G378" s="6"/>
      <c r="H378" s="6"/>
      <c r="I378" s="6"/>
      <c r="J378" s="6"/>
      <c r="K378" s="6"/>
      <c r="L378" s="6"/>
    </row>
    <row r="379" spans="2:12">
      <c r="B379" s="6"/>
      <c r="C379" s="6"/>
      <c r="D379" s="6"/>
      <c r="E379" s="6"/>
      <c r="F379" s="6"/>
      <c r="G379" s="6"/>
      <c r="H379" s="6"/>
      <c r="I379" s="6"/>
      <c r="J379" s="6"/>
      <c r="K379" s="6"/>
      <c r="L379" s="6"/>
    </row>
    <row r="380" spans="2:12">
      <c r="B380" s="6"/>
      <c r="C380" s="6"/>
      <c r="D380" s="6"/>
      <c r="E380" s="6"/>
      <c r="F380" s="6"/>
      <c r="G380" s="6"/>
      <c r="H380" s="6"/>
      <c r="I380" s="6"/>
      <c r="J380" s="6"/>
      <c r="K380" s="6"/>
      <c r="L380" s="6"/>
    </row>
    <row r="381" spans="2:12">
      <c r="B381" s="6"/>
      <c r="C381" s="6"/>
      <c r="D381" s="6"/>
      <c r="E381" s="6"/>
      <c r="F381" s="6"/>
      <c r="G381" s="6"/>
      <c r="H381" s="6"/>
      <c r="I381" s="6"/>
      <c r="J381" s="6"/>
      <c r="K381" s="6"/>
      <c r="L381" s="6"/>
    </row>
    <row r="382" spans="2:12">
      <c r="B382" s="6"/>
      <c r="C382" s="6"/>
      <c r="D382" s="6"/>
      <c r="E382" s="6"/>
      <c r="F382" s="6"/>
      <c r="G382" s="6"/>
      <c r="H382" s="6"/>
      <c r="I382" s="6"/>
      <c r="J382" s="6"/>
      <c r="K382" s="6"/>
      <c r="L382" s="6"/>
    </row>
    <row r="383" spans="2:12">
      <c r="B383" s="6"/>
      <c r="C383" s="6"/>
      <c r="D383" s="6"/>
      <c r="E383" s="6"/>
      <c r="F383" s="6"/>
      <c r="G383" s="6"/>
      <c r="H383" s="6"/>
      <c r="I383" s="6"/>
      <c r="J383" s="6"/>
      <c r="K383" s="6"/>
      <c r="L383" s="6"/>
    </row>
    <row r="384" spans="2:12">
      <c r="B384" s="6"/>
      <c r="C384" s="6"/>
      <c r="D384" s="6"/>
      <c r="E384" s="6"/>
      <c r="F384" s="6"/>
      <c r="G384" s="6"/>
      <c r="H384" s="6"/>
      <c r="I384" s="6"/>
      <c r="J384" s="6"/>
      <c r="K384" s="6"/>
      <c r="L384" s="6"/>
    </row>
    <row r="385" spans="2:12">
      <c r="B385" s="6"/>
      <c r="C385" s="6"/>
      <c r="D385" s="6"/>
      <c r="E385" s="6"/>
      <c r="F385" s="6"/>
      <c r="G385" s="6"/>
      <c r="H385" s="6"/>
      <c r="I385" s="6"/>
      <c r="J385" s="6"/>
      <c r="K385" s="6"/>
      <c r="L385" s="6"/>
    </row>
    <row r="386" spans="2:12">
      <c r="B386" s="6"/>
      <c r="C386" s="6"/>
      <c r="D386" s="6"/>
      <c r="E386" s="6"/>
      <c r="F386" s="6"/>
      <c r="G386" s="6"/>
      <c r="H386" s="6"/>
      <c r="I386" s="6"/>
      <c r="J386" s="6"/>
      <c r="K386" s="6"/>
      <c r="L386" s="6"/>
    </row>
    <row r="387" spans="2:12">
      <c r="B387" s="6"/>
      <c r="C387" s="6"/>
      <c r="D387" s="6"/>
      <c r="E387" s="6"/>
      <c r="F387" s="6"/>
      <c r="G387" s="6"/>
      <c r="H387" s="6"/>
      <c r="I387" s="6"/>
      <c r="J387" s="6"/>
      <c r="K387" s="6"/>
      <c r="L387" s="6"/>
    </row>
    <row r="388" spans="2:12">
      <c r="B388" s="6"/>
      <c r="C388" s="6"/>
      <c r="D388" s="6"/>
      <c r="E388" s="6"/>
      <c r="F388" s="6"/>
      <c r="G388" s="6"/>
      <c r="H388" s="6"/>
      <c r="I388" s="6"/>
      <c r="J388" s="6"/>
      <c r="K388" s="6"/>
      <c r="L388" s="6"/>
    </row>
    <row r="389" spans="2:12">
      <c r="B389" s="6"/>
      <c r="C389" s="6"/>
      <c r="D389" s="6"/>
      <c r="E389" s="6"/>
      <c r="F389" s="6"/>
      <c r="G389" s="6"/>
      <c r="H389" s="6"/>
      <c r="I389" s="6"/>
      <c r="J389" s="6"/>
      <c r="K389" s="6"/>
      <c r="L389" s="6"/>
    </row>
    <row r="390" spans="2:12">
      <c r="B390" s="6"/>
      <c r="C390" s="6"/>
      <c r="D390" s="6"/>
      <c r="E390" s="6"/>
      <c r="F390" s="6"/>
      <c r="G390" s="6"/>
      <c r="H390" s="6"/>
      <c r="I390" s="6"/>
      <c r="J390" s="6"/>
      <c r="K390" s="6"/>
      <c r="L390" s="6"/>
    </row>
    <row r="391" spans="2:12">
      <c r="B391" s="6"/>
      <c r="C391" s="6"/>
      <c r="D391" s="6"/>
      <c r="E391" s="6"/>
      <c r="F391" s="6"/>
      <c r="G391" s="6"/>
      <c r="H391" s="6"/>
      <c r="I391" s="6"/>
      <c r="J391" s="6"/>
      <c r="K391" s="6"/>
      <c r="L391" s="6"/>
    </row>
    <row r="392" spans="2:12">
      <c r="B392" s="6"/>
      <c r="C392" s="6"/>
      <c r="D392" s="6"/>
      <c r="E392" s="6"/>
      <c r="F392" s="6"/>
      <c r="G392" s="6"/>
      <c r="H392" s="6"/>
      <c r="I392" s="6"/>
      <c r="J392" s="6"/>
      <c r="K392" s="6"/>
      <c r="L392" s="6"/>
    </row>
    <row r="393" spans="2:12">
      <c r="B393" s="6"/>
      <c r="C393" s="6"/>
      <c r="D393" s="6"/>
      <c r="E393" s="6"/>
      <c r="F393" s="6"/>
      <c r="G393" s="6"/>
      <c r="H393" s="6"/>
      <c r="I393" s="6"/>
      <c r="J393" s="6"/>
      <c r="K393" s="6"/>
      <c r="L393" s="6"/>
    </row>
    <row r="394" spans="2:12">
      <c r="B394" s="6"/>
      <c r="C394" s="6"/>
      <c r="D394" s="6"/>
      <c r="E394" s="6"/>
      <c r="F394" s="6"/>
      <c r="G394" s="6"/>
      <c r="H394" s="6"/>
      <c r="I394" s="6"/>
      <c r="J394" s="6"/>
      <c r="K394" s="6"/>
      <c r="L394" s="6"/>
    </row>
    <row r="395" spans="2:12">
      <c r="B395" s="6"/>
      <c r="C395" s="6"/>
      <c r="D395" s="6"/>
      <c r="E395" s="6"/>
      <c r="F395" s="6"/>
      <c r="G395" s="6"/>
      <c r="H395" s="6"/>
      <c r="I395" s="6"/>
      <c r="J395" s="6"/>
      <c r="K395" s="6"/>
      <c r="L395" s="6"/>
    </row>
    <row r="396" spans="2:12">
      <c r="B396" s="6"/>
      <c r="C396" s="6"/>
      <c r="D396" s="6"/>
      <c r="E396" s="6"/>
      <c r="F396" s="6"/>
      <c r="G396" s="6"/>
      <c r="H396" s="6"/>
      <c r="I396" s="6"/>
      <c r="J396" s="6"/>
      <c r="K396" s="6"/>
      <c r="L396" s="6"/>
    </row>
    <row r="397" spans="2:12">
      <c r="B397" s="6"/>
      <c r="C397" s="6"/>
      <c r="D397" s="6"/>
      <c r="E397" s="6"/>
      <c r="F397" s="6"/>
      <c r="G397" s="6"/>
      <c r="H397" s="6"/>
      <c r="I397" s="6"/>
      <c r="J397" s="6"/>
      <c r="K397" s="6"/>
      <c r="L397" s="6"/>
    </row>
    <row r="398" spans="2:12">
      <c r="B398" s="6"/>
      <c r="C398" s="6"/>
      <c r="D398" s="6"/>
      <c r="E398" s="6"/>
      <c r="F398" s="6"/>
      <c r="G398" s="6"/>
      <c r="H398" s="6"/>
      <c r="I398" s="6"/>
      <c r="J398" s="6"/>
      <c r="K398" s="6"/>
      <c r="L398" s="6"/>
    </row>
    <row r="399" spans="2:12">
      <c r="B399" s="6"/>
      <c r="C399" s="6"/>
      <c r="D399" s="6"/>
      <c r="E399" s="6"/>
      <c r="F399" s="6"/>
      <c r="G399" s="6"/>
      <c r="H399" s="6"/>
      <c r="I399" s="6"/>
      <c r="J399" s="6"/>
      <c r="K399" s="6"/>
      <c r="L399" s="6"/>
    </row>
    <row r="400" spans="2:12">
      <c r="B400" s="6"/>
      <c r="C400" s="6"/>
      <c r="D400" s="6"/>
      <c r="E400" s="6"/>
      <c r="F400" s="6"/>
      <c r="G400" s="6"/>
      <c r="H400" s="6"/>
      <c r="I400" s="6"/>
      <c r="J400" s="6"/>
      <c r="K400" s="6"/>
      <c r="L400" s="6"/>
    </row>
    <row r="401" spans="2:12">
      <c r="B401" s="6"/>
      <c r="C401" s="6"/>
      <c r="D401" s="6"/>
      <c r="E401" s="6"/>
      <c r="F401" s="6"/>
      <c r="G401" s="6"/>
      <c r="H401" s="6"/>
      <c r="I401" s="6"/>
      <c r="J401" s="6"/>
      <c r="K401" s="6"/>
      <c r="L401" s="6"/>
    </row>
    <row r="402" spans="2:12">
      <c r="B402" s="6"/>
      <c r="C402" s="6"/>
      <c r="D402" s="6"/>
      <c r="E402" s="6"/>
      <c r="F402" s="6"/>
      <c r="G402" s="6"/>
      <c r="H402" s="6"/>
      <c r="I402" s="6"/>
      <c r="J402" s="6"/>
      <c r="K402" s="6"/>
      <c r="L402" s="6"/>
    </row>
    <row r="403" spans="2:12">
      <c r="B403" s="6"/>
      <c r="C403" s="6"/>
      <c r="D403" s="6"/>
      <c r="E403" s="6"/>
      <c r="F403" s="6"/>
      <c r="G403" s="6"/>
      <c r="H403" s="6"/>
      <c r="I403" s="6"/>
      <c r="J403" s="6"/>
      <c r="K403" s="6"/>
      <c r="L403" s="6"/>
    </row>
    <row r="404" spans="2:12">
      <c r="B404" s="6"/>
      <c r="C404" s="6"/>
      <c r="D404" s="6"/>
      <c r="E404" s="6"/>
      <c r="F404" s="6"/>
      <c r="G404" s="6"/>
      <c r="H404" s="6"/>
      <c r="I404" s="6"/>
      <c r="J404" s="6"/>
      <c r="K404" s="6"/>
      <c r="L404" s="6"/>
    </row>
    <row r="405" spans="2:12">
      <c r="B405" s="6"/>
      <c r="C405" s="6"/>
      <c r="D405" s="6"/>
      <c r="E405" s="6"/>
      <c r="F405" s="6"/>
      <c r="G405" s="6"/>
      <c r="H405" s="6"/>
      <c r="I405" s="6"/>
      <c r="J405" s="6"/>
      <c r="K405" s="6"/>
      <c r="L405" s="6"/>
    </row>
    <row r="406" spans="2:12">
      <c r="B406" s="6"/>
      <c r="C406" s="6"/>
      <c r="D406" s="6"/>
      <c r="E406" s="6"/>
      <c r="F406" s="6"/>
      <c r="G406" s="6"/>
      <c r="H406" s="6"/>
      <c r="I406" s="6"/>
      <c r="J406" s="6"/>
      <c r="K406" s="6"/>
      <c r="L406" s="6"/>
    </row>
    <row r="407" spans="2:12">
      <c r="B407" s="6"/>
      <c r="C407" s="6"/>
      <c r="D407" s="6"/>
      <c r="E407" s="6"/>
      <c r="F407" s="6"/>
      <c r="G407" s="6"/>
      <c r="H407" s="6"/>
      <c r="I407" s="6"/>
      <c r="J407" s="6"/>
      <c r="K407" s="6"/>
      <c r="L407" s="6"/>
    </row>
    <row r="408" spans="2:12">
      <c r="B408" s="6"/>
      <c r="C408" s="6"/>
      <c r="D408" s="6"/>
      <c r="E408" s="6"/>
      <c r="F408" s="6"/>
      <c r="G408" s="6"/>
      <c r="H408" s="6"/>
      <c r="I408" s="6"/>
      <c r="J408" s="6"/>
      <c r="K408" s="6"/>
      <c r="L408" s="6"/>
    </row>
    <row r="409" spans="2:12">
      <c r="B409" s="6"/>
      <c r="C409" s="6"/>
      <c r="D409" s="6"/>
      <c r="E409" s="6"/>
      <c r="F409" s="6"/>
      <c r="G409" s="6"/>
      <c r="H409" s="6"/>
      <c r="I409" s="6"/>
      <c r="J409" s="6"/>
      <c r="K409" s="6"/>
      <c r="L409" s="6"/>
    </row>
    <row r="410" spans="2:12">
      <c r="B410" s="6"/>
      <c r="C410" s="6"/>
      <c r="D410" s="6"/>
      <c r="E410" s="6"/>
      <c r="F410" s="6"/>
      <c r="G410" s="6"/>
      <c r="H410" s="6"/>
      <c r="I410" s="6"/>
      <c r="J410" s="6"/>
      <c r="K410" s="6"/>
      <c r="L410" s="6"/>
    </row>
    <row r="411" spans="2:12">
      <c r="B411" s="6"/>
      <c r="C411" s="6"/>
      <c r="D411" s="6"/>
      <c r="E411" s="6"/>
      <c r="F411" s="6"/>
      <c r="G411" s="6"/>
      <c r="H411" s="6"/>
      <c r="I411" s="6"/>
      <c r="J411" s="6"/>
      <c r="K411" s="6"/>
      <c r="L411" s="6"/>
    </row>
    <row r="412" spans="2:12">
      <c r="B412" s="6"/>
      <c r="C412" s="6"/>
      <c r="D412" s="6"/>
      <c r="E412" s="6"/>
      <c r="F412" s="6"/>
      <c r="G412" s="6"/>
      <c r="H412" s="6"/>
      <c r="I412" s="6"/>
      <c r="J412" s="6"/>
      <c r="K412" s="6"/>
      <c r="L412" s="6"/>
    </row>
    <row r="413" spans="2:12">
      <c r="B413" s="6"/>
      <c r="C413" s="6"/>
      <c r="D413" s="6"/>
      <c r="E413" s="6"/>
      <c r="F413" s="6"/>
      <c r="G413" s="6"/>
      <c r="H413" s="6"/>
      <c r="I413" s="6"/>
      <c r="J413" s="6"/>
      <c r="K413" s="6"/>
      <c r="L413" s="6"/>
    </row>
    <row r="414" spans="2:12">
      <c r="B414" s="6"/>
      <c r="C414" s="6"/>
      <c r="D414" s="6"/>
      <c r="E414" s="6"/>
      <c r="F414" s="6"/>
      <c r="G414" s="6"/>
      <c r="H414" s="6"/>
      <c r="I414" s="6"/>
      <c r="J414" s="6"/>
      <c r="K414" s="6"/>
      <c r="L414" s="6"/>
    </row>
    <row r="415" spans="2:12">
      <c r="B415" s="6"/>
      <c r="C415" s="6"/>
      <c r="D415" s="6"/>
      <c r="E415" s="6"/>
      <c r="F415" s="6"/>
      <c r="G415" s="6"/>
      <c r="H415" s="6"/>
      <c r="I415" s="6"/>
      <c r="J415" s="6"/>
      <c r="K415" s="6"/>
      <c r="L415" s="6"/>
    </row>
    <row r="416" spans="2:12">
      <c r="B416" s="6"/>
      <c r="C416" s="6"/>
      <c r="D416" s="6"/>
      <c r="E416" s="6"/>
      <c r="F416" s="6"/>
      <c r="G416" s="6"/>
      <c r="H416" s="6"/>
      <c r="I416" s="6"/>
      <c r="J416" s="6"/>
      <c r="K416" s="6"/>
      <c r="L416" s="6"/>
    </row>
    <row r="417" spans="2:12">
      <c r="B417" s="6"/>
      <c r="C417" s="6"/>
      <c r="D417" s="6"/>
      <c r="E417" s="6"/>
      <c r="F417" s="6"/>
      <c r="G417" s="6"/>
      <c r="H417" s="6"/>
      <c r="I417" s="6"/>
      <c r="J417" s="6"/>
      <c r="K417" s="6"/>
      <c r="L417" s="6"/>
    </row>
    <row r="418" spans="2:12">
      <c r="B418" s="6"/>
      <c r="C418" s="6"/>
      <c r="D418" s="6"/>
      <c r="E418" s="6"/>
      <c r="F418" s="6"/>
      <c r="G418" s="6"/>
      <c r="H418" s="6"/>
      <c r="I418" s="6"/>
      <c r="J418" s="6"/>
      <c r="K418" s="6"/>
      <c r="L418" s="6"/>
    </row>
    <row r="419" spans="2:12">
      <c r="B419" s="6"/>
      <c r="C419" s="6"/>
      <c r="D419" s="6"/>
      <c r="E419" s="6"/>
      <c r="F419" s="6"/>
      <c r="G419" s="6"/>
      <c r="H419" s="6"/>
      <c r="I419" s="6"/>
      <c r="J419" s="6"/>
      <c r="K419" s="6"/>
      <c r="L419" s="6"/>
    </row>
    <row r="420" spans="2:12">
      <c r="B420" s="6"/>
      <c r="C420" s="6"/>
      <c r="D420" s="6"/>
      <c r="E420" s="6"/>
      <c r="F420" s="6"/>
      <c r="G420" s="6"/>
      <c r="H420" s="6"/>
      <c r="I420" s="6"/>
      <c r="J420" s="6"/>
      <c r="K420" s="6"/>
      <c r="L420" s="6"/>
    </row>
    <row r="421" spans="2:12">
      <c r="B421" s="6"/>
      <c r="C421" s="6"/>
      <c r="D421" s="6"/>
      <c r="E421" s="6"/>
      <c r="F421" s="6"/>
      <c r="G421" s="6"/>
      <c r="H421" s="6"/>
      <c r="I421" s="6"/>
      <c r="J421" s="6"/>
      <c r="K421" s="6"/>
      <c r="L421" s="6"/>
    </row>
    <row r="422" spans="2:12">
      <c r="B422" s="6"/>
      <c r="C422" s="6"/>
      <c r="D422" s="6"/>
      <c r="E422" s="6"/>
      <c r="F422" s="6"/>
      <c r="G422" s="6"/>
      <c r="H422" s="6"/>
      <c r="I422" s="6"/>
      <c r="J422" s="6"/>
      <c r="K422" s="6"/>
      <c r="L422" s="6"/>
    </row>
    <row r="423" spans="2:12">
      <c r="B423" s="6"/>
      <c r="C423" s="6"/>
      <c r="D423" s="6"/>
      <c r="E423" s="6"/>
      <c r="F423" s="6"/>
      <c r="G423" s="6"/>
      <c r="H423" s="6"/>
      <c r="I423" s="6"/>
      <c r="J423" s="6"/>
      <c r="K423" s="6"/>
      <c r="L423" s="6"/>
    </row>
    <row r="424" spans="2:12">
      <c r="B424" s="6"/>
      <c r="C424" s="6"/>
      <c r="D424" s="6"/>
      <c r="E424" s="6"/>
      <c r="F424" s="6"/>
      <c r="G424" s="6"/>
      <c r="H424" s="6"/>
      <c r="I424" s="6"/>
      <c r="J424" s="6"/>
      <c r="K424" s="6"/>
      <c r="L424" s="6"/>
    </row>
    <row r="425" spans="2:12">
      <c r="B425" s="6"/>
      <c r="C425" s="6"/>
      <c r="D425" s="6"/>
      <c r="E425" s="6"/>
      <c r="F425" s="6"/>
      <c r="G425" s="6"/>
      <c r="H425" s="6"/>
      <c r="I425" s="6"/>
      <c r="J425" s="6"/>
      <c r="K425" s="6"/>
      <c r="L425" s="6"/>
    </row>
    <row r="426" spans="2:12">
      <c r="B426" s="6"/>
      <c r="C426" s="6"/>
      <c r="D426" s="6"/>
      <c r="E426" s="6"/>
      <c r="F426" s="6"/>
      <c r="G426" s="6"/>
      <c r="H426" s="6"/>
      <c r="I426" s="6"/>
      <c r="J426" s="6"/>
      <c r="K426" s="6"/>
      <c r="L426" s="6"/>
    </row>
    <row r="427" spans="2:12">
      <c r="B427" s="6"/>
      <c r="C427" s="6"/>
      <c r="D427" s="6"/>
      <c r="E427" s="6"/>
      <c r="F427" s="6"/>
      <c r="G427" s="6"/>
      <c r="H427" s="6"/>
      <c r="I427" s="6"/>
      <c r="J427" s="6"/>
      <c r="K427" s="6"/>
      <c r="L427" s="6"/>
    </row>
    <row r="428" spans="2:12">
      <c r="B428" s="6"/>
      <c r="C428" s="6"/>
      <c r="D428" s="6"/>
      <c r="E428" s="6"/>
      <c r="F428" s="6"/>
      <c r="G428" s="6"/>
      <c r="H428" s="6"/>
      <c r="I428" s="6"/>
      <c r="J428" s="6"/>
      <c r="K428" s="6"/>
      <c r="L428" s="6"/>
    </row>
  </sheetData>
  <phoneticPr fontId="2"/>
  <hyperlinks>
    <hyperlink ref="M5" location="fromABC114_C_755" display="●" xr:uid="{43B84C12-D7C7-4370-9C81-D7738560BADF}"/>
    <hyperlink ref="M41" location="fromABC143_C_Slimes" display="●" xr:uid="{C9A853D0-0C7E-4DD6-A70C-F6121343DC9A}"/>
    <hyperlink ref="M77" location="fromABC147_C_Honest_or_Unkind2" display="●" xr:uid="{7CE50307-D27B-44F1-9AF8-7921A9AC7F43}"/>
    <hyperlink ref="M122" location="fromABC149_C_NextPrime" display="●" xr:uid="{7506A643-AE85-46A5-A1EB-63C89951CBAF}"/>
  </hyperlinks>
  <pageMargins left="0.39370078740157483" right="0.19685039370078741" top="0.39370078740157483" bottom="0.47244094488188981" header="0.31496062992125984" footer="0.27559055118110237"/>
  <pageSetup paperSize="9" scale="72" fitToWidth="0" orientation="landscape"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B52DC-AFA7-4EBF-A76B-57FD8E59BD15}">
  <sheetPr codeName="Sheet3"/>
  <dimension ref="B2:AB17"/>
  <sheetViews>
    <sheetView zoomScale="115" zoomScaleNormal="115" workbookViewId="0">
      <selection activeCell="H19" sqref="H19"/>
    </sheetView>
  </sheetViews>
  <sheetFormatPr defaultColWidth="2.625" defaultRowHeight="13.5"/>
  <sheetData>
    <row r="2" spans="2:28">
      <c r="B2" t="s">
        <v>0</v>
      </c>
    </row>
    <row r="4" spans="2:28">
      <c r="C4" t="s">
        <v>1</v>
      </c>
      <c r="D4" t="s">
        <v>2</v>
      </c>
      <c r="AA4" t="s">
        <v>1</v>
      </c>
      <c r="AB4" t="s">
        <v>7</v>
      </c>
    </row>
    <row r="6" spans="2:28">
      <c r="C6" t="s">
        <v>1</v>
      </c>
      <c r="D6" t="s">
        <v>3</v>
      </c>
      <c r="AA6" t="s">
        <v>1</v>
      </c>
      <c r="AB6" t="s">
        <v>5</v>
      </c>
    </row>
    <row r="8" spans="2:28">
      <c r="C8" t="s">
        <v>1</v>
      </c>
      <c r="D8" t="s">
        <v>4</v>
      </c>
      <c r="AA8" t="s">
        <v>1</v>
      </c>
      <c r="AB8" t="s">
        <v>6</v>
      </c>
    </row>
    <row r="17" spans="8:8">
      <c r="H17" t="s">
        <v>231</v>
      </c>
    </row>
  </sheetData>
  <phoneticPr fontId="2"/>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8</vt:i4>
      </vt:variant>
    </vt:vector>
  </HeadingPairs>
  <TitlesOfParts>
    <vt:vector size="12" baseType="lpstr">
      <vt:lpstr>C問題</vt:lpstr>
      <vt:lpstr>競プロ典型90問</vt:lpstr>
      <vt:lpstr>C問題_詳細</vt:lpstr>
      <vt:lpstr>メモ内容</vt:lpstr>
      <vt:lpstr>fromABC114_C_755</vt:lpstr>
      <vt:lpstr>fromABC143_C_Slimes</vt:lpstr>
      <vt:lpstr>fromABC147_C_Honest_or_Unkind2</vt:lpstr>
      <vt:lpstr>fromABC149_C_NextPrime</vt:lpstr>
      <vt:lpstr>toABC114_C_755</vt:lpstr>
      <vt:lpstr>toABC143_C_Slimes</vt:lpstr>
      <vt:lpstr>toABC147_C_Honest_or_Unkind2</vt:lpstr>
      <vt:lpstr>toABC149_C_NextPrime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roshi_000</dc:creator>
  <cp:lastModifiedBy>_roshihie_</cp:lastModifiedBy>
  <cp:lastPrinted>2020-01-28T15:18:20Z</cp:lastPrinted>
  <dcterms:created xsi:type="dcterms:W3CDTF">2020-01-27T14:14:27Z</dcterms:created>
  <dcterms:modified xsi:type="dcterms:W3CDTF">2022-10-16T00:41:12Z</dcterms:modified>
</cp:coreProperties>
</file>
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900B011-311E-41AF-A821-B30E49DD6A3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At_Coder_C問題!$J$195</definedName>
    <definedName name="fromABC147_C_Honest_or_Unkind2">At_Coder_C問題!$J$203</definedName>
    <definedName name="fromABC149_C_NextPrime">At_Coder_C問題!$J$207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3" i="3" l="1"/>
  <c r="B158" i="3" l="1"/>
  <c r="B156" i="3"/>
  <c r="B157" i="3"/>
  <c r="B230" i="3" l="1"/>
  <c r="B228" i="3" l="1"/>
  <c r="B226" i="3"/>
  <c r="B225" i="3"/>
  <c r="B220" i="3"/>
  <c r="B199" i="3" l="1"/>
  <c r="B198" i="3"/>
  <c r="B197" i="3" l="1"/>
  <c r="B183" i="3"/>
  <c r="B161" i="3"/>
  <c r="B162" i="3"/>
  <c r="B208" i="3" l="1"/>
  <c r="B209" i="3"/>
  <c r="B214" i="3"/>
  <c r="B213" i="3"/>
  <c r="B212" i="3"/>
  <c r="B211" i="3"/>
  <c r="B217" i="3" l="1"/>
  <c r="B216" i="3"/>
  <c r="B206" i="3"/>
  <c r="B205" i="3"/>
  <c r="B177" i="3" l="1"/>
  <c r="B180" i="3"/>
  <c r="B181" i="3"/>
  <c r="B179" i="3"/>
  <c r="B30" i="3"/>
  <c r="B29" i="3"/>
  <c r="B28" i="3"/>
  <c r="B27" i="3"/>
  <c r="B138" i="3" l="1"/>
  <c r="B264" i="3"/>
  <c r="B265" i="3"/>
  <c r="B263" i="3"/>
  <c r="B266" i="3"/>
  <c r="B20" i="3" l="1"/>
  <c r="B13" i="3"/>
  <c r="B6" i="3" l="1"/>
  <c r="B62" i="3" l="1"/>
  <c r="B63" i="3"/>
  <c r="B308" i="3" l="1"/>
  <c r="B307" i="3"/>
  <c r="B306" i="3"/>
  <c r="B305" i="3"/>
  <c r="B304" i="3"/>
  <c r="B303" i="3"/>
  <c r="B300" i="3"/>
  <c r="B298" i="3"/>
  <c r="B297" i="3"/>
  <c r="B296" i="3"/>
  <c r="B295" i="3"/>
  <c r="B294" i="3"/>
  <c r="B293" i="3"/>
  <c r="B301" i="3"/>
  <c r="B299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0" i="3"/>
  <c r="B269" i="3"/>
  <c r="B268" i="3"/>
  <c r="B267" i="3"/>
  <c r="B261" i="3"/>
  <c r="B260" i="3"/>
  <c r="B259" i="3"/>
  <c r="B258" i="3"/>
  <c r="B257" i="3"/>
  <c r="B256" i="3"/>
  <c r="B255" i="3"/>
  <c r="B252" i="3"/>
  <c r="B251" i="3"/>
  <c r="J247" i="3"/>
  <c r="B247" i="3"/>
  <c r="B246" i="3"/>
  <c r="B245" i="3"/>
  <c r="B244" i="3"/>
  <c r="B243" i="3"/>
  <c r="B242" i="3"/>
  <c r="B241" i="3"/>
  <c r="B194" i="3"/>
  <c r="B193" i="3"/>
  <c r="B192" i="3"/>
  <c r="B191" i="3"/>
  <c r="B190" i="3"/>
  <c r="B189" i="3"/>
  <c r="B188" i="3"/>
  <c r="B187" i="3"/>
  <c r="B186" i="3"/>
  <c r="B185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09" i="3" l="1"/>
  <c r="B248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41" i="3" l="1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2" i="3"/>
  <c r="B273" i="3"/>
  <c r="B272" i="3"/>
  <c r="B271" i="3"/>
  <c r="B262" i="3"/>
  <c r="B254" i="3"/>
  <c r="B253" i="3"/>
  <c r="B250" i="3"/>
  <c r="B249" i="3"/>
  <c r="B240" i="3"/>
  <c r="B239" i="3"/>
  <c r="B238" i="3"/>
  <c r="B237" i="3"/>
  <c r="B236" i="3"/>
  <c r="B235" i="3"/>
  <c r="B234" i="3"/>
  <c r="B232" i="3"/>
  <c r="B231" i="3"/>
  <c r="B229" i="3"/>
  <c r="B227" i="3"/>
  <c r="B224" i="3"/>
  <c r="B223" i="3"/>
  <c r="B222" i="3"/>
  <c r="B221" i="3"/>
  <c r="B219" i="3"/>
  <c r="B218" i="3"/>
  <c r="B215" i="3"/>
  <c r="B210" i="3"/>
  <c r="B207" i="3"/>
  <c r="B204" i="3"/>
  <c r="B203" i="3"/>
  <c r="B202" i="3"/>
  <c r="B201" i="3"/>
  <c r="B200" i="3"/>
  <c r="B196" i="3"/>
  <c r="B195" i="3"/>
  <c r="B184" i="3"/>
  <c r="B182" i="3"/>
  <c r="B178" i="3"/>
  <c r="B176" i="3"/>
  <c r="B163" i="3"/>
  <c r="B160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<sst xmlns="http://schemas.openxmlformats.org/spreadsheetml/2006/main" count="763" uniqueCount="453">
  <si>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</si>
  <si>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</si>
  <si>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</si>
  <si>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</si>
  <si>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</si>
  <si>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</si>
  <si>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</si>
  <si>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</si>
  <si>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</si>
  <si>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</si>
  <si>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</si>
  <si>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</si>
  <si>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</si>
  <si>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</si>
  <si>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</si>
  <si>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</si>
  <si>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</si>
  <si>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</si>
  <si>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</si>
  <si>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</si>
  <si>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</si>
  <si>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</si>
  <si>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</si>
  <si>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</si>
  <si>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</si>
  <si>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</si>
  <si>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</si>
  <si>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</si>
  <si>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</si>
  <si>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</si>
  <si>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</si>
  <si>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</si>
  <si>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</si>
  <si>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</si>
  <si>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</si>
  <si>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</si>
  <si>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</si>
  <si>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</si>
  <si>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</si>
  <si>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</si>
  <si>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</si>
  <si>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</si>
  <si>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</si>
  <si>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</si>
  <si>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</si>
  <si>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</si>
  <si>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</si>
  <si>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</si>
  <si>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</si>
  <si>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</si>
  <si>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</si>
  <si>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</si>
  <si>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</si>
  <si>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</si>
  <si>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</si>
  <si>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</si>
  <si>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</si>
  <si>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</si>
  <si>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</si>
  <si>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</si>
  <si>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</si>
  <si>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</si>
  <si>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</si>
  <si>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</si>
  <si>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</si>
  <si>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</si>
  <si>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</si>
  <si>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</si>
  <si>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</si>
  <si>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</si>
  <si>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</si>
  <si>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</si>
  <si>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</si>
  <si>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</si>
  <si>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</si>
  <si>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</si>
  <si>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</si>
  <si>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</si>
  <si>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</si>
  <si>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</si>
  <si>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</si>
  <si>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</si>
  <si>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</si>
  <si>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</si>
  <si>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</si>
  <si>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</si>
  <si>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</si>
  <si>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</si>
  <si>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</si>
  <si>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</si>
  <si>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</si>
  <si>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</si>
  <si>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</si>
  <si>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</si>
  <si>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</si>
  <si>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</si>
  <si>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</si>
  <si>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</si>
  <si>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</si>
  <si>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</si>
  <si>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</si>
  <si>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</si>
  <si>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</si>
  <si>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</si>
  <si>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</si>
  <si>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</si>
  <si>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</si>
  <si>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</si>
  <si>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</si>
  <si>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</si>
  <si>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</si>
  <si>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</si>
  <si>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</si>
  <si>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</si>
  <si>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</si>
  <si>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</si>
  <si>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</si>
  <si>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</si>
  <si>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</si>
  <si>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</si>
  <si>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</si>
  <si>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</si>
  <si>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</si>
  <si>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</si>
  <si>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</si>
  <si>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</si>
  <si>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</si>
  <si>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</si>
  <si>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</si>
  <si>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</si>
  <si>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</si>
  <si>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</si>
  <si>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</si>
  <si>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</si>
  <si>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</si>
  <si>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</si>
  <si>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</si>
  <si>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</si>
  <si>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</si>
  <si>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</si>
  <si>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</si>
  <si>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</si>
  <si>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</si>
  <si>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</si>
  <si>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</si>
  <si>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</si>
  <si>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</si>
  <si>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</si>
  <si>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</si>
  <si>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</si>
  <si>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</si>
  <si>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</si>
  <si>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</si>
  <si>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</si>
  <si>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</si>
  <si>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</si>
  <si>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</si>
  <si>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</si>
  <si>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</si>
  <si>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</si>
  <si>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</si>
  <si>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</si>
  <si>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</si>
  <si>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</si>
  <si>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</si>
  <si>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</si>
  <si>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</si>
  <si>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</si>
  <si>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</si>
  <si>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</si>
  <si>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</si>
  <si>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</si>
  <si>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</si>
  <si>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</si>
  <si>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</si>
  <si>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</si>
  <si>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</si>
  <si>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</si>
  <si>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</si>
  <si>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</si>
  <si>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</si>
  <si>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</si>
  <si>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</si>
  <si>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</si>
  <si>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</si>
  <si>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</si>
  <si>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</si>
  <si>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</si>
  <si>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</si>
  <si>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</si>
  <si>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</si>
  <si>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</si>
  <si>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</si>
  <si>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</si>
  <si>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</si>
  <si>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</si>
  <si>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</si>
  <si>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</si>
  <si>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</si>
  <si>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</si>
  <si>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</si>
  <si>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</si>
  <si>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</si>
  <si>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</si>
  <si>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</si>
  <si>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</si>
  <si>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</si>
  <si>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</si>
  <si>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</si>
  <si>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</si>
  <si>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</si>
  <si>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</si>
  <si>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</si>
  <si>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</si>
  <si>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</si>
  <si>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</si>
  <si>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</si>
  <si>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</si>
  <si>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</si>
  <si>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</si>
  <si>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</si>
  <si>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</si>
  <si>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</si>
  <si>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</si>
  <si>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</si>
  <si>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</si>
  <si>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</si>
  <si>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</si>
  <si>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</si>
  <si>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</si>
  <si>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</si>
  <si>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</si>
  <si>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</si>
  <si>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</si>
  <si>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</si>
  <si>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</si>
  <si>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</si>
  <si>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</si>
  <si>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</si>
  <si>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</si>
  <si>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</si>
  <si>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</si>
  <si>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</si>
  <si>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</si>
  <si>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</si>
  <si>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</si>
  <si>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</si>
  <si>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</si>
  <si>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</si>
  <si>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</si>
  <si>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</si>
  <si>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</si>
  <si>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</si>
  <si>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</si>
  <si>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</si>
  <si>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</si>
  <si>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</si>
  <si>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</si>
  <si>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</si>
  <si>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</si>
  <si>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</si>
  <si>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</si>
  <si>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</si>
  <si>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</si>
  <si>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</si>
  <si>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</si>
  <si>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</si>
  <si>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</si>
  <si>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</si>
  <si>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</si>
  <si>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</si>
  <si>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</si>
  <si>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</si>
  <si>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</si>
  <si>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</si>
  <si>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</si>
  <si>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</si>
  <si>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</si>
  <si>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</si>
  <si>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</si>
  <si>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</si>
  <si>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</si>
  <si>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</si>
  <si>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</si>
  <si>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</si>
  <si>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</si>
  <si>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</si>
  <si>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</si>
  <si>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</si>
  <si>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</si>
  <si>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</si>
  <si>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</si>
  <si>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</si>
  <si>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</si>
  <si>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</si>
  <si>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</si>
  <si>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</si>
  <si>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</si>
  <si>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</si>
  <si>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</si>
  <si>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</si>
  <si>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</si>
  <si>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</si>
  <si>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</si>
  <si>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</si>
  <si>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</si>
  <si>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</si>
  <si>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</si>
  <si>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</si>
  <si>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</si>
  <si>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</si>
  <si>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</si>
  <si>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</si>
  <si>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</si>
  <si>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</si>
  <si>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</si>
  <si>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</si>
  <si>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</si>
  <si>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</si>
  <si>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</si>
  <si>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</si>
  <si>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</si>
  <si>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</si>
  <si>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</si>
  <si>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</si>
  <si>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</si>
  <si>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</si>
  <si>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</si>
  <si>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</si>
  <si>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</si>
  <si>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</si>
  <si>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</si>
  <si>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</si>
  <si>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</si>
  <si>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</si>
  <si>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</si>
  <si>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</si>
  <si>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</si>
  <si>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</si>
  <si>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</si>
  <si>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</si>
  <si>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</si>
  <si>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</si>
  <si>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</si>
  <si>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</si>
  <si>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</si>
  <si>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</si>
  <si>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</si>
  <si>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</si>
  <si>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</si>
  <si>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</si>
  <si>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</si>
  <si>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</si>
  <si>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</si>
  <si>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</si>
  <si>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</si>
  <si>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</si>
  <si>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</si>
  <si>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</si>
  <si>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</si>
  <si>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</si>
  <si>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</si>
  <si>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</si>
  <si>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</si>
  <si>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</si>
  <si>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</si>
  <si>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</si>
  <si>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</si>
  <si>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</si>
  <si>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</si>
  <si>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</si>
  <si>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</si>
  <si>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</si>
  <si>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</si>
  <si>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</si>
  <si>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</si>
  <si>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</si>
  <si>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</si>
  <si>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</si>
  <si>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</si>
  <si>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</si>
  <si>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</si>
  <si>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</si>
  <si>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</si>
  <si>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</si>
  <si>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</si>
  <si>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</si>
  <si>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</si>
  <si>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</si>
  <si>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</si>
  <si>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</si>
  <si>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</si>
  <si>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</si>
  <si>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</si>
  <si>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</si>
  <si>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</si>
  <si>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</si>
  <si>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</si>
  <si>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</si>
  <si>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</si>
  <si>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</si>
  <si>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</si>
  <si>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</si>
  <si>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</si>
  <si>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</si>
  <si>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</si>
  <si>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</si>
  <si>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</si>
  <si>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</si>
  <si>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</si>
  <si>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</si>
  <si>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</si>
  <si>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</si>
  <si>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</si>
  <si>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</si>
  <si>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</si>
  <si>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</si>
  <si>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</si>
  <si>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</si>
  <si>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</si>
  <si>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</si>
  <si>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</si>
  <si>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</si>
  <si>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</si>
  <si>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</si>
  <si>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</si>
  <si>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</si>
  <si>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</si>
  <si>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</si>
  <si>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</si>
  <si>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</si>
  <si>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</si>
  <si>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</si>
  <si>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</si>
  <si>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</si>
  <si>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</si>
  <si>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</si>
  <si>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</si>
  <si>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</si>
  <si>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</si>
  <si>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</si>
  <si>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</si>
  <si>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</si>
  <si>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</si>
  <si>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</si>
  <si>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</si>
  <si>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</si>
  <si>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</si>
  <si>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</si>
  <si>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</si>
  <si>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</si>
  <si>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</si>
  <si>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・記載する (2020/10/14)</t>
    <rPh sb="1" eb="3">
      <t>キサイ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</si>
</sst>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302</xdr:row>
      <xdr:rowOff>33337</xdr:rowOff>
    </xdr:from>
    <xdr:to>
      <xdr:col>16</xdr:col>
      <xdr:colOff>38100</xdr:colOff>
      <xdr:row>302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304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303</xdr:row>
      <xdr:rowOff>35719</xdr:rowOff>
    </xdr:from>
    <xdr:to>
      <xdr:col>21</xdr:col>
      <xdr:colOff>133350</xdr:colOff>
      <xdr:row>304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41"/>
  <sheetViews>
    <sheetView tabSelected="1" zoomScaleNormal="100" workbookViewId="0">
      <pane xSplit="7" ySplit="4" topLeftCell="H210" activePane="bottomRight" state="frozen"/>
      <selection pane="topRight" activeCell="H1" sqref="H1"/>
      <selection pane="bottomLeft" activeCell="A5" sqref="A5"/>
      <selection pane="bottomRight" activeCell="R223" sqref="R223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451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449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450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/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s="46" customFormat="1" ht="13.5" customHeight="1" x14ac:dyDescent="0.15">
      <c r="B160" s="75">
        <f>IF(G160&lt;&gt;"",SUBTOTAL(3,$G$5:G160),"")</f>
        <v>50</v>
      </c>
      <c r="C160" s="75"/>
      <c r="D160" s="75"/>
      <c r="E160" s="76" t="s">
        <v>139</v>
      </c>
      <c r="F160" s="76" t="s">
        <v>135</v>
      </c>
      <c r="G160" s="74" t="s">
        <v>175</v>
      </c>
      <c r="H160" s="61">
        <v>43995</v>
      </c>
      <c r="I160" s="62">
        <v>1</v>
      </c>
      <c r="J160" s="77" t="s">
        <v>438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78"/>
      <c r="AS160" s="77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78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ht="13.5" customHeight="1" x14ac:dyDescent="0.15">
      <c r="B161" s="102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7" t="s">
        <v>439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78"/>
      <c r="AS161" s="77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78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ht="13.5" customHeight="1" x14ac:dyDescent="0.15">
      <c r="B162" s="102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7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78"/>
      <c r="AS162" s="77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78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>
        <f>IF(G163&lt;&gt;"",SUBTOTAL(3,$G$5:G163),"")</f>
        <v>51</v>
      </c>
      <c r="C163" s="75"/>
      <c r="D163" s="75"/>
      <c r="E163" s="76" t="s">
        <v>139</v>
      </c>
      <c r="F163" s="76" t="s">
        <v>135</v>
      </c>
      <c r="G163" s="74" t="s">
        <v>176</v>
      </c>
      <c r="H163" s="61">
        <v>43955</v>
      </c>
      <c r="I163" s="62">
        <v>1</v>
      </c>
      <c r="J163" s="79" t="s">
        <v>317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262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318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319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266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320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321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322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323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324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272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325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IF(G176&lt;&gt;"",SUBTOTAL(3,$G$5:G176),"")</f>
        <v>52</v>
      </c>
      <c r="C176" s="75"/>
      <c r="D176" s="75"/>
      <c r="E176" s="76" t="s">
        <v>139</v>
      </c>
      <c r="F176" s="76" t="s">
        <v>135</v>
      </c>
      <c r="G176" s="74" t="s">
        <v>177</v>
      </c>
      <c r="H176" s="61">
        <v>43967</v>
      </c>
      <c r="I176" s="103">
        <v>1</v>
      </c>
      <c r="J176" s="77" t="s">
        <v>426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427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43870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102" t="str">
        <f>IF(G179&lt;&gt;"",SUBTOTAL(3,$G$5:G179),"")</f>
        <v/>
      </c>
      <c r="C179" s="75"/>
      <c r="D179" s="75"/>
      <c r="E179" s="76"/>
      <c r="F179" s="76"/>
      <c r="G179" s="74"/>
      <c r="H179" s="61"/>
      <c r="I179" s="68"/>
      <c r="J179" s="77" t="s">
        <v>424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68"/>
      <c r="J180" s="77" t="s">
        <v>425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IF(G182&lt;&gt;"",SUBTOTAL(3,$G$5:G182),"")</f>
        <v>54</v>
      </c>
      <c r="C182" s="75"/>
      <c r="D182" s="75"/>
      <c r="E182" s="76" t="s">
        <v>139</v>
      </c>
      <c r="F182" s="76" t="s">
        <v>135</v>
      </c>
      <c r="G182" s="74" t="s">
        <v>179</v>
      </c>
      <c r="H182" s="61">
        <v>43869</v>
      </c>
      <c r="I182" s="62">
        <v>1</v>
      </c>
      <c r="J182" s="77" t="s">
        <v>440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IF(G184&lt;&gt;"",SUBTOTAL(3,$G$5:G184),"")</f>
        <v>55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79" t="s">
        <v>326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262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327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328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266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320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329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330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323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272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43995</v>
      </c>
      <c r="I196" s="62">
        <v>1</v>
      </c>
      <c r="J196" s="77" t="s">
        <v>441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442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102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443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58</v>
      </c>
      <c r="C200" s="75"/>
      <c r="D200" s="75"/>
      <c r="E200" s="76" t="s">
        <v>139</v>
      </c>
      <c r="F200" s="76" t="s">
        <v>135</v>
      </c>
      <c r="G200" s="74" t="s">
        <v>182</v>
      </c>
      <c r="H200" s="61">
        <v>43961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59</v>
      </c>
      <c r="C201" s="75"/>
      <c r="D201" s="75"/>
      <c r="E201" s="76" t="s">
        <v>139</v>
      </c>
      <c r="F201" s="76" t="s">
        <v>135</v>
      </c>
      <c r="G201" s="74" t="s">
        <v>183</v>
      </c>
      <c r="H201" s="61">
        <v>43961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60</v>
      </c>
      <c r="C202" s="75"/>
      <c r="D202" s="75"/>
      <c r="E202" s="76" t="s">
        <v>139</v>
      </c>
      <c r="F202" s="76" t="s">
        <v>135</v>
      </c>
      <c r="G202" s="74" t="s">
        <v>184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61</v>
      </c>
      <c r="C203" s="75"/>
      <c r="D203" s="75"/>
      <c r="E203" s="76" t="s">
        <v>139</v>
      </c>
      <c r="F203" s="76" t="s">
        <v>135</v>
      </c>
      <c r="G203" s="74" t="s">
        <v>185</v>
      </c>
      <c r="H203" s="61">
        <v>44006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15</v>
      </c>
      <c r="H204" s="61">
        <v>43995</v>
      </c>
      <c r="I204" s="62">
        <v>1</v>
      </c>
      <c r="J204" s="77" t="s">
        <v>428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429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63</v>
      </c>
      <c r="C207" s="75"/>
      <c r="D207" s="75"/>
      <c r="E207" s="76" t="s">
        <v>139</v>
      </c>
      <c r="F207" s="76" t="s">
        <v>135</v>
      </c>
      <c r="G207" s="74" t="s">
        <v>186</v>
      </c>
      <c r="H207" s="61">
        <v>43871</v>
      </c>
      <c r="I207" s="62">
        <v>1</v>
      </c>
      <c r="J207" s="77" t="s">
        <v>436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82" t="s">
        <v>13</v>
      </c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437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82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82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64</v>
      </c>
      <c r="C210" s="75"/>
      <c r="D210" s="75"/>
      <c r="E210" s="76" t="s">
        <v>139</v>
      </c>
      <c r="F210" s="76" t="s">
        <v>135</v>
      </c>
      <c r="G210" s="74" t="s">
        <v>187</v>
      </c>
      <c r="H210" s="61">
        <v>43936</v>
      </c>
      <c r="I210" s="62">
        <v>1</v>
      </c>
      <c r="J210" s="77" t="s">
        <v>432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433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434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435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65</v>
      </c>
      <c r="C215" s="75"/>
      <c r="D215" s="75"/>
      <c r="E215" s="76" t="s">
        <v>139</v>
      </c>
      <c r="F215" s="76" t="s">
        <v>135</v>
      </c>
      <c r="G215" s="74" t="s">
        <v>188</v>
      </c>
      <c r="H215" s="61">
        <v>43935</v>
      </c>
      <c r="I215" s="62">
        <v>1</v>
      </c>
      <c r="J215" s="77" t="s">
        <v>431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430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66</v>
      </c>
      <c r="C218" s="75"/>
      <c r="D218" s="75"/>
      <c r="E218" s="76" t="s">
        <v>139</v>
      </c>
      <c r="F218" s="76" t="s">
        <v>135</v>
      </c>
      <c r="G218" s="74" t="s">
        <v>189</v>
      </c>
      <c r="H218" s="61">
        <v>43919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67</v>
      </c>
      <c r="C219" s="75"/>
      <c r="D219" s="75"/>
      <c r="E219" s="76" t="s">
        <v>139</v>
      </c>
      <c r="F219" s="76" t="s">
        <v>135</v>
      </c>
      <c r="G219" s="74" t="s">
        <v>190</v>
      </c>
      <c r="H219" s="61">
        <v>43995</v>
      </c>
      <c r="I219" s="62">
        <v>1</v>
      </c>
      <c r="J219" s="77" t="s">
        <v>444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68</v>
      </c>
      <c r="C221" s="75"/>
      <c r="D221" s="75"/>
      <c r="E221" s="76" t="s">
        <v>139</v>
      </c>
      <c r="F221" s="76" t="s">
        <v>135</v>
      </c>
      <c r="G221" s="74" t="s">
        <v>191</v>
      </c>
      <c r="H221" s="61">
        <v>43975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69</v>
      </c>
      <c r="C222" s="75"/>
      <c r="D222" s="75"/>
      <c r="E222" s="76" t="s">
        <v>139</v>
      </c>
      <c r="F222" s="76" t="s">
        <v>135</v>
      </c>
      <c r="G222" s="74" t="s">
        <v>192</v>
      </c>
      <c r="H222" s="61">
        <v>43975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70</v>
      </c>
      <c r="C223" s="75"/>
      <c r="D223" s="75"/>
      <c r="E223" s="76" t="s">
        <v>139</v>
      </c>
      <c r="F223" s="76" t="s">
        <v>135</v>
      </c>
      <c r="G223" s="74" t="s">
        <v>193</v>
      </c>
      <c r="H223" s="61">
        <v>43975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71</v>
      </c>
      <c r="C224" s="75"/>
      <c r="D224" s="75"/>
      <c r="E224" s="76" t="s">
        <v>139</v>
      </c>
      <c r="F224" s="76" t="s">
        <v>135</v>
      </c>
      <c r="G224" s="74" t="s">
        <v>194</v>
      </c>
      <c r="H224" s="61">
        <v>43975</v>
      </c>
      <c r="I224" s="62">
        <v>1</v>
      </c>
      <c r="J224" s="77" t="s">
        <v>445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446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72</v>
      </c>
      <c r="C227" s="75"/>
      <c r="D227" s="75"/>
      <c r="E227" s="76" t="s">
        <v>139</v>
      </c>
      <c r="F227" s="76" t="s">
        <v>135</v>
      </c>
      <c r="G227" s="74" t="s">
        <v>195</v>
      </c>
      <c r="H227" s="61">
        <v>43977</v>
      </c>
      <c r="I227" s="62">
        <v>1</v>
      </c>
      <c r="J227" s="77" t="s">
        <v>447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73</v>
      </c>
      <c r="C229" s="75"/>
      <c r="D229" s="75"/>
      <c r="E229" s="76" t="s">
        <v>139</v>
      </c>
      <c r="F229" s="76" t="s">
        <v>135</v>
      </c>
      <c r="G229" s="74" t="s">
        <v>196</v>
      </c>
      <c r="H229" s="61">
        <v>43977</v>
      </c>
      <c r="I229" s="62">
        <v>1</v>
      </c>
      <c r="J229" s="77" t="s">
        <v>448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43977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75</v>
      </c>
      <c r="C232" s="75"/>
      <c r="D232" s="75"/>
      <c r="E232" s="76" t="s">
        <v>139</v>
      </c>
      <c r="F232" s="76" t="s">
        <v>135</v>
      </c>
      <c r="G232" s="74" t="s">
        <v>198</v>
      </c>
      <c r="H232" s="61">
        <v>43995</v>
      </c>
      <c r="I232" s="62">
        <v>1</v>
      </c>
      <c r="J232" s="77" t="s">
        <v>452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102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76</v>
      </c>
      <c r="C234" s="75"/>
      <c r="D234" s="75"/>
      <c r="E234" s="76" t="s">
        <v>139</v>
      </c>
      <c r="F234" s="76" t="s">
        <v>135</v>
      </c>
      <c r="G234" s="74" t="s">
        <v>199</v>
      </c>
      <c r="H234" s="61">
        <v>43982</v>
      </c>
      <c r="I234" s="62"/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77</v>
      </c>
      <c r="C235" s="75"/>
      <c r="D235" s="75"/>
      <c r="E235" s="76" t="s">
        <v>139</v>
      </c>
      <c r="F235" s="76" t="s">
        <v>135</v>
      </c>
      <c r="G235" s="74" t="s">
        <v>200</v>
      </c>
      <c r="H235" s="61">
        <v>43989</v>
      </c>
      <c r="I235" s="62"/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78</v>
      </c>
      <c r="C236" s="75"/>
      <c r="D236" s="75"/>
      <c r="E236" s="76" t="s">
        <v>139</v>
      </c>
      <c r="F236" s="76" t="s">
        <v>135</v>
      </c>
      <c r="G236" s="74" t="s">
        <v>201</v>
      </c>
      <c r="H236" s="61">
        <v>43989</v>
      </c>
      <c r="I236" s="62"/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IF(G237&lt;&gt;"",SUBTOTAL(3,$G$5:G237),"")</f>
        <v>79</v>
      </c>
      <c r="C237" s="75"/>
      <c r="D237" s="75"/>
      <c r="E237" s="76" t="s">
        <v>139</v>
      </c>
      <c r="F237" s="76" t="s">
        <v>135</v>
      </c>
      <c r="G237" s="74" t="s">
        <v>202</v>
      </c>
      <c r="H237" s="61">
        <v>43991</v>
      </c>
      <c r="I237" s="62"/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80</v>
      </c>
      <c r="C238" s="75"/>
      <c r="D238" s="75"/>
      <c r="E238" s="76" t="s">
        <v>139</v>
      </c>
      <c r="F238" s="76" t="s">
        <v>135</v>
      </c>
      <c r="G238" s="74" t="s">
        <v>203</v>
      </c>
      <c r="H238" s="61">
        <v>43991</v>
      </c>
      <c r="I238" s="62"/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75">
        <f>IF(G239&lt;&gt;"",SUBTOTAL(3,$G$5:G239),"")</f>
        <v>81</v>
      </c>
      <c r="C239" s="75"/>
      <c r="D239" s="75"/>
      <c r="E239" s="76" t="s">
        <v>139</v>
      </c>
      <c r="F239" s="76" t="s">
        <v>135</v>
      </c>
      <c r="G239" s="74" t="s">
        <v>204</v>
      </c>
      <c r="H239" s="61">
        <v>43992</v>
      </c>
      <c r="I239" s="62"/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>
        <f>IF(G240&lt;&gt;"",SUBTOTAL(3,$G$5:G240),"")</f>
        <v>82</v>
      </c>
      <c r="C240" s="75"/>
      <c r="D240" s="75"/>
      <c r="E240" s="76" t="s">
        <v>139</v>
      </c>
      <c r="F240" s="76" t="s">
        <v>135</v>
      </c>
      <c r="G240" s="74" t="s">
        <v>205</v>
      </c>
      <c r="H240" s="61">
        <v>43994</v>
      </c>
      <c r="I240" s="62">
        <v>0.8</v>
      </c>
      <c r="J240" s="77" t="s">
        <v>331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4"/>
      <c r="H241" s="61"/>
      <c r="I241" s="68">
        <v>0.8</v>
      </c>
      <c r="J241" s="77" t="s">
        <v>332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4"/>
      <c r="H242" s="61"/>
      <c r="I242" s="68">
        <v>0.8</v>
      </c>
      <c r="J242" s="77" t="s">
        <v>333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4"/>
      <c r="H243" s="61"/>
      <c r="I243" s="68">
        <v>0.8</v>
      </c>
      <c r="J243" s="77" t="s">
        <v>334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4"/>
      <c r="H244" s="61"/>
      <c r="I244" s="68">
        <v>0.8</v>
      </c>
      <c r="J244" s="77" t="s">
        <v>335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4"/>
      <c r="H245" s="61"/>
      <c r="I245" s="68">
        <v>0.8</v>
      </c>
      <c r="J245" s="77" t="s">
        <v>336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4"/>
      <c r="H246" s="61"/>
      <c r="I246" s="68">
        <v>0.8</v>
      </c>
      <c r="J246" s="77" t="s">
        <v>337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4"/>
      <c r="H247" s="61"/>
      <c r="I247" s="68">
        <v>0.8</v>
      </c>
      <c r="J247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4"/>
      <c r="H248" s="61"/>
      <c r="I248" s="68">
        <v>0.8</v>
      </c>
      <c r="J248" s="37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9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75">
        <f>IF(G249&lt;&gt;"",SUBTOTAL(3,$G$5:G249),"")</f>
        <v>83</v>
      </c>
      <c r="C249" s="75"/>
      <c r="D249" s="75"/>
      <c r="E249" s="76" t="s">
        <v>139</v>
      </c>
      <c r="F249" s="76" t="s">
        <v>135</v>
      </c>
      <c r="G249" s="74" t="s">
        <v>206</v>
      </c>
      <c r="H249" s="61">
        <v>43995</v>
      </c>
      <c r="I249" s="62"/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>
        <f>IF(G250&lt;&gt;"",SUBTOTAL(3,$G$5:G250),"")</f>
        <v>84</v>
      </c>
      <c r="C250" s="75"/>
      <c r="D250" s="75"/>
      <c r="E250" s="76" t="s">
        <v>139</v>
      </c>
      <c r="F250" s="76" t="s">
        <v>135</v>
      </c>
      <c r="G250" s="74" t="s">
        <v>207</v>
      </c>
      <c r="H250" s="61">
        <v>43997</v>
      </c>
      <c r="I250" s="62">
        <v>1</v>
      </c>
      <c r="J250" s="77" t="s">
        <v>404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 t="s">
        <v>339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 t="s">
        <v>403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 t="s">
        <v>405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 t="s">
        <v>338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 t="s">
        <v>406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IF(G253&lt;&gt;"",SUBTOTAL(3,$G$5:G253),"")</f>
        <v>85</v>
      </c>
      <c r="C253" s="75"/>
      <c r="D253" s="75"/>
      <c r="E253" s="76" t="s">
        <v>139</v>
      </c>
      <c r="F253" s="76" t="s">
        <v>135</v>
      </c>
      <c r="G253" s="74" t="s">
        <v>208</v>
      </c>
      <c r="H253" s="61">
        <v>44004</v>
      </c>
      <c r="I253" s="62"/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>
        <f>IF(G254&lt;&gt;"",SUBTOTAL(3,$G$5:G254),"")</f>
        <v>86</v>
      </c>
      <c r="C254" s="75"/>
      <c r="D254" s="75"/>
      <c r="E254" s="76" t="s">
        <v>139</v>
      </c>
      <c r="F254" s="76" t="s">
        <v>142</v>
      </c>
      <c r="G254" s="76" t="s">
        <v>209</v>
      </c>
      <c r="H254" s="61">
        <v>44030</v>
      </c>
      <c r="I254" s="62">
        <v>1</v>
      </c>
      <c r="J254" s="77" t="s">
        <v>340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407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77" t="s">
        <v>341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 t="s">
        <v>408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342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5.75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370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409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410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>
        <f>IF(G262&lt;&gt;"",SUBTOTAL(3,$G$5:G262),"")</f>
        <v>87</v>
      </c>
      <c r="C262" s="75"/>
      <c r="D262" s="75"/>
      <c r="E262" s="76" t="s">
        <v>139</v>
      </c>
      <c r="F262" s="76" t="s">
        <v>142</v>
      </c>
      <c r="G262" s="76" t="s">
        <v>216</v>
      </c>
      <c r="H262" s="61">
        <v>44052</v>
      </c>
      <c r="I262" s="62">
        <v>0.5</v>
      </c>
      <c r="J262" s="77" t="s">
        <v>343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412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102" t="str">
        <f>IF(G263&lt;&gt;"",SUBTOTAL(3,$G$5:G263),"")</f>
        <v/>
      </c>
      <c r="C263" s="75"/>
      <c r="D263" s="75"/>
      <c r="E263" s="76"/>
      <c r="F263" s="76"/>
      <c r="G263" s="76"/>
      <c r="H263" s="61"/>
      <c r="I263" s="68">
        <v>0.5</v>
      </c>
      <c r="J263" s="77" t="s">
        <v>371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 t="s">
        <v>411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102" t="str">
        <f>IF(G264&lt;&gt;"",SUBTOTAL(3,$G$5:G264),"")</f>
        <v/>
      </c>
      <c r="C264" s="75"/>
      <c r="D264" s="75"/>
      <c r="E264" s="76"/>
      <c r="F264" s="76"/>
      <c r="G264" s="76"/>
      <c r="H264" s="61"/>
      <c r="I264" s="68">
        <v>0.5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 t="s">
        <v>413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102" t="str">
        <f>IF(G265&lt;&gt;"",SUBTOTAL(3,$G$5:G265),"")</f>
        <v/>
      </c>
      <c r="C265" s="75"/>
      <c r="D265" s="75"/>
      <c r="E265" s="76"/>
      <c r="F265" s="76"/>
      <c r="G265" s="76"/>
      <c r="H265" s="61"/>
      <c r="I265" s="68">
        <v>0.5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 t="s">
        <v>414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102" t="str">
        <f>IF(G266&lt;&gt;"",SUBTOTAL(3,$G$5:G266),"")</f>
        <v/>
      </c>
      <c r="C266" s="75"/>
      <c r="D266" s="75"/>
      <c r="E266" s="76"/>
      <c r="F266" s="76"/>
      <c r="G266" s="76"/>
      <c r="H266" s="61"/>
      <c r="I266" s="68">
        <v>0.5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416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68">
        <v>0.5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415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68">
        <v>0.5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417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68">
        <v>0.5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68">
        <v>0.5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IF(G271&lt;&gt;"",SUBTOTAL(3,$G$5:G271),"")</f>
        <v>88</v>
      </c>
      <c r="C271" s="75"/>
      <c r="D271" s="75"/>
      <c r="E271" s="76" t="s">
        <v>139</v>
      </c>
      <c r="F271" s="76" t="s">
        <v>142</v>
      </c>
      <c r="G271" s="76" t="s">
        <v>223</v>
      </c>
      <c r="H271" s="61">
        <v>44062</v>
      </c>
      <c r="I271" s="62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75">
        <f>IF(G272&lt;&gt;"",SUBTOTAL(3,$G$5:G272),"")</f>
        <v>89</v>
      </c>
      <c r="C272" s="75"/>
      <c r="D272" s="75"/>
      <c r="E272" s="76" t="s">
        <v>139</v>
      </c>
      <c r="F272" s="76" t="s">
        <v>142</v>
      </c>
      <c r="G272" s="76" t="s">
        <v>224</v>
      </c>
      <c r="H272" s="61">
        <v>44071</v>
      </c>
      <c r="I272" s="62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>
        <f>IF(G273&lt;&gt;"",SUBTOTAL(3,$G$5:G273),"")</f>
        <v>90</v>
      </c>
      <c r="C273" s="75"/>
      <c r="D273" s="75"/>
      <c r="E273" s="76" t="s">
        <v>139</v>
      </c>
      <c r="F273" s="76" t="s">
        <v>142</v>
      </c>
      <c r="G273" s="76" t="s">
        <v>228</v>
      </c>
      <c r="H273" s="61">
        <v>44073</v>
      </c>
      <c r="I273" s="62">
        <v>1</v>
      </c>
      <c r="J273" s="98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8" t="s">
        <v>354</v>
      </c>
      <c r="AT273" s="43" t="s">
        <v>355</v>
      </c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344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345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346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9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9" t="s">
        <v>347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359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348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349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8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8" t="s">
        <v>354</v>
      </c>
      <c r="AT281" s="43" t="s">
        <v>356</v>
      </c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360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 t="s">
        <v>361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344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345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346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347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362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350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348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349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8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8" t="s">
        <v>357</v>
      </c>
      <c r="AT292" s="43" t="s">
        <v>358</v>
      </c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363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344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345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9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9" t="s">
        <v>346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9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9" t="s">
        <v>347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9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9" t="s">
        <v>351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348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9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9" t="s">
        <v>349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4.25" customHeight="1" x14ac:dyDescent="0.15">
      <c r="B302" s="75">
        <f>IF(G302&lt;&gt;"",SUBTOTAL(3,$G$5:G302),"")</f>
        <v>91</v>
      </c>
      <c r="C302" s="75"/>
      <c r="D302" s="75"/>
      <c r="E302" s="76" t="s">
        <v>139</v>
      </c>
      <c r="F302" s="76" t="s">
        <v>142</v>
      </c>
      <c r="G302" s="76" t="s">
        <v>239</v>
      </c>
      <c r="H302" s="61">
        <v>44108</v>
      </c>
      <c r="I302" s="62">
        <v>0.5</v>
      </c>
      <c r="J302" s="77" t="s">
        <v>1</v>
      </c>
      <c r="K302" s="43" t="s">
        <v>353</v>
      </c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4.25" customHeigh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68">
        <v>0.5</v>
      </c>
      <c r="J303" s="83"/>
      <c r="K303" s="84"/>
      <c r="L303" s="84"/>
      <c r="M303" s="84"/>
      <c r="N303" s="84"/>
      <c r="O303" s="84"/>
      <c r="P303" s="84"/>
      <c r="Q303" s="84"/>
      <c r="R303" s="85" t="s">
        <v>352</v>
      </c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6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4.25" customHeigh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68">
        <v>0.5</v>
      </c>
      <c r="J304" s="87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6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4.25" customHeigh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68">
        <v>0.5</v>
      </c>
      <c r="J305" s="83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6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4.25" customHeigh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68">
        <v>0.5</v>
      </c>
      <c r="J306" s="83" t="s">
        <v>240</v>
      </c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6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4.25" customHeigh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68">
        <v>0.5</v>
      </c>
      <c r="J307" s="83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6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4.25" customHeigh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68">
        <v>0.5</v>
      </c>
      <c r="J308" s="83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6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4.25" customHeigh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68">
        <v>0.5</v>
      </c>
      <c r="J309" s="83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6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4.25" customHeigh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68">
        <v>0.5</v>
      </c>
      <c r="J310" s="83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6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62"/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ht="13.5" customHeight="1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40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2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ht="13.5" customHeight="1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ht="15.75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40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2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9"/>
      <c r="CJ318" s="69"/>
      <c r="CK318" s="69"/>
      <c r="CL318" s="69"/>
      <c r="CM318" s="69"/>
      <c r="CN318" s="69"/>
      <c r="CO318" s="69"/>
      <c r="CP318" s="69"/>
      <c r="CQ318" s="69"/>
      <c r="CR318" s="69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9"/>
      <c r="DH318" s="69"/>
      <c r="DI318" s="69"/>
      <c r="DJ318" s="69"/>
      <c r="DK318" s="69"/>
      <c r="DL318" s="69"/>
      <c r="DM318" s="69"/>
      <c r="DN318" s="69"/>
      <c r="DO318" s="69"/>
      <c r="DP318" s="69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ht="15.75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40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2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88" t="str">
        <f>IF(G341&lt;&gt;"",SUBTOTAL(3,$G$5:G341),"")</f>
        <v/>
      </c>
      <c r="C341" s="88"/>
      <c r="D341" s="88"/>
      <c r="E341" s="89"/>
      <c r="F341" s="89"/>
      <c r="G341" s="89"/>
      <c r="H341" s="90"/>
      <c r="I341" s="91"/>
      <c r="J341" s="92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4"/>
      <c r="AS341" s="92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  <c r="BI341" s="93"/>
      <c r="BJ341" s="93"/>
      <c r="BK341" s="93"/>
      <c r="BL341" s="93"/>
      <c r="BM341" s="93"/>
      <c r="BN341" s="93"/>
      <c r="BO341" s="93"/>
      <c r="BP341" s="93"/>
      <c r="BQ341" s="93"/>
      <c r="BR341" s="93"/>
      <c r="BS341" s="93"/>
      <c r="BT341" s="93"/>
      <c r="BU341" s="93"/>
      <c r="BV341" s="93"/>
      <c r="BW341" s="93"/>
      <c r="BX341" s="93"/>
      <c r="BY341" s="93"/>
      <c r="BZ341" s="93"/>
      <c r="CA341" s="94"/>
      <c r="CB341" s="95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12:I312 B326:I326 B318:I318 B42:D42 B49:H49 B58:H58 I144:I162 B144:H163 CB144:CB163 J144:AR163 B313:AR317 B327:AR341 B5:CB39 B307:AR311 B319:AR325 AS307:CB341 F42:CB42 B43:CB47 J48:CB49 B59:CB59 AS144:CA162 B164:CB175 B185:CB246 K40:CB40 B41:CB41 K60:CB60 K247:CB247 B305:CB305 K304:CB304 K306:CB306 I163:CA163 K101:CB101 J57:CB58 B50:CB56 J61:CB63 B64:CB100 B102:CB143 B248:CB303 I176:I183 B176:H184 J176:CB184">
    <cfRule type="expression" dxfId="25" priority="96">
      <formula>AND($I5&lt;&gt;1,$I5&lt;&gt;"")</formula>
    </cfRule>
  </conditionalFormatting>
  <conditionalFormatting sqref="I184:AR184">
    <cfRule type="expression" dxfId="24" priority="82">
      <formula>AND($I184&lt;&gt;1,$I184&lt;&gt;"")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47:I247">
    <cfRule type="expression" dxfId="8" priority="18">
      <formula>AND($I247&lt;&gt;1,$I247&lt;&gt;"")</formula>
    </cfRule>
  </conditionalFormatting>
  <conditionalFormatting sqref="J247">
    <cfRule type="expression" dxfId="7" priority="17">
      <formula>AND($I247&lt;&gt;1,$I247&lt;&gt;"")</formula>
    </cfRule>
  </conditionalFormatting>
  <conditionalFormatting sqref="B304:I304 B306:I306">
    <cfRule type="expression" dxfId="6" priority="10">
      <formula>AND($I304&lt;&gt;1,$I304&lt;&gt;"")</formula>
    </cfRule>
  </conditionalFormatting>
  <conditionalFormatting sqref="J306">
    <cfRule type="expression" dxfId="5" priority="9">
      <formula>AND($I306&lt;&gt;1,$I306&lt;&gt;"")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41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5" location="toABC143_C_Slimes" display="(→)" xr:uid="{D0A14FDC-339D-483C-A7FB-42784F1DB2F9}"/>
    <hyperlink ref="CB203" location="toABC147_C_Honest_or_Unkind2" display="(→)" xr:uid="{5E89EE6B-F278-4D19-9890-D06616736879}"/>
    <hyperlink ref="CB207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06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2020-10-14T13:18:14Z</dcterms:modified>
</cp:coreProperties>
</file>
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1B08E0D-627D-443C-9D19-0DFCE46E211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>At_Coder_C問題!$B$4:$L$4</definedName>
    <definedName name="fromABC114_C_755">At_Coder_C問題!$J$29</definedName>
    <definedName name="fromABC143_C_Slimes">At_Coder_C問題!$J$63</definedName>
    <definedName name="fromABC147_C_Honest_or_Unkind2">At_Coder_C問題!$J$68</definedName>
    <definedName name="fromABC149_C_NextPrime">At_Coder_C問題!$J$70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0" i="3" l="1"/>
  <c r="B90" i="3" l="1"/>
  <c r="B19" i="3" l="1"/>
  <c r="B21" i="3" l="1"/>
  <c r="B20" i="3" l="1"/>
  <c r="B24" i="3" l="1"/>
  <c r="B25" i="3"/>
  <c r="B26" i="3"/>
  <c r="B27" i="3"/>
  <c r="B28" i="3"/>
  <c r="B29" i="3"/>
  <c r="B30" i="3"/>
  <c r="B31" i="3"/>
  <c r="B32" i="3"/>
  <c r="B33" i="3"/>
  <c r="B34" i="3"/>
  <c r="B35" i="3"/>
  <c r="B36" i="3"/>
  <c r="B22" i="3"/>
  <c r="B38" i="3" l="1"/>
  <c r="B39" i="3" l="1"/>
  <c r="B40" i="3" l="1"/>
  <c r="B41" i="3" l="1"/>
  <c r="B131" i="3" l="1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<sst xmlns="http://schemas.openxmlformats.org/spreadsheetml/2006/main" count="585" uniqueCount="290">
  <si>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</si>
  <si>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</si>
  <si>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</si>
  <si>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</si>
  <si>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</si>
  <si>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</si>
  <si>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</si>
  <si>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</si>
  <si>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</si>
  <si>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</si>
  <si>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</si>
  <si>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</si>
  <si>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</si>
  <si>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</si>
  <si>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</si>
  <si>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</si>
  <si>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</si>
  <si>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</si>
  <si>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</si>
  <si>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</si>
  <si>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</si>
  <si>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</si>
  <si>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</si>
  <si>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</si>
  <si>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</si>
  <si>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</si>
  <si>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</si>
  <si>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</si>
  <si>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</si>
  <si>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</si>
  <si>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</si>
  <si>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</si>
  <si>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</si>
  <si>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</si>
  <si>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</si>
  <si>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</si>
  <si>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</si>
  <si>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</si>
  <si>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</si>
  <si>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</si>
  <si>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</si>
  <si>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</si>
  <si>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</si>
  <si>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</si>
  <si>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</si>
  <si>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</si>
  <si>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</si>
  <si>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</si>
  <si>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</si>
  <si>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</si>
  <si>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</si>
  <si>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</si>
  <si>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</si>
  <si>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</si>
  <si>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</si>
  <si>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</si>
  <si>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</si>
  <si>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</si>
  <si>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</si>
  <si>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</si>
  <si>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</si>
  <si>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</si>
  <si>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</si>
  <si>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</si>
  <si>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</si>
  <si>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</si>
  <si>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</si>
  <si>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</si>
  <si>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</si>
  <si>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</si>
  <si>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</si>
  <si>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</si>
  <si>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</si>
  <si>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</si>
  <si>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</si>
  <si>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</si>
  <si>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</si>
  <si>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</si>
  <si>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</si>
  <si>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</si>
  <si>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</si>
  <si>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</si>
  <si>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</si>
  <si>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</si>
  <si>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</si>
  <si>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</si>
  <si>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</si>
  <si>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</si>
  <si>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</si>
  <si>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</si>
  <si>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</si>
  <si>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</si>
  <si>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</si>
  <si>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</si>
  <si>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</si>
  <si>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</si>
  <si>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</si>
  <si>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</si>
  <si>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</si>
  <si>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</si>
  <si>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</si>
  <si>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</si>
  <si>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</si>
  <si>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</si>
  <si>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</si>
  <si>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</si>
  <si>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</si>
  <si>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</si>
  <si>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</si>
  <si>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</si>
  <si>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</si>
  <si>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</si>
  <si>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</si>
  <si>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</si>
  <si>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</si>
  <si>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</si>
  <si>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</si>
  <si>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</si>
  <si>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</si>
  <si>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</si>
  <si>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</si>
  <si>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</si>
  <si>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</si>
  <si>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</si>
  <si>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</si>
  <si>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</si>
  <si>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</si>
  <si>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</si>
  <si>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</si>
  <si>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</si>
  <si>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</si>
  <si>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</si>
  <si>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</si>
  <si>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</si>
  <si>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</si>
  <si>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</si>
  <si>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</si>
  <si>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</si>
  <si>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</si>
  <si>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</si>
  <si>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</si>
  <si>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</si>
  <si>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</si>
  <si>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</si>
  <si>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</si>
  <si>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</si>
  <si>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</si>
  <si>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</si>
  <si>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</si>
  <si>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</si>
  <si>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</si>
  <si>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</si>
  <si>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</si>
  <si>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</si>
  <si>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</si>
  <si>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</si>
  <si>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</si>
  <si>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</si>
  <si>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</si>
  <si>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</si>
  <si>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</si>
  <si>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</si>
  <si>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</si>
  <si>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</si>
  <si>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</si>
  <si>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</si>
  <si>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</si>
  <si>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</si>
  <si>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</si>
  <si>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</si>
  <si>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</si>
  <si>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</si>
  <si>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</si>
  <si>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</si>
  <si>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</si>
  <si>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</si>
  <si>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</si>
  <si>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</si>
  <si>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</si>
  <si>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</si>
  <si>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</si>
  <si>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</si>
  <si>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</si>
  <si>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</si>
  <si>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</si>
  <si>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</si>
  <si>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</si>
  <si>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</si>
  <si>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</si>
  <si>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</si>
  <si>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</si>
  <si>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</si>
  <si>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</si>
  <si>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</si>
  <si>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</si>
  <si>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</si>
  <si>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</si>
  <si>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</si>
  <si>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</si>
  <si>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</si>
  <si>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</si>
  <si>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</si>
  <si>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</si>
  <si>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</si>
  <si>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</si>
  <si>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</si>
  <si>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</si>
  <si>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</si>
  <si>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</si>
  <si>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</si>
  <si>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</si>
  <si>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</si>
  <si>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</si>
  <si>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</si>
  <si>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</si>
  <si>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</si>
  <si>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</si>
  <si>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</si>
  <si>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</si>
  <si>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</si>
  <si>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</si>
  <si>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</si>
  <si>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</si>
  <si>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</si>
  <si>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</si>
  <si>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</si>
  <si>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</si>
  <si>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</si>
  <si>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</si>
  <si>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</si>
  <si>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</si>
  <si>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</si>
  <si>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</si>
  <si>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</si>
  <si>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</si>
  <si>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</si>
  <si>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</si>
  <si>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</si>
  <si>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</si>
  <si>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</si>
  <si>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</si>
  <si>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</si>
  <si>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</si>
  <si>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</si>
  <si>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</si>
  <si>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</si>
  <si>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</si>
  <si>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</si>
  <si>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</si>
  <si>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</si>
  <si>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</si>
  <si>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</si>
  <si>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</si>
  <si>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</si>
  <si>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</si>
  <si>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</si>
  <si>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</si>
  <si>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</si>
  <si>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</si>
  <si>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</si>
  <si>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</si>
  <si>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</si>
  <si>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</si>
  <si>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</si>
  <si>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</si>
  <si>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解法の相違点 (模範解答と自解答)</t>
    <rPh sb="0" eb="2">
      <t>カイホウ</t>
    </rPh>
    <rPh sb="3" eb="6">
      <t>ソウイテン</t>
    </rPh>
    <rPh sb="8" eb="10">
      <t>モハン</t>
    </rPh>
    <rPh sb="10" eb="12">
      <t>カイトウ</t>
    </rPh>
    <rPh sb="13" eb="14">
      <t>ジ</t>
    </rPh>
    <rPh sb="14" eb="16">
      <t>カイトウ</t>
    </rPh>
    <phoneticPr fontId="2"/>
  </si>
  <si>
    <t>●10000円の枚数と5000円の枚数の２重ループ
   10000円の枚数と5000円の枚数が確定すると、1000円の枚数を必然的に確定する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rPh sb="34" eb="35">
      <t>エン</t>
    </rPh>
    <rPh sb="36" eb="38">
      <t>マイスウ</t>
    </rPh>
    <rPh sb="43" eb="44">
      <t>エン</t>
    </rPh>
    <rPh sb="45" eb="47">
      <t>マイスウ</t>
    </rPh>
    <rPh sb="48" eb="50">
      <t>カクテイ</t>
    </rPh>
    <rPh sb="58" eb="59">
      <t>エン</t>
    </rPh>
    <rPh sb="60" eb="62">
      <t>マイスウ</t>
    </rPh>
    <rPh sb="63" eb="66">
      <t>ヒツゼンテキ</t>
    </rPh>
    <rPh sb="67" eb="69">
      <t>カクテイ</t>
    </rPh>
    <phoneticPr fontId="2"/>
  </si>
  <si>
    <t>●偶数番目と奇数番目どちらを正にするかで 2 通り考え、小さい方を答える
●番号の小さい順に数を確定させていく
● i 桁目までの和の符号が欲しい符号と同じ場合、i 番目の数を変更する必要はない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</si>
  <si>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t>・以下の規則がわからなかったため、解けなかった
●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rPh sb="1" eb="3">
      <t>イカ</t>
    </rPh>
    <rPh sb="4" eb="6">
      <t>キソク</t>
    </rPh>
    <rPh sb="17" eb="18">
      <t>ト</t>
    </rPh>
    <phoneticPr fontId="2"/>
  </si>
  <si>
    <t>●N本の内、K本のキャンドルの添え字を
nLeft = 0, nRigt = nLeft + K - 1; を定義して
while ( nLeft &lt; N  &amp;&amp;
            nRigt &lt; N        ) の間、処理を行い、K本のキャンドルに到達する最も小さい時間を算出する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rPh sb="55" eb="57">
      <t>テイギ</t>
    </rPh>
    <rPh sb="114" eb="115">
      <t>アイダ</t>
    </rPh>
    <rPh sb="116" eb="118">
      <t>ショリ</t>
    </rPh>
    <rPh sb="119" eb="120">
      <t>オコナ</t>
    </rPh>
    <rPh sb="123" eb="124">
      <t>ホン</t>
    </rPh>
    <rPh sb="131" eb="133">
      <t>トウタツ</t>
    </rPh>
    <rPh sb="135" eb="136">
      <t>モット</t>
    </rPh>
    <rPh sb="137" eb="138">
      <t>チイ</t>
    </rPh>
    <rPh sb="140" eb="142">
      <t>ジカン</t>
    </rPh>
    <rPh sb="143" eb="145">
      <t>サンシュツ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</si>
  <si>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</si>
  <si>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・Kの倍数を求めるが、正整数の組(a, b, c) について
●Kが奇数の場合、a, b,c  それぞれが K の倍数である必要がある
●Kが偶数の場合、a, b, c それぞれが K の倍数であることと または
                              a, b, c それぞれの 初項が K/2 公差 K の等差数列
でも条件が成り立つ</t>
    <rPh sb="3" eb="5">
      <t>バイスウ</t>
    </rPh>
    <rPh sb="6" eb="7">
      <t>モト</t>
    </rPh>
    <rPh sb="34" eb="36">
      <t>キスウ</t>
    </rPh>
    <rPh sb="37" eb="39">
      <t>バアイ</t>
    </rPh>
    <rPh sb="57" eb="59">
      <t>バイスウ</t>
    </rPh>
    <rPh sb="62" eb="64">
      <t>ヒツヨウ</t>
    </rPh>
    <rPh sb="71" eb="73">
      <t>グウスウ</t>
    </rPh>
    <rPh sb="74" eb="76">
      <t>バアイ</t>
    </rPh>
    <rPh sb="94" eb="96">
      <t>バイスウ</t>
    </rPh>
    <rPh sb="151" eb="153">
      <t>ショコウ</t>
    </rPh>
    <rPh sb="159" eb="161">
      <t>コウサ</t>
    </rPh>
    <rPh sb="165" eb="167">
      <t>トウサ</t>
    </rPh>
    <rPh sb="167" eb="169">
      <t>スウレツ</t>
    </rPh>
    <rPh sb="172" eb="174">
      <t>ジョウケン</t>
    </rPh>
    <rPh sb="175" eb="176">
      <t>ナ</t>
    </rPh>
    <rPh sb="177" eb="178">
      <t>タ</t>
    </rPh>
    <phoneticPr fontId="2"/>
  </si>
  <si>
    <t>・座標圧縮を行い、市について、県ごとの認識番号の小さい順の順番を取得する
◆C++_Language解説◆.xlsm の 座標圧縮 を参照</t>
    <rPh sb="61" eb="63">
      <t>ザヒョウ</t>
    </rPh>
    <rPh sb="63" eb="65">
      <t>アッシュク</t>
    </rPh>
    <rPh sb="67" eb="69">
      <t>サンショウ</t>
    </rPh>
    <phoneticPr fontId="2"/>
  </si>
  <si>
    <t>●vector&lt;int&gt;の全要素を sort することなく、先頭から順番に GCD を算出
●GCDを求めるロジックは 再帰関数にする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</si>
  <si>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自解答
・vector&lt;int&gt; の全要素の GCD を求めるため、vector&lt;int&gt; の全要素を sort し、小さい順に GCD を算出
・GCDを求めるロジックは忠実にユークリッドの互除法を実装した
模範解答
・vector&lt;int&gt;の全要素を sort することなく、先頭から順番に GCD を算出
・GCDを求めるロジックは 再帰関数にした</t>
    <rPh sb="0" eb="1">
      <t>ジ</t>
    </rPh>
    <rPh sb="1" eb="3">
      <t>カイトウ</t>
    </rPh>
    <rPh sb="18" eb="21">
      <t>ゼンヨウソ</t>
    </rPh>
    <rPh sb="28" eb="29">
      <t>モト</t>
    </rPh>
    <rPh sb="47" eb="50">
      <t>ゼンヨウソ</t>
    </rPh>
    <rPh sb="59" eb="60">
      <t>チイ</t>
    </rPh>
    <rPh sb="62" eb="63">
      <t>ジュン</t>
    </rPh>
    <rPh sb="70" eb="72">
      <t>サンシュツ</t>
    </rPh>
    <rPh sb="78" eb="79">
      <t>モト</t>
    </rPh>
    <rPh sb="86" eb="88">
      <t>チュウジツ</t>
    </rPh>
    <rPh sb="96" eb="99">
      <t>ゴジョホウ</t>
    </rPh>
    <rPh sb="100" eb="102">
      <t>ジッソウ</t>
    </rPh>
    <rPh sb="105" eb="107">
      <t>モハン</t>
    </rPh>
    <rPh sb="107" eb="109">
      <t>カイトウ</t>
    </rPh>
    <phoneticPr fontId="2"/>
  </si>
  <si>
    <t>自解答
・map&lt;価格,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
模範解答
・map&lt;価格, 個数&gt;で実装可能
map[ 価格[n] ] += 個数[n]; としてやれば、同一価格（価格[n] ）の場合、個数（個数[n] ） を加算することができる</t>
    <rPh sb="0" eb="1">
      <t>ジ</t>
    </rPh>
    <rPh sb="1" eb="3">
      <t>カイトウ</t>
    </rPh>
    <rPh sb="9" eb="11">
      <t>カカク</t>
    </rPh>
    <rPh sb="13" eb="15">
      <t>コスウ</t>
    </rPh>
    <rPh sb="17" eb="19">
      <t>ジッソウ</t>
    </rPh>
    <rPh sb="23" eb="25">
      <t>ドウイツ</t>
    </rPh>
    <rPh sb="26" eb="28">
      <t>カカク</t>
    </rPh>
    <rPh sb="29" eb="31">
      <t>ソンザイ</t>
    </rPh>
    <rPh sb="37" eb="39">
      <t>チョウフク</t>
    </rPh>
    <rPh sb="42" eb="43">
      <t>ユル</t>
    </rPh>
    <rPh sb="58" eb="60">
      <t>カカク</t>
    </rPh>
    <rPh sb="62" eb="64">
      <t>コスウ</t>
    </rPh>
    <rPh sb="67" eb="69">
      <t>シヨウ</t>
    </rPh>
    <rPh sb="71" eb="73">
      <t>ジッソウ</t>
    </rPh>
    <rPh sb="75" eb="76">
      <t>ナオ</t>
    </rPh>
    <rPh sb="79" eb="81">
      <t>カカク</t>
    </rPh>
    <rPh sb="89" eb="91">
      <t>カカク</t>
    </rPh>
    <rPh sb="107" eb="109">
      <t>カカク</t>
    </rPh>
    <rPh sb="118" eb="120">
      <t>コスウ</t>
    </rPh>
    <rPh sb="127" eb="129">
      <t>ジッコウ</t>
    </rPh>
    <rPh sb="131" eb="132">
      <t>ツギ</t>
    </rPh>
    <rPh sb="140" eb="142">
      <t>カカク</t>
    </rPh>
    <rPh sb="151" eb="153">
      <t>コスウ</t>
    </rPh>
    <rPh sb="160" eb="162">
      <t>ジッコウ</t>
    </rPh>
    <rPh sb="170" eb="172">
      <t>ソウニュウ</t>
    </rPh>
    <rPh sb="179" eb="181">
      <t>モハン</t>
    </rPh>
    <rPh sb="181" eb="183">
      <t>カイトウ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</si>
  <si>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
●累積和の配列は和をとる基の配列のサイズ＋１で定義する
累積和配列に "AC" の出現個数を保有し、Q個の質問に対して、計算で算出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</si>
  <si>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t>自解答
・実際に人を移動するロジック（ABC123_C_FiveTransportations_TLE.cpp）では移動時間に比例する計算時間がかかり、TLE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1">
      <t>ジ</t>
    </rPh>
    <rPh sb="1" eb="3">
      <t>カイトウ</t>
    </rPh>
    <rPh sb="5" eb="7">
      <t>ジッサイ</t>
    </rPh>
    <rPh sb="8" eb="9">
      <t>ヒト</t>
    </rPh>
    <rPh sb="10" eb="12">
      <t>イドウ</t>
    </rPh>
    <rPh sb="58" eb="60">
      <t>イドウ</t>
    </rPh>
    <rPh sb="60" eb="62">
      <t>ジカン</t>
    </rPh>
    <rPh sb="63" eb="65">
      <t>ヒレイ</t>
    </rPh>
    <rPh sb="67" eb="69">
      <t>ケイサン</t>
    </rPh>
    <rPh sb="69" eb="71">
      <t>ジカン</t>
    </rPh>
    <rPh sb="127" eb="129">
      <t>イドウ</t>
    </rPh>
    <phoneticPr fontId="2"/>
  </si>
  <si>
    <t>自解答
２数のGCDを求めるロジック部分は忠実にユークリッドの互除法を実装した</t>
    <rPh sb="0" eb="1">
      <t>ジ</t>
    </rPh>
    <rPh sb="1" eb="3">
      <t>カイトウ</t>
    </rPh>
    <rPh sb="5" eb="6">
      <t>スウ</t>
    </rPh>
    <rPh sb="18" eb="20">
      <t>ブブン</t>
    </rPh>
    <phoneticPr fontId="2"/>
  </si>
  <si>
    <t>自解答
先頭からのcolor文字列が0,1,･･･と1,0,･･･の他に末尾からのcolor文字列が0,1,･･･と1,0,･･･と4種類のパターンを考えていた</t>
    <rPh sb="0" eb="1">
      <t>ジ</t>
    </rPh>
    <rPh sb="1" eb="3">
      <t>カイトウ</t>
    </rPh>
    <rPh sb="4" eb="6">
      <t>セントウ</t>
    </rPh>
    <rPh sb="14" eb="17">
      <t>モジレツ</t>
    </rPh>
    <rPh sb="34" eb="35">
      <t>ホカ</t>
    </rPh>
    <rPh sb="36" eb="38">
      <t>マツビ</t>
    </rPh>
    <rPh sb="67" eb="69">
      <t>シュルイ</t>
    </rPh>
    <rPh sb="75" eb="76">
      <t>カンガ</t>
    </rPh>
    <phoneticPr fontId="2"/>
  </si>
  <si>
    <t>自解答
先頭からの "AC" の文字をカウントして配列に持たせ、Q個の質問に対しては、計算で算出</t>
    <rPh sb="0" eb="1">
      <t>ジ</t>
    </rPh>
    <rPh sb="1" eb="3">
      <t>カイトウ</t>
    </rPh>
    <rPh sb="4" eb="6">
      <t>セントウ</t>
    </rPh>
    <rPh sb="16" eb="18">
      <t>モジ</t>
    </rPh>
    <rPh sb="25" eb="27">
      <t>ハイレツ</t>
    </rPh>
    <rPh sb="28" eb="29">
      <t>モ</t>
    </rPh>
    <rPh sb="33" eb="34">
      <t>コ</t>
    </rPh>
    <rPh sb="35" eb="37">
      <t>シツモン</t>
    </rPh>
    <rPh sb="38" eb="39">
      <t>タイ</t>
    </rPh>
    <rPh sb="43" eb="45">
      <t>ケイサン</t>
    </rPh>
    <rPh sb="46" eb="48">
      <t>サンシュツ</t>
    </rPh>
    <phoneticPr fontId="2"/>
  </si>
  <si>
    <t>自解答
・N を10進法→26進法に変換するとき、26で割った余りが 0 のとき、商をデクリメントして、商から 26 を借りてきて、1～26 を "a"～"z" に変換した</t>
    <rPh sb="0" eb="3">
      <t>ジカイトウ</t>
    </rPh>
    <rPh sb="10" eb="12">
      <t>シンホウ</t>
    </rPh>
    <rPh sb="15" eb="17">
      <t>シンホウ</t>
    </rPh>
    <rPh sb="18" eb="20">
      <t>ヘンカン</t>
    </rPh>
    <rPh sb="28" eb="29">
      <t>ワ</t>
    </rPh>
    <rPh sb="31" eb="32">
      <t>アマ</t>
    </rPh>
    <rPh sb="41" eb="42">
      <t>ショウ</t>
    </rPh>
    <rPh sb="52" eb="53">
      <t>ショウ</t>
    </rPh>
    <rPh sb="60" eb="61">
      <t>カ</t>
    </rPh>
    <rPh sb="82" eb="84">
      <t>ヘンカン</t>
    </rPh>
    <phoneticPr fontId="2"/>
  </si>
  <si>
    <t>・行と列は最初から分離させて全探索する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</si>
  <si>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 xml:space="preserve">・文字の変換表がどのように作成されれば、変換可能であるのか解からなかったため、回答できなかった
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phoneticPr fontId="2"/>
  </si>
  <si>
    <t>・double型の精度は10進数で15桁となる
int型×double型で計算すると、精度が16桁となり、精度が足りない
・そこで double型(少数点以下2桁)を100倍して int型に変換する
このときも誤差が生じるため、0.5 を加算する
(∵) double型のような浮動小数点数型は、値を2進数で格納しているが、ほとんどの10進数の小数は2進数で、そのためこのような値は float型や double型では近似値でしか表現することができず、その誤差が上記のような非常識的な計算結果として現れる</t>
    <rPh sb="7" eb="8">
      <t>ガタ</t>
    </rPh>
    <rPh sb="9" eb="11">
      <t>セイド</t>
    </rPh>
    <rPh sb="14" eb="16">
      <t>シンスウ</t>
    </rPh>
    <rPh sb="19" eb="20">
      <t>ケタ</t>
    </rPh>
    <rPh sb="27" eb="28">
      <t>ガタ</t>
    </rPh>
    <rPh sb="35" eb="36">
      <t>ガタ</t>
    </rPh>
    <rPh sb="37" eb="39">
      <t>ケイサン</t>
    </rPh>
    <rPh sb="43" eb="45">
      <t>セイド</t>
    </rPh>
    <rPh sb="48" eb="49">
      <t>ケタ</t>
    </rPh>
    <rPh sb="53" eb="55">
      <t>セイド</t>
    </rPh>
    <rPh sb="56" eb="57">
      <t>タ</t>
    </rPh>
    <rPh sb="72" eb="73">
      <t>ガタ</t>
    </rPh>
    <rPh sb="74" eb="76">
      <t>ショウスウ</t>
    </rPh>
    <rPh sb="76" eb="77">
      <t>テン</t>
    </rPh>
    <rPh sb="77" eb="79">
      <t>イカ</t>
    </rPh>
    <rPh sb="80" eb="81">
      <t>ケタ</t>
    </rPh>
    <rPh sb="86" eb="87">
      <t>バイ</t>
    </rPh>
    <rPh sb="93" eb="94">
      <t>ガタ</t>
    </rPh>
    <rPh sb="95" eb="97">
      <t>ヘンカン</t>
    </rPh>
    <rPh sb="105" eb="107">
      <t>ゴサ</t>
    </rPh>
    <rPh sb="108" eb="109">
      <t>ショウ</t>
    </rPh>
    <rPh sb="119" eb="121">
      <t>カサン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</si>
  <si>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</si>
  <si>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</si>
  <si>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</si>
  <si>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 xml:space="preserve">・包除原理により、以下を利用する
</t>
    <rPh sb="1" eb="2">
      <t>ホウ</t>
    </rPh>
    <rPh sb="2" eb="3">
      <t>ジ</t>
    </rPh>
    <rPh sb="3" eb="5">
      <t>ゲンリ</t>
    </rPh>
    <rPh sb="9" eb="11">
      <t>イカ</t>
    </rPh>
    <rPh sb="12" eb="14">
      <t>リヨウ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</si>
  <si>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上記を改善するため、以下②で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29" eb="231">
      <t>イカ</t>
    </rPh>
    <rPh sb="256" eb="257">
      <t>ガタ</t>
    </rPh>
    <rPh sb="271" eb="272">
      <t>ガタ</t>
    </rPh>
    <rPh sb="272" eb="274">
      <t>エンザン</t>
    </rPh>
    <rPh sb="305" eb="307">
      <t>セイカイ</t>
    </rPh>
    <rPh sb="557" eb="559">
      <t>ジョウザン</t>
    </rPh>
    <rPh sb="559" eb="561">
      <t>ヨウソ</t>
    </rPh>
    <rPh sb="579" eb="580">
      <t>ノチ</t>
    </rPh>
    <rPh sb="581" eb="583">
      <t>エンザン</t>
    </rPh>
    <rPh sb="585" eb="587">
      <t>セイカイ</t>
    </rPh>
    <rPh sb="608" eb="609">
      <t>ガタ</t>
    </rPh>
    <rPh sb="613" eb="615">
      <t>アンモク</t>
    </rPh>
    <rPh sb="616" eb="617">
      <t>カタ</t>
    </rPh>
    <rPh sb="617" eb="619">
      <t>ヘンカン</t>
    </rPh>
    <rPh sb="621" eb="623">
      <t>ケイサン</t>
    </rPh>
    <rPh sb="634" eb="635">
      <t>ガタ</t>
    </rPh>
    <rPh sb="635" eb="637">
      <t>エンザン</t>
    </rPh>
    <rPh sb="638" eb="639">
      <t>オコナ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</si>
</sst>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0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2"/>
      <color theme="1"/>
      <name val="Yu Gothic UI"/>
      <family val="3"/>
      <charset val="128"/>
    </font>
    <font>
      <sz val="12"/>
      <color theme="1"/>
      <name val="ＭＳ 明朝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12" fillId="0" borderId="0" xfId="1">
      <alignment vertical="center"/>
    </xf>
    <xf numFmtId="49" fontId="12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9" fillId="2" borderId="5" xfId="0" applyFont="1" applyFill="1" applyBorder="1" applyAlignment="1">
      <alignment horizontal="center" vertical="top"/>
    </xf>
    <xf numFmtId="176" fontId="9" fillId="2" borderId="5" xfId="0" applyNumberFormat="1" applyFont="1" applyFill="1" applyBorder="1" applyAlignment="1">
      <alignment vertical="top"/>
    </xf>
    <xf numFmtId="0" fontId="9" fillId="2" borderId="5" xfId="0" applyFont="1" applyFill="1" applyBorder="1" applyAlignment="1">
      <alignment vertical="top"/>
    </xf>
    <xf numFmtId="49" fontId="9" fillId="2" borderId="5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5" xfId="0" applyFont="1" applyFill="1" applyBorder="1" applyAlignment="1">
      <alignment horizontal="center" vertical="top"/>
    </xf>
    <xf numFmtId="176" fontId="9" fillId="0" borderId="5" xfId="0" applyNumberFormat="1" applyFont="1" applyFill="1" applyBorder="1" applyAlignment="1">
      <alignment vertical="top"/>
    </xf>
    <xf numFmtId="0" fontId="9" fillId="0" borderId="5" xfId="0" applyFont="1" applyFill="1" applyBorder="1" applyAlignment="1">
      <alignment vertical="top"/>
    </xf>
    <xf numFmtId="0" fontId="9" fillId="0" borderId="5" xfId="0" applyFont="1" applyFill="1" applyBorder="1" applyAlignment="1">
      <alignment vertical="top" wrapText="1"/>
    </xf>
    <xf numFmtId="9" fontId="9" fillId="0" borderId="5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0" fillId="0" borderId="5" xfId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2" fillId="0" borderId="5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5" xfId="0" applyNumberFormat="1" applyFont="1" applyFill="1" applyBorder="1" applyAlignment="1">
      <alignment vertical="top" wrapText="1"/>
    </xf>
    <xf numFmtId="49" fontId="9" fillId="0" borderId="5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top"/>
    </xf>
    <xf numFmtId="49" fontId="10" fillId="0" borderId="5" xfId="1" applyNumberFormat="1" applyFont="1" applyFill="1" applyBorder="1" applyAlignment="1">
      <alignment vertical="top" wrapText="1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6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2" fillId="0" borderId="5" xfId="1" applyFill="1" applyBorder="1" applyAlignment="1">
      <alignment vertical="top" wrapText="1"/>
    </xf>
    <xf numFmtId="9" fontId="16" fillId="0" borderId="5" xfId="0" applyNumberFormat="1" applyFont="1" applyFill="1" applyBorder="1" applyAlignment="1">
      <alignment horizontal="center" vertical="top"/>
    </xf>
    <xf numFmtId="0" fontId="9" fillId="9" borderId="5" xfId="0" applyFont="1" applyFill="1" applyBorder="1" applyAlignment="1">
      <alignment vertical="top" wrapText="1"/>
    </xf>
    <xf numFmtId="49" fontId="9" fillId="9" borderId="5" xfId="0" applyNumberFormat="1" applyFont="1" applyFill="1" applyBorder="1" applyAlignment="1">
      <alignment vertical="top" wrapText="1"/>
    </xf>
    <xf numFmtId="0" fontId="28" fillId="0" borderId="5" xfId="0" applyFont="1" applyBorder="1" applyAlignment="1">
      <alignment vertical="center"/>
    </xf>
    <xf numFmtId="49" fontId="28" fillId="0" borderId="0" xfId="0" applyNumberFormat="1" applyFont="1" applyBorder="1" applyAlignment="1">
      <alignment vertical="top"/>
    </xf>
    <xf numFmtId="0" fontId="12" fillId="0" borderId="0" xfId="1" quotePrefix="1">
      <alignment vertical="center"/>
    </xf>
    <xf numFmtId="49" fontId="28" fillId="0" borderId="4" xfId="0" applyNumberFormat="1" applyFont="1" applyFill="1" applyBorder="1" applyAlignment="1">
      <alignment vertical="center"/>
    </xf>
    <xf numFmtId="0" fontId="28" fillId="0" borderId="5" xfId="0" applyFont="1" applyBorder="1" applyAlignment="1">
      <alignment vertical="center"/>
    </xf>
    <xf numFmtId="0" fontId="28" fillId="0" borderId="5" xfId="0" applyFont="1" applyFill="1" applyBorder="1" applyAlignment="1">
      <alignment vertical="center"/>
    </xf>
    <xf numFmtId="49" fontId="28" fillId="0" borderId="1" xfId="0" applyNumberFormat="1" applyFont="1" applyFill="1" applyBorder="1" applyAlignment="1">
      <alignment vertical="center"/>
    </xf>
    <xf numFmtId="0" fontId="28" fillId="0" borderId="2" xfId="0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176" fontId="28" fillId="0" borderId="4" xfId="0" applyNumberFormat="1" applyFont="1" applyFill="1" applyBorder="1" applyAlignment="1">
      <alignment vertical="center"/>
    </xf>
    <xf numFmtId="176" fontId="28" fillId="0" borderId="5" xfId="0" applyNumberFormat="1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 wrapText="1"/>
    </xf>
    <xf numFmtId="49" fontId="28" fillId="0" borderId="4" xfId="0" applyNumberFormat="1" applyFont="1" applyFill="1" applyBorder="1" applyAlignment="1">
      <alignment vertical="center" wrapText="1"/>
    </xf>
    <xf numFmtId="49" fontId="28" fillId="0" borderId="4" xfId="0" applyNumberFormat="1" applyFont="1" applyBorder="1" applyAlignment="1">
      <alignment horizontal="center" vertical="center" wrapText="1"/>
    </xf>
    <xf numFmtId="0" fontId="29" fillId="0" borderId="7" xfId="0" applyFont="1" applyBorder="1" applyAlignment="1">
      <alignment vertical="center"/>
    </xf>
    <xf numFmtId="49" fontId="12" fillId="0" borderId="5" xfId="1" applyNumberFormat="1" applyFill="1" applyBorder="1" applyAlignment="1">
      <alignment vertical="top" wrapText="1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98</xdr:row>
      <xdr:rowOff>228600</xdr:rowOff>
    </xdr:from>
    <xdr:to>
      <xdr:col>9</xdr:col>
      <xdr:colOff>1416844</xdr:colOff>
      <xdr:row>98</xdr:row>
      <xdr:rowOff>338138</xdr:rowOff>
    </xdr:to>
    <xdr:pic>
      <xdr:nvPicPr>
        <xdr:cNvPr id="3" name="図 2" descr="[res=400]{&#10;\[&#10;&#10;&#10;A\cap B=A+B-A\cup B&#10;&#10;&#10;&#10;\]&#10;&#10;}&#10;">
          <a:extLst>
            <a:ext uri="{FF2B5EF4-FFF2-40B4-BE49-F238E27FC236}">
              <a16:creationId xmlns:a16="http://schemas.microsoft.com/office/drawing/2014/main" id="{6AAD8ADD-34AE-4949-B8CE-1557C44C7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46005750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409575</xdr:colOff>
      <xdr:row>98</xdr:row>
      <xdr:rowOff>400050</xdr:rowOff>
    </xdr:from>
    <xdr:to>
      <xdr:col>9</xdr:col>
      <xdr:colOff>2512219</xdr:colOff>
      <xdr:row>98</xdr:row>
      <xdr:rowOff>545306</xdr:rowOff>
    </xdr:to>
    <xdr:pic>
      <xdr:nvPicPr>
        <xdr:cNvPr id="5" name="図 4" descr="[res=400]{&#10;\[&#10;&#10;&#10;=(U-\overline{A})+(U-\overline{B})-(U-\overline{A\cup B})&#10;&#10;&#10;&#10;\]&#10;&#10;}&#10;">
          <a:extLst>
            <a:ext uri="{FF2B5EF4-FFF2-40B4-BE49-F238E27FC236}">
              <a16:creationId xmlns:a16="http://schemas.microsoft.com/office/drawing/2014/main" id="{2B42BD38-2792-439D-99B2-D8A55428D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4275" y="46177200"/>
          <a:ext cx="2102644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409575</xdr:colOff>
      <xdr:row>98</xdr:row>
      <xdr:rowOff>581026</xdr:rowOff>
    </xdr:from>
    <xdr:to>
      <xdr:col>9</xdr:col>
      <xdr:colOff>1688306</xdr:colOff>
      <xdr:row>98</xdr:row>
      <xdr:rowOff>704851</xdr:rowOff>
    </xdr:to>
    <xdr:pic>
      <xdr:nvPicPr>
        <xdr:cNvPr id="6" name="図 5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46E38EFF-354C-4C08-9591-1F1C4F145C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4275" y="46358176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satanic0258.hatenablog.com/entry/2016/04/10/104524" TargetMode="Externa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K131"/>
  <sheetViews>
    <sheetView tabSelected="1" zoomScaleNormal="100" workbookViewId="0">
      <pane ySplit="4" topLeftCell="A98" activePane="bottomLeft" state="frozen"/>
      <selection pane="bottomLeft" activeCell="A98" sqref="A98"/>
    </sheetView>
  </sheetViews>
  <sheetFormatPr defaultColWidth="2.625" defaultRowHeight="14.25" outlineLevelCol="1" x14ac:dyDescent="0.15"/>
  <cols>
    <col min="1" max="1" width="0.5" style="44" customWidth="1"/>
    <col min="2" max="2" width="3.25" style="65" bestFit="1" customWidth="1"/>
    <col min="3" max="4" width="3.25" style="65" customWidth="1"/>
    <col min="5" max="5" width="16.125" style="50" customWidth="1" outlineLevel="1"/>
    <col min="6" max="6" width="7.5" style="50" customWidth="1" outlineLevel="1"/>
    <col min="7" max="7" width="40.375" style="50" bestFit="1" customWidth="1"/>
    <col min="8" max="8" width="12.625" style="66" bestFit="1" customWidth="1"/>
    <col min="9" max="9" width="5.625" style="65" bestFit="1" customWidth="1"/>
    <col min="10" max="11" width="60.625" style="50" customWidth="1"/>
    <col min="12" max="12" width="50.625" style="50" customWidth="1"/>
    <col min="13" max="13" width="5.5" style="50" customWidth="1"/>
    <col min="14" max="18" width="2.625" style="50"/>
    <col min="19" max="16384" width="2.625" style="44"/>
  </cols>
  <sheetData>
    <row r="1" spans="1:63" s="39" customFormat="1" ht="3" customHeight="1" x14ac:dyDescent="0.15">
      <c r="A1" s="36"/>
      <c r="B1" s="37"/>
      <c r="C1" s="37"/>
      <c r="D1" s="37"/>
      <c r="E1" s="36"/>
      <c r="F1" s="36"/>
      <c r="G1" s="36"/>
      <c r="H1" s="38"/>
      <c r="I1" s="37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</row>
    <row r="2" spans="1:63" s="39" customFormat="1" ht="17.25" x14ac:dyDescent="0.15">
      <c r="A2" s="72"/>
      <c r="B2" s="79" t="s">
        <v>8</v>
      </c>
      <c r="C2" s="85" t="s">
        <v>262</v>
      </c>
      <c r="D2" s="85" t="s">
        <v>263</v>
      </c>
      <c r="E2" s="77" t="s">
        <v>142</v>
      </c>
      <c r="F2" s="78"/>
      <c r="G2" s="78"/>
      <c r="H2" s="81" t="s">
        <v>10</v>
      </c>
      <c r="I2" s="83" t="s">
        <v>11</v>
      </c>
      <c r="J2" s="74" t="s">
        <v>264</v>
      </c>
      <c r="K2" s="84" t="s">
        <v>12</v>
      </c>
      <c r="L2" s="77" t="s">
        <v>265</v>
      </c>
      <c r="M2" s="74" t="s">
        <v>13</v>
      </c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</row>
    <row r="3" spans="1:63" s="39" customFormat="1" ht="17.25" x14ac:dyDescent="0.15">
      <c r="A3" s="72"/>
      <c r="B3" s="80"/>
      <c r="C3" s="80"/>
      <c r="D3" s="80"/>
      <c r="E3" s="71" t="s">
        <v>138</v>
      </c>
      <c r="F3" s="71" t="s">
        <v>139</v>
      </c>
      <c r="G3" s="71" t="s">
        <v>9</v>
      </c>
      <c r="H3" s="82"/>
      <c r="I3" s="80"/>
      <c r="J3" s="76"/>
      <c r="K3" s="75"/>
      <c r="L3" s="86"/>
      <c r="M3" s="7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</row>
    <row r="4" spans="1:63" s="39" customFormat="1" ht="6" customHeight="1" x14ac:dyDescent="0.15">
      <c r="B4" s="40"/>
      <c r="C4" s="40"/>
      <c r="D4" s="40"/>
      <c r="E4" s="42"/>
      <c r="F4" s="42"/>
      <c r="G4" s="42"/>
      <c r="H4" s="41"/>
      <c r="I4" s="40"/>
      <c r="J4" s="42"/>
      <c r="K4" s="42"/>
      <c r="L4" s="43"/>
      <c r="M4" s="42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</row>
    <row r="5" spans="1:63" x14ac:dyDescent="0.15">
      <c r="B5" s="45">
        <f>IF(G5&lt;&gt;"",SUBTOTAL(3,$G$5:G5),"")</f>
        <v>1</v>
      </c>
      <c r="C5" s="45"/>
      <c r="D5" s="45"/>
      <c r="E5" s="47" t="s">
        <v>141</v>
      </c>
      <c r="F5" s="47" t="s">
        <v>136</v>
      </c>
      <c r="G5" s="48" t="s">
        <v>145</v>
      </c>
      <c r="H5" s="46">
        <v>43960</v>
      </c>
      <c r="I5" s="49"/>
      <c r="J5" s="48"/>
      <c r="K5" s="48"/>
      <c r="L5" s="48"/>
      <c r="M5" s="48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</row>
    <row r="6" spans="1:63" x14ac:dyDescent="0.15">
      <c r="B6" s="45">
        <f>IF(G6&lt;&gt;"",SUBTOTAL(3,$G$5:G6),"")</f>
        <v>2</v>
      </c>
      <c r="C6" s="45"/>
      <c r="D6" s="45"/>
      <c r="E6" s="47" t="s">
        <v>140</v>
      </c>
      <c r="F6" s="47" t="s">
        <v>136</v>
      </c>
      <c r="G6" s="48" t="s">
        <v>146</v>
      </c>
      <c r="H6" s="46">
        <v>43871</v>
      </c>
      <c r="I6" s="49"/>
      <c r="J6" s="48"/>
      <c r="K6" s="48"/>
      <c r="L6" s="48"/>
      <c r="M6" s="48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</row>
    <row r="7" spans="1:63" ht="71.25" x14ac:dyDescent="0.15">
      <c r="B7" s="45">
        <f>IF(G7&lt;&gt;"",SUBTOTAL(3,$G$5:G7),"")</f>
        <v>3</v>
      </c>
      <c r="C7" s="45"/>
      <c r="D7" s="45"/>
      <c r="E7" s="47" t="s">
        <v>140</v>
      </c>
      <c r="F7" s="47" t="s">
        <v>136</v>
      </c>
      <c r="G7" s="48" t="s">
        <v>147</v>
      </c>
      <c r="H7" s="46">
        <v>43995</v>
      </c>
      <c r="I7" s="49">
        <v>0.5</v>
      </c>
      <c r="J7" s="48" t="s">
        <v>267</v>
      </c>
      <c r="K7" s="48" t="s">
        <v>268</v>
      </c>
      <c r="L7" s="48"/>
      <c r="M7" s="52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</row>
    <row r="8" spans="1:63" x14ac:dyDescent="0.15">
      <c r="B8" s="45">
        <f>IF(G8&lt;&gt;"",SUBTOTAL(3,$G$5:G8),"")</f>
        <v>4</v>
      </c>
      <c r="C8" s="45"/>
      <c r="D8" s="45"/>
      <c r="E8" s="47" t="s">
        <v>140</v>
      </c>
      <c r="F8" s="47" t="s">
        <v>136</v>
      </c>
      <c r="G8" s="48" t="s">
        <v>148</v>
      </c>
      <c r="H8" s="46">
        <v>43995</v>
      </c>
      <c r="I8" s="49"/>
      <c r="J8" s="48"/>
      <c r="K8" s="48"/>
      <c r="L8" s="48"/>
      <c r="M8" s="48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</row>
    <row r="9" spans="1:63" x14ac:dyDescent="0.15">
      <c r="B9" s="45">
        <f>IF(G9&lt;&gt;"",SUBTOTAL(3,$G$5:G9),"")</f>
        <v>5</v>
      </c>
      <c r="C9" s="45"/>
      <c r="D9" s="45"/>
      <c r="E9" s="47" t="s">
        <v>140</v>
      </c>
      <c r="F9" s="47" t="s">
        <v>136</v>
      </c>
      <c r="G9" s="48" t="s">
        <v>149</v>
      </c>
      <c r="H9" s="46">
        <v>43869</v>
      </c>
      <c r="I9" s="49"/>
      <c r="J9" s="48"/>
      <c r="K9" s="48"/>
      <c r="L9" s="48"/>
      <c r="M9" s="48"/>
      <c r="S9" s="51"/>
      <c r="T9" s="51"/>
      <c r="U9" s="53"/>
      <c r="V9" s="53"/>
      <c r="W9" s="53"/>
      <c r="X9" s="53"/>
      <c r="Y9" s="53"/>
      <c r="Z9" s="53"/>
      <c r="AA9" s="53"/>
      <c r="AB9" s="53"/>
      <c r="AC9" s="53"/>
      <c r="AD9" s="53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1"/>
      <c r="BC9" s="51"/>
      <c r="BD9" s="51"/>
      <c r="BE9" s="51"/>
      <c r="BF9" s="51"/>
      <c r="BG9" s="51"/>
      <c r="BH9" s="51"/>
      <c r="BI9" s="51"/>
      <c r="BJ9" s="51"/>
      <c r="BK9" s="51"/>
    </row>
    <row r="10" spans="1:63" x14ac:dyDescent="0.15">
      <c r="B10" s="45">
        <f>IF(G10&lt;&gt;"",SUBTOTAL(3,$G$5:G10),"")</f>
        <v>6</v>
      </c>
      <c r="C10" s="45"/>
      <c r="D10" s="45"/>
      <c r="E10" s="47" t="s">
        <v>140</v>
      </c>
      <c r="F10" s="47" t="s">
        <v>136</v>
      </c>
      <c r="G10" s="48" t="s">
        <v>150</v>
      </c>
      <c r="H10" s="46">
        <v>43871</v>
      </c>
      <c r="I10" s="49"/>
      <c r="J10" s="48"/>
      <c r="K10" s="48"/>
      <c r="L10" s="48"/>
      <c r="M10" s="48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</row>
    <row r="11" spans="1:63" x14ac:dyDescent="0.15">
      <c r="B11" s="45">
        <f>IF(G11&lt;&gt;"",SUBTOTAL(3,$G$5:G11),"")</f>
        <v>7</v>
      </c>
      <c r="C11" s="45"/>
      <c r="D11" s="45"/>
      <c r="E11" s="47" t="s">
        <v>140</v>
      </c>
      <c r="F11" s="47" t="s">
        <v>136</v>
      </c>
      <c r="G11" s="48" t="s">
        <v>151</v>
      </c>
      <c r="H11" s="46">
        <v>44006</v>
      </c>
      <c r="I11" s="49"/>
      <c r="J11" s="48"/>
      <c r="K11" s="48"/>
      <c r="L11" s="48"/>
      <c r="M11" s="48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</row>
    <row r="12" spans="1:63" ht="42.75" x14ac:dyDescent="0.15">
      <c r="B12" s="45">
        <f>IF(G12&lt;&gt;"",SUBTOTAL(3,$G$5:G12),"")</f>
        <v>8</v>
      </c>
      <c r="C12" s="45"/>
      <c r="D12" s="45"/>
      <c r="E12" s="47" t="s">
        <v>140</v>
      </c>
      <c r="F12" s="47" t="s">
        <v>136</v>
      </c>
      <c r="G12" s="48" t="s">
        <v>152</v>
      </c>
      <c r="H12" s="46">
        <v>43869</v>
      </c>
      <c r="I12" s="49">
        <v>1</v>
      </c>
      <c r="J12" s="48" t="s">
        <v>266</v>
      </c>
      <c r="K12" s="48" t="s">
        <v>211</v>
      </c>
      <c r="L12" s="48"/>
      <c r="M12" s="48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</row>
    <row r="13" spans="1:63" x14ac:dyDescent="0.15">
      <c r="B13" s="45">
        <f>IF(G13&lt;&gt;"",SUBTOTAL(3,$G$5:G13),"")</f>
        <v>9</v>
      </c>
      <c r="C13" s="45"/>
      <c r="D13" s="45"/>
      <c r="E13" s="47" t="s">
        <v>140</v>
      </c>
      <c r="F13" s="47" t="s">
        <v>136</v>
      </c>
      <c r="G13" s="48" t="s">
        <v>153</v>
      </c>
      <c r="H13" s="46">
        <v>43869</v>
      </c>
      <c r="I13" s="49"/>
      <c r="J13" s="48"/>
      <c r="K13" s="48"/>
      <c r="L13" s="48"/>
      <c r="M13" s="48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</row>
    <row r="14" spans="1:63" x14ac:dyDescent="0.15">
      <c r="B14" s="45">
        <f>IF(G14&lt;&gt;"",SUBTOTAL(3,$G$5:G14),"")</f>
        <v>10</v>
      </c>
      <c r="C14" s="45"/>
      <c r="D14" s="45"/>
      <c r="E14" s="47" t="s">
        <v>140</v>
      </c>
      <c r="F14" s="47" t="s">
        <v>136</v>
      </c>
      <c r="G14" s="48" t="s">
        <v>154</v>
      </c>
      <c r="H14" s="46">
        <v>43869</v>
      </c>
      <c r="I14" s="49"/>
      <c r="J14" s="48"/>
      <c r="K14" s="48"/>
      <c r="L14" s="48"/>
      <c r="M14" s="48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</row>
    <row r="15" spans="1:63" x14ac:dyDescent="0.15">
      <c r="B15" s="45">
        <f>IF(G15&lt;&gt;"",SUBTOTAL(3,$G$5:G15),"")</f>
        <v>11</v>
      </c>
      <c r="C15" s="45"/>
      <c r="D15" s="45"/>
      <c r="E15" s="47" t="s">
        <v>140</v>
      </c>
      <c r="F15" s="47" t="s">
        <v>136</v>
      </c>
      <c r="G15" s="48" t="s">
        <v>155</v>
      </c>
      <c r="H15" s="46">
        <v>43869</v>
      </c>
      <c r="I15" s="49"/>
      <c r="J15" s="48"/>
      <c r="K15" s="48"/>
      <c r="L15" s="48"/>
      <c r="M15" s="48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</row>
    <row r="16" spans="1:63" x14ac:dyDescent="0.15">
      <c r="B16" s="45">
        <f>IF(G16&lt;&gt;"",SUBTOTAL(3,$G$5:G16),"")</f>
        <v>12</v>
      </c>
      <c r="C16" s="45"/>
      <c r="D16" s="45"/>
      <c r="E16" s="47" t="s">
        <v>140</v>
      </c>
      <c r="F16" s="47" t="s">
        <v>136</v>
      </c>
      <c r="G16" s="48" t="s">
        <v>156</v>
      </c>
      <c r="H16" s="46">
        <v>43869</v>
      </c>
      <c r="I16" s="49"/>
      <c r="J16" s="48"/>
      <c r="K16" s="48"/>
      <c r="L16" s="48"/>
      <c r="M16" s="48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</row>
    <row r="17" spans="2:63" x14ac:dyDescent="0.15">
      <c r="B17" s="45">
        <f>IF(G17&lt;&gt;"",SUBTOTAL(3,$G$5:G17),"")</f>
        <v>13</v>
      </c>
      <c r="C17" s="45"/>
      <c r="D17" s="45"/>
      <c r="E17" s="47" t="s">
        <v>140</v>
      </c>
      <c r="F17" s="47" t="s">
        <v>136</v>
      </c>
      <c r="G17" s="48" t="s">
        <v>157</v>
      </c>
      <c r="H17" s="46">
        <v>43869</v>
      </c>
      <c r="I17" s="49"/>
      <c r="J17" s="48"/>
      <c r="K17" s="48"/>
      <c r="L17" s="48"/>
      <c r="M17" s="48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</row>
    <row r="18" spans="2:63" x14ac:dyDescent="0.15">
      <c r="B18" s="45">
        <f>IF(G18&lt;&gt;"",SUBTOTAL(3,$G$5:G18),"")</f>
        <v>14</v>
      </c>
      <c r="C18" s="45"/>
      <c r="D18" s="45"/>
      <c r="E18" s="47" t="s">
        <v>140</v>
      </c>
      <c r="F18" s="47" t="s">
        <v>136</v>
      </c>
      <c r="G18" s="48" t="s">
        <v>158</v>
      </c>
      <c r="H18" s="46">
        <v>43871</v>
      </c>
      <c r="I18" s="49"/>
      <c r="J18" s="48"/>
      <c r="K18" s="48"/>
      <c r="L18" s="48"/>
      <c r="M18" s="48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</row>
    <row r="19" spans="2:63" ht="71.25" x14ac:dyDescent="0.15">
      <c r="B19" s="45">
        <f>IF(G19&lt;&gt;"",SUBTOTAL(3,$G$5:G19),"")</f>
        <v>15</v>
      </c>
      <c r="C19" s="45"/>
      <c r="D19" s="45"/>
      <c r="E19" s="47" t="s">
        <v>140</v>
      </c>
      <c r="F19" s="47" t="s">
        <v>144</v>
      </c>
      <c r="G19" s="48" t="s">
        <v>261</v>
      </c>
      <c r="H19" s="46">
        <v>44087</v>
      </c>
      <c r="I19" s="49">
        <v>1</v>
      </c>
      <c r="J19" s="48" t="s">
        <v>269</v>
      </c>
      <c r="K19" s="48" t="s">
        <v>212</v>
      </c>
      <c r="L19" s="48"/>
      <c r="M19" s="48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</row>
    <row r="20" spans="2:63" ht="71.25" x14ac:dyDescent="0.15">
      <c r="B20" s="45">
        <f>IF(G20&lt;&gt;"",SUBTOTAL(3,$G$5:G20),"")</f>
        <v>16</v>
      </c>
      <c r="C20" s="45"/>
      <c r="D20" s="45"/>
      <c r="E20" s="47" t="s">
        <v>140</v>
      </c>
      <c r="F20" s="47" t="s">
        <v>144</v>
      </c>
      <c r="G20" s="48" t="s">
        <v>260</v>
      </c>
      <c r="H20" s="46">
        <v>44076</v>
      </c>
      <c r="I20" s="49">
        <v>1</v>
      </c>
      <c r="J20" s="48" t="s">
        <v>271</v>
      </c>
      <c r="K20" s="48" t="s">
        <v>212</v>
      </c>
      <c r="L20" s="48"/>
      <c r="M20" s="48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</row>
    <row r="21" spans="2:63" ht="28.5" x14ac:dyDescent="0.15">
      <c r="B21" s="45">
        <f>IF(G21&lt;&gt;"",SUBTOTAL(3,$G$5:G21),"")</f>
        <v>17</v>
      </c>
      <c r="C21" s="45"/>
      <c r="D21" s="45"/>
      <c r="E21" s="47" t="s">
        <v>140</v>
      </c>
      <c r="F21" s="47" t="s">
        <v>144</v>
      </c>
      <c r="G21" s="48" t="s">
        <v>258</v>
      </c>
      <c r="H21" s="46">
        <v>44080</v>
      </c>
      <c r="I21" s="49">
        <v>1</v>
      </c>
      <c r="J21" s="48" t="s">
        <v>270</v>
      </c>
      <c r="K21" s="48" t="s">
        <v>212</v>
      </c>
      <c r="L21" s="48"/>
      <c r="M21" s="48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</row>
    <row r="22" spans="2:63" ht="71.25" x14ac:dyDescent="0.15">
      <c r="B22" s="45">
        <f>IF(G22&lt;&gt;"",SUBTOTAL(3,$G$5:G22),"")</f>
        <v>18</v>
      </c>
      <c r="C22" s="45"/>
      <c r="D22" s="45"/>
      <c r="E22" s="47" t="s">
        <v>140</v>
      </c>
      <c r="F22" s="47" t="s">
        <v>144</v>
      </c>
      <c r="G22" s="48" t="s">
        <v>256</v>
      </c>
      <c r="H22" s="46">
        <v>43871</v>
      </c>
      <c r="I22" s="49">
        <v>0.3</v>
      </c>
      <c r="J22" s="48" t="s">
        <v>259</v>
      </c>
      <c r="K22" s="48" t="s">
        <v>283</v>
      </c>
      <c r="L22" s="48"/>
      <c r="M22" s="48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</row>
    <row r="23" spans="2:63" x14ac:dyDescent="0.15">
      <c r="B23" s="45"/>
      <c r="C23" s="45"/>
      <c r="D23" s="45"/>
      <c r="E23" s="47"/>
      <c r="F23" s="47"/>
      <c r="G23" s="48"/>
      <c r="H23" s="46"/>
      <c r="I23" s="68">
        <v>0.3</v>
      </c>
      <c r="J23" s="67" t="s">
        <v>257</v>
      </c>
      <c r="K23" s="48"/>
      <c r="L23" s="48"/>
      <c r="M23" s="48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</row>
    <row r="24" spans="2:63" ht="42.75" x14ac:dyDescent="0.15">
      <c r="B24" s="45">
        <f>IF(G24&lt;&gt;"",SUBTOTAL(3,$G$5:G24),"")</f>
        <v>19</v>
      </c>
      <c r="C24" s="45"/>
      <c r="D24" s="45"/>
      <c r="E24" s="47" t="s">
        <v>140</v>
      </c>
      <c r="F24" s="47" t="s">
        <v>136</v>
      </c>
      <c r="G24" s="48" t="s">
        <v>252</v>
      </c>
      <c r="H24" s="46">
        <v>44072</v>
      </c>
      <c r="I24" s="49">
        <v>0.8</v>
      </c>
      <c r="J24" s="48" t="s">
        <v>254</v>
      </c>
      <c r="K24" s="48" t="s">
        <v>253</v>
      </c>
      <c r="L24" s="48"/>
      <c r="M24" s="48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</row>
    <row r="25" spans="2:63" ht="71.25" x14ac:dyDescent="0.15">
      <c r="B25" s="45">
        <f>IF(G25&lt;&gt;"",SUBTOTAL(3,$G$5:G25),"")</f>
        <v>20</v>
      </c>
      <c r="C25" s="45"/>
      <c r="D25" s="45"/>
      <c r="E25" s="47" t="s">
        <v>140</v>
      </c>
      <c r="F25" s="47" t="s">
        <v>136</v>
      </c>
      <c r="G25" s="48" t="s">
        <v>248</v>
      </c>
      <c r="H25" s="46">
        <v>44070</v>
      </c>
      <c r="I25" s="49">
        <v>0.8</v>
      </c>
      <c r="J25" s="48" t="s">
        <v>251</v>
      </c>
      <c r="K25" s="48" t="s">
        <v>249</v>
      </c>
      <c r="L25" s="48"/>
      <c r="M25" s="48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</row>
    <row r="26" spans="2:63" x14ac:dyDescent="0.15">
      <c r="B26" s="45" t="str">
        <f>IF(G26&lt;&gt;"",SUBTOTAL(3,$G$5:G26),"")</f>
        <v/>
      </c>
      <c r="C26" s="45"/>
      <c r="D26" s="45"/>
      <c r="E26" s="47"/>
      <c r="F26" s="47"/>
      <c r="G26" s="48"/>
      <c r="H26" s="46"/>
      <c r="I26" s="68">
        <v>0.8</v>
      </c>
      <c r="J26" s="67" t="s">
        <v>250</v>
      </c>
      <c r="K26" s="48"/>
      <c r="L26" s="67"/>
      <c r="M26" s="48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</row>
    <row r="27" spans="2:63" ht="42.75" x14ac:dyDescent="0.15">
      <c r="B27" s="45">
        <f>IF(G27&lt;&gt;"",SUBTOTAL(3,$G$5:G27),"")</f>
        <v>21</v>
      </c>
      <c r="C27" s="45"/>
      <c r="D27" s="45"/>
      <c r="E27" s="47" t="s">
        <v>140</v>
      </c>
      <c r="F27" s="47" t="s">
        <v>136</v>
      </c>
      <c r="G27" s="48" t="s">
        <v>244</v>
      </c>
      <c r="H27" s="46">
        <v>44066</v>
      </c>
      <c r="I27" s="49">
        <v>0</v>
      </c>
      <c r="J27" s="48" t="s">
        <v>272</v>
      </c>
      <c r="K27" s="48" t="s">
        <v>245</v>
      </c>
      <c r="L27" s="48"/>
      <c r="M27" s="48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</row>
    <row r="28" spans="2:63" x14ac:dyDescent="0.15">
      <c r="B28" s="45">
        <f>IF(G28&lt;&gt;"",SUBTOTAL(3,$G$5:G28),"")</f>
        <v>22</v>
      </c>
      <c r="C28" s="45"/>
      <c r="D28" s="45"/>
      <c r="E28" s="47" t="s">
        <v>140</v>
      </c>
      <c r="F28" s="47" t="s">
        <v>136</v>
      </c>
      <c r="G28" s="48" t="s">
        <v>117</v>
      </c>
      <c r="H28" s="46">
        <v>43869</v>
      </c>
      <c r="I28" s="49"/>
      <c r="J28" s="48"/>
      <c r="K28" s="48"/>
      <c r="L28" s="48"/>
      <c r="M28" s="48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</row>
    <row r="29" spans="2:63" x14ac:dyDescent="0.15">
      <c r="B29" s="45">
        <f>IF(G29&lt;&gt;"",SUBTOTAL(3,$G$5:G29),"")</f>
        <v>23</v>
      </c>
      <c r="C29" s="45"/>
      <c r="D29" s="45"/>
      <c r="E29" s="47" t="s">
        <v>140</v>
      </c>
      <c r="F29" s="47" t="s">
        <v>136</v>
      </c>
      <c r="G29" s="48" t="s">
        <v>159</v>
      </c>
      <c r="H29" s="46">
        <v>43995</v>
      </c>
      <c r="I29" s="49"/>
      <c r="J29" s="48"/>
      <c r="K29" s="48"/>
      <c r="L29" s="48"/>
      <c r="M29" s="52" t="s">
        <v>14</v>
      </c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</row>
    <row r="30" spans="2:63" x14ac:dyDescent="0.15">
      <c r="B30" s="45">
        <f>IF(G30&lt;&gt;"",SUBTOTAL(3,$G$5:G30),"")</f>
        <v>24</v>
      </c>
      <c r="C30" s="45"/>
      <c r="D30" s="45"/>
      <c r="E30" s="47" t="s">
        <v>140</v>
      </c>
      <c r="F30" s="47" t="s">
        <v>136</v>
      </c>
      <c r="G30" s="48" t="s">
        <v>160</v>
      </c>
      <c r="H30" s="46">
        <v>43961</v>
      </c>
      <c r="I30" s="49"/>
      <c r="J30" s="48"/>
      <c r="K30" s="48"/>
      <c r="L30" s="48"/>
      <c r="M30" s="48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</row>
    <row r="31" spans="2:63" x14ac:dyDescent="0.15">
      <c r="B31" s="45">
        <f>IF(G31&lt;&gt;"",SUBTOTAL(3,$G$5:G31),"")</f>
        <v>25</v>
      </c>
      <c r="C31" s="45"/>
      <c r="D31" s="45"/>
      <c r="E31" s="47" t="s">
        <v>140</v>
      </c>
      <c r="F31" s="47" t="s">
        <v>136</v>
      </c>
      <c r="G31" s="48" t="s">
        <v>161</v>
      </c>
      <c r="H31" s="46">
        <v>43995</v>
      </c>
      <c r="I31" s="49"/>
      <c r="J31" s="48"/>
      <c r="K31" s="48"/>
      <c r="L31" s="48"/>
      <c r="M31" s="48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</row>
    <row r="32" spans="2:63" ht="42.75" x14ac:dyDescent="0.15">
      <c r="B32" s="45">
        <f>IF(G32&lt;&gt;"",SUBTOTAL(3,$G$5:G32),"")</f>
        <v>26</v>
      </c>
      <c r="C32" s="45"/>
      <c r="D32" s="45"/>
      <c r="E32" s="47" t="s">
        <v>140</v>
      </c>
      <c r="F32" s="47" t="s">
        <v>136</v>
      </c>
      <c r="G32" s="48" t="s">
        <v>238</v>
      </c>
      <c r="H32" s="46">
        <v>44058</v>
      </c>
      <c r="I32" s="49">
        <v>1</v>
      </c>
      <c r="J32" s="48" t="s">
        <v>239</v>
      </c>
      <c r="K32" s="48" t="s">
        <v>212</v>
      </c>
      <c r="L32" s="48"/>
      <c r="M32" s="48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</row>
    <row r="33" spans="2:63" ht="199.5" x14ac:dyDescent="0.15">
      <c r="B33" s="45">
        <f>IF(G33&lt;&gt;"",SUBTOTAL(3,$G$5:G33),"")</f>
        <v>27</v>
      </c>
      <c r="C33" s="45"/>
      <c r="D33" s="45"/>
      <c r="E33" s="47" t="s">
        <v>140</v>
      </c>
      <c r="F33" s="47" t="s">
        <v>136</v>
      </c>
      <c r="G33" s="48" t="s">
        <v>237</v>
      </c>
      <c r="H33" s="46">
        <v>44057</v>
      </c>
      <c r="I33" s="49">
        <v>1</v>
      </c>
      <c r="J33" s="48" t="s">
        <v>241</v>
      </c>
      <c r="K33" s="48" t="s">
        <v>212</v>
      </c>
      <c r="L33" s="48"/>
      <c r="M33" s="48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</row>
    <row r="34" spans="2:63" ht="71.25" x14ac:dyDescent="0.15">
      <c r="B34" s="45">
        <f>IF(G34&lt;&gt;"",SUBTOTAL(3,$G$5:G34),"")</f>
        <v>28</v>
      </c>
      <c r="C34" s="45"/>
      <c r="D34" s="45"/>
      <c r="E34" s="47" t="s">
        <v>140</v>
      </c>
      <c r="F34" s="47" t="s">
        <v>136</v>
      </c>
      <c r="G34" s="48" t="s">
        <v>226</v>
      </c>
      <c r="H34" s="46">
        <v>44053</v>
      </c>
      <c r="I34" s="49">
        <v>0.3</v>
      </c>
      <c r="J34" s="48" t="s">
        <v>229</v>
      </c>
      <c r="K34" s="48" t="s">
        <v>228</v>
      </c>
      <c r="L34" s="48"/>
      <c r="M34" s="48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</row>
    <row r="35" spans="2:63" ht="99.75" x14ac:dyDescent="0.15">
      <c r="B35" s="45">
        <f>IF(G35&lt;&gt;"",SUBTOTAL(3,$G$5:G35),"")</f>
        <v>29</v>
      </c>
      <c r="C35" s="45"/>
      <c r="D35" s="45"/>
      <c r="E35" s="47" t="s">
        <v>140</v>
      </c>
      <c r="F35" s="47" t="s">
        <v>136</v>
      </c>
      <c r="G35" s="48" t="s">
        <v>225</v>
      </c>
      <c r="H35" s="46">
        <v>44045</v>
      </c>
      <c r="I35" s="49">
        <v>1</v>
      </c>
      <c r="J35" s="48" t="s">
        <v>273</v>
      </c>
      <c r="K35" s="48"/>
      <c r="L35" s="48" t="s">
        <v>274</v>
      </c>
      <c r="M35" s="48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</row>
    <row r="36" spans="2:63" ht="99.75" x14ac:dyDescent="0.15">
      <c r="B36" s="45">
        <f>IF(G36&lt;&gt;"",SUBTOTAL(3,$G$5:G36),"")</f>
        <v>30</v>
      </c>
      <c r="C36" s="45"/>
      <c r="D36" s="45"/>
      <c r="E36" s="47" t="s">
        <v>140</v>
      </c>
      <c r="F36" s="47" t="s">
        <v>136</v>
      </c>
      <c r="G36" s="48" t="s">
        <v>221</v>
      </c>
      <c r="H36" s="46">
        <v>44045</v>
      </c>
      <c r="I36" s="49">
        <v>0.8</v>
      </c>
      <c r="J36" s="48" t="s">
        <v>222</v>
      </c>
      <c r="K36" s="48"/>
      <c r="L36" s="48" t="s">
        <v>227</v>
      </c>
      <c r="M36" s="48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</row>
    <row r="37" spans="2:63" x14ac:dyDescent="0.15">
      <c r="B37" s="45"/>
      <c r="C37" s="45"/>
      <c r="D37" s="45"/>
      <c r="E37" s="47"/>
      <c r="F37" s="47"/>
      <c r="G37" s="48"/>
      <c r="H37" s="46"/>
      <c r="I37" s="68">
        <v>0.8</v>
      </c>
      <c r="J37" s="54" t="s">
        <v>223</v>
      </c>
      <c r="K37" s="48"/>
      <c r="L37" s="54"/>
      <c r="M37" s="48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</row>
    <row r="38" spans="2:63" ht="142.5" x14ac:dyDescent="0.15">
      <c r="B38" s="45">
        <f>IF(G38&lt;&gt;"",SUBTOTAL(3,$G$5:G38),"")</f>
        <v>31</v>
      </c>
      <c r="C38" s="45"/>
      <c r="D38" s="45"/>
      <c r="E38" s="47" t="s">
        <v>140</v>
      </c>
      <c r="F38" s="47" t="s">
        <v>136</v>
      </c>
      <c r="G38" s="48" t="s">
        <v>218</v>
      </c>
      <c r="H38" s="46">
        <v>44045</v>
      </c>
      <c r="I38" s="49">
        <v>1</v>
      </c>
      <c r="J38" s="48" t="s">
        <v>220</v>
      </c>
      <c r="K38" s="48" t="s">
        <v>211</v>
      </c>
      <c r="L38" s="48" t="s">
        <v>219</v>
      </c>
      <c r="M38" s="48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</row>
    <row r="39" spans="2:63" ht="142.5" x14ac:dyDescent="0.15">
      <c r="B39" s="45">
        <f>IF(G39&lt;&gt;"",SUBTOTAL(3,$G$5:G39),"")</f>
        <v>32</v>
      </c>
      <c r="C39" s="45"/>
      <c r="D39" s="45"/>
      <c r="E39" s="47" t="s">
        <v>140</v>
      </c>
      <c r="F39" s="47" t="s">
        <v>136</v>
      </c>
      <c r="G39" s="48" t="s">
        <v>217</v>
      </c>
      <c r="H39" s="46">
        <v>44044</v>
      </c>
      <c r="I39" s="49">
        <v>1</v>
      </c>
      <c r="J39" s="48" t="s">
        <v>230</v>
      </c>
      <c r="K39" s="48" t="s">
        <v>211</v>
      </c>
      <c r="L39" s="48" t="s">
        <v>275</v>
      </c>
      <c r="M39" s="48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</row>
    <row r="40" spans="2:63" ht="99.75" x14ac:dyDescent="0.15">
      <c r="B40" s="45">
        <f>IF(G40&lt;&gt;"",SUBTOTAL(3,$G$5:G40),"")</f>
        <v>33</v>
      </c>
      <c r="C40" s="45"/>
      <c r="D40" s="45"/>
      <c r="E40" s="47" t="s">
        <v>140</v>
      </c>
      <c r="F40" s="47" t="s">
        <v>136</v>
      </c>
      <c r="G40" s="48" t="s">
        <v>216</v>
      </c>
      <c r="H40" s="46">
        <v>44038</v>
      </c>
      <c r="I40" s="49">
        <v>1</v>
      </c>
      <c r="J40" s="48" t="s">
        <v>276</v>
      </c>
      <c r="K40" s="48" t="s">
        <v>211</v>
      </c>
      <c r="L40" s="48" t="s">
        <v>280</v>
      </c>
      <c r="M40" s="48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</row>
    <row r="41" spans="2:63" ht="99.75" x14ac:dyDescent="0.15">
      <c r="B41" s="45">
        <f>IF(G41&lt;&gt;"",SUBTOTAL(3,$G$5:G41),"")</f>
        <v>34</v>
      </c>
      <c r="C41" s="45"/>
      <c r="D41" s="45"/>
      <c r="E41" s="47" t="s">
        <v>140</v>
      </c>
      <c r="F41" s="47" t="s">
        <v>136</v>
      </c>
      <c r="G41" s="48" t="s">
        <v>214</v>
      </c>
      <c r="H41" s="46">
        <v>44038</v>
      </c>
      <c r="I41" s="49">
        <v>1</v>
      </c>
      <c r="J41" s="48" t="s">
        <v>215</v>
      </c>
      <c r="K41" s="48" t="s">
        <v>211</v>
      </c>
      <c r="L41" s="48" t="s">
        <v>277</v>
      </c>
      <c r="M41" s="52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</row>
    <row r="42" spans="2:63" ht="42.75" x14ac:dyDescent="0.15">
      <c r="B42" s="45">
        <f>IF(G42&lt;&gt;"",SUBTOTAL(3,$G$5:G42),"")</f>
        <v>35</v>
      </c>
      <c r="C42" s="45"/>
      <c r="D42" s="45"/>
      <c r="E42" s="47" t="s">
        <v>140</v>
      </c>
      <c r="F42" s="47" t="s">
        <v>136</v>
      </c>
      <c r="G42" s="48" t="s">
        <v>162</v>
      </c>
      <c r="H42" s="46">
        <v>43960</v>
      </c>
      <c r="I42" s="49">
        <v>1</v>
      </c>
      <c r="J42" s="48" t="s">
        <v>143</v>
      </c>
      <c r="K42" s="48" t="s">
        <v>211</v>
      </c>
      <c r="L42" s="48" t="s">
        <v>279</v>
      </c>
      <c r="M42" s="52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</row>
    <row r="43" spans="2:63" ht="71.25" x14ac:dyDescent="0.15">
      <c r="B43" s="45">
        <f>IF(G43&lt;&gt;"",SUBTOTAL(3,$G$5:G43),"")</f>
        <v>36</v>
      </c>
      <c r="C43" s="45"/>
      <c r="D43" s="45"/>
      <c r="E43" s="47" t="s">
        <v>140</v>
      </c>
      <c r="F43" s="47" t="s">
        <v>136</v>
      </c>
      <c r="G43" s="48" t="s">
        <v>163</v>
      </c>
      <c r="H43" s="46">
        <v>44036</v>
      </c>
      <c r="I43" s="49">
        <v>0.3</v>
      </c>
      <c r="J43" s="48" t="s">
        <v>232</v>
      </c>
      <c r="K43" s="48" t="s">
        <v>231</v>
      </c>
      <c r="L43" s="55" t="s">
        <v>278</v>
      </c>
      <c r="M43" s="48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</row>
    <row r="44" spans="2:63" x14ac:dyDescent="0.15">
      <c r="B44" s="45">
        <f>IF(G44&lt;&gt;"",SUBTOTAL(3,$G$5:G44),"")</f>
        <v>37</v>
      </c>
      <c r="C44" s="45"/>
      <c r="D44" s="45"/>
      <c r="E44" s="47" t="s">
        <v>140</v>
      </c>
      <c r="F44" s="47" t="s">
        <v>136</v>
      </c>
      <c r="G44" s="48" t="s">
        <v>164</v>
      </c>
      <c r="H44" s="46">
        <v>44013</v>
      </c>
      <c r="I44" s="49"/>
      <c r="J44" s="48"/>
      <c r="K44" s="48"/>
      <c r="L44" s="48"/>
      <c r="M44" s="48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</row>
    <row r="45" spans="2:63" x14ac:dyDescent="0.15">
      <c r="B45" s="45">
        <f>IF(G45&lt;&gt;"",SUBTOTAL(3,$G$5:G45),"")</f>
        <v>38</v>
      </c>
      <c r="C45" s="45"/>
      <c r="D45" s="45"/>
      <c r="E45" s="47" t="s">
        <v>140</v>
      </c>
      <c r="F45" s="47" t="s">
        <v>136</v>
      </c>
      <c r="G45" s="48" t="s">
        <v>165</v>
      </c>
      <c r="H45" s="46">
        <v>44010</v>
      </c>
      <c r="I45" s="49"/>
      <c r="J45" s="48"/>
      <c r="K45" s="48"/>
      <c r="L45" s="48"/>
      <c r="M45" s="48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</row>
    <row r="46" spans="2:63" x14ac:dyDescent="0.15">
      <c r="B46" s="45">
        <f>IF(G46&lt;&gt;"",SUBTOTAL(3,$G$5:G46),"")</f>
        <v>39</v>
      </c>
      <c r="C46" s="45"/>
      <c r="D46" s="45"/>
      <c r="E46" s="47" t="s">
        <v>140</v>
      </c>
      <c r="F46" s="47" t="s">
        <v>136</v>
      </c>
      <c r="G46" s="48" t="s">
        <v>166</v>
      </c>
      <c r="H46" s="46">
        <v>44010</v>
      </c>
      <c r="I46" s="49"/>
      <c r="J46" s="48"/>
      <c r="K46" s="48"/>
      <c r="L46" s="48"/>
      <c r="M46" s="48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</row>
    <row r="47" spans="2:63" x14ac:dyDescent="0.15">
      <c r="B47" s="45">
        <f>IF(G47&lt;&gt;"",SUBTOTAL(3,$G$5:G47),"")</f>
        <v>40</v>
      </c>
      <c r="C47" s="45"/>
      <c r="D47" s="45"/>
      <c r="E47" s="47" t="s">
        <v>140</v>
      </c>
      <c r="F47" s="47" t="s">
        <v>136</v>
      </c>
      <c r="G47" s="48" t="s">
        <v>167</v>
      </c>
      <c r="H47" s="46">
        <v>44007</v>
      </c>
      <c r="I47" s="49"/>
      <c r="J47" s="48"/>
      <c r="K47" s="48"/>
      <c r="L47" s="48"/>
      <c r="M47" s="48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</row>
    <row r="48" spans="2:63" x14ac:dyDescent="0.15">
      <c r="B48" s="45">
        <f>IF(G48&lt;&gt;"",SUBTOTAL(3,$G$5:G48),"")</f>
        <v>41</v>
      </c>
      <c r="C48" s="45"/>
      <c r="D48" s="45"/>
      <c r="E48" s="47" t="s">
        <v>140</v>
      </c>
      <c r="F48" s="47" t="s">
        <v>136</v>
      </c>
      <c r="G48" s="48" t="s">
        <v>168</v>
      </c>
      <c r="H48" s="46">
        <v>44006</v>
      </c>
      <c r="I48" s="49"/>
      <c r="J48" s="48"/>
      <c r="K48" s="48"/>
      <c r="L48" s="48"/>
      <c r="M48" s="48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</row>
    <row r="49" spans="2:63" x14ac:dyDescent="0.15">
      <c r="B49" s="45">
        <f>IF(G49&lt;&gt;"",SUBTOTAL(3,$G$5:G49),"")</f>
        <v>42</v>
      </c>
      <c r="C49" s="45"/>
      <c r="D49" s="45"/>
      <c r="E49" s="47" t="s">
        <v>140</v>
      </c>
      <c r="F49" s="47" t="s">
        <v>136</v>
      </c>
      <c r="G49" s="48" t="s">
        <v>169</v>
      </c>
      <c r="H49" s="46">
        <v>44003</v>
      </c>
      <c r="I49" s="49"/>
      <c r="J49" s="48"/>
      <c r="K49" s="48"/>
      <c r="L49" s="48"/>
      <c r="M49" s="48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</row>
    <row r="50" spans="2:63" x14ac:dyDescent="0.15">
      <c r="B50" s="45">
        <f>IF(G50&lt;&gt;"",SUBTOTAL(3,$G$5:G50),"")</f>
        <v>43</v>
      </c>
      <c r="C50" s="45"/>
      <c r="D50" s="45"/>
      <c r="E50" s="47" t="s">
        <v>140</v>
      </c>
      <c r="F50" s="47" t="s">
        <v>136</v>
      </c>
      <c r="G50" s="48" t="s">
        <v>170</v>
      </c>
      <c r="H50" s="46">
        <v>44000</v>
      </c>
      <c r="I50" s="49"/>
      <c r="J50" s="48"/>
      <c r="K50" s="48"/>
      <c r="L50" s="48"/>
      <c r="M50" s="48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</row>
    <row r="51" spans="2:63" x14ac:dyDescent="0.15">
      <c r="B51" s="45">
        <f>IF(G51&lt;&gt;"",SUBTOTAL(3,$G$5:G51),"")</f>
        <v>44</v>
      </c>
      <c r="C51" s="45"/>
      <c r="D51" s="45"/>
      <c r="E51" s="47" t="s">
        <v>140</v>
      </c>
      <c r="F51" s="47" t="s">
        <v>136</v>
      </c>
      <c r="G51" s="48" t="s">
        <v>171</v>
      </c>
      <c r="H51" s="46">
        <v>43996</v>
      </c>
      <c r="I51" s="49"/>
      <c r="J51" s="48"/>
      <c r="K51" s="48"/>
      <c r="L51" s="48"/>
      <c r="M51" s="48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</row>
    <row r="52" spans="2:63" x14ac:dyDescent="0.15">
      <c r="B52" s="45">
        <f>IF(G52&lt;&gt;"",SUBTOTAL(3,$G$5:G52),"")</f>
        <v>45</v>
      </c>
      <c r="C52" s="45"/>
      <c r="D52" s="45"/>
      <c r="E52" s="47" t="s">
        <v>140</v>
      </c>
      <c r="F52" s="47" t="s">
        <v>136</v>
      </c>
      <c r="G52" s="48" t="s">
        <v>172</v>
      </c>
      <c r="H52" s="46">
        <v>43996</v>
      </c>
      <c r="I52" s="49"/>
      <c r="J52" s="48"/>
      <c r="K52" s="48"/>
      <c r="L52" s="48"/>
      <c r="M52" s="48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</row>
    <row r="53" spans="2:63" x14ac:dyDescent="0.15">
      <c r="B53" s="45">
        <f>IF(G53&lt;&gt;"",SUBTOTAL(3,$G$5:G53),"")</f>
        <v>46</v>
      </c>
      <c r="C53" s="45"/>
      <c r="D53" s="45"/>
      <c r="E53" s="47" t="s">
        <v>140</v>
      </c>
      <c r="F53" s="47" t="s">
        <v>136</v>
      </c>
      <c r="G53" s="48" t="s">
        <v>173</v>
      </c>
      <c r="H53" s="46">
        <v>43996</v>
      </c>
      <c r="I53" s="49"/>
      <c r="J53" s="48"/>
      <c r="K53" s="48"/>
      <c r="L53" s="48"/>
      <c r="M53" s="48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</row>
    <row r="54" spans="2:63" x14ac:dyDescent="0.15">
      <c r="B54" s="45">
        <f>IF(G54&lt;&gt;"",SUBTOTAL(3,$G$5:G54),"")</f>
        <v>47</v>
      </c>
      <c r="C54" s="45"/>
      <c r="D54" s="45"/>
      <c r="E54" s="47" t="s">
        <v>140</v>
      </c>
      <c r="F54" s="47" t="s">
        <v>136</v>
      </c>
      <c r="G54" s="48" t="s">
        <v>174</v>
      </c>
      <c r="H54" s="46">
        <v>43995</v>
      </c>
      <c r="I54" s="49"/>
      <c r="J54" s="48"/>
      <c r="K54" s="48"/>
      <c r="L54" s="48"/>
      <c r="M54" s="48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</row>
    <row r="55" spans="2:63" x14ac:dyDescent="0.15">
      <c r="B55" s="45">
        <f>IF(G55&lt;&gt;"",SUBTOTAL(3,$G$5:G55),"")</f>
        <v>48</v>
      </c>
      <c r="C55" s="45"/>
      <c r="D55" s="45"/>
      <c r="E55" s="47" t="s">
        <v>140</v>
      </c>
      <c r="F55" s="47" t="s">
        <v>136</v>
      </c>
      <c r="G55" s="48" t="s">
        <v>175</v>
      </c>
      <c r="H55" s="46">
        <v>43995</v>
      </c>
      <c r="I55" s="49"/>
      <c r="J55" s="48"/>
      <c r="K55" s="48"/>
      <c r="L55" s="48"/>
      <c r="M55" s="48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</row>
    <row r="56" spans="2:63" x14ac:dyDescent="0.15">
      <c r="B56" s="45">
        <f>IF(G56&lt;&gt;"",SUBTOTAL(3,$G$5:G56),"")</f>
        <v>49</v>
      </c>
      <c r="C56" s="45"/>
      <c r="D56" s="45"/>
      <c r="E56" s="47" t="s">
        <v>140</v>
      </c>
      <c r="F56" s="47" t="s">
        <v>136</v>
      </c>
      <c r="G56" s="56" t="s">
        <v>176</v>
      </c>
      <c r="H56" s="46">
        <v>43982</v>
      </c>
      <c r="I56" s="49"/>
      <c r="J56" s="48"/>
      <c r="K56" s="48"/>
      <c r="L56" s="48"/>
      <c r="M56" s="48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</row>
    <row r="57" spans="2:63" s="39" customFormat="1" ht="13.5" customHeight="1" x14ac:dyDescent="0.15">
      <c r="B57" s="57">
        <f>IF(G57&lt;&gt;"",SUBTOTAL(3,$G$5:G57),"")</f>
        <v>50</v>
      </c>
      <c r="C57" s="57"/>
      <c r="D57" s="57"/>
      <c r="E57" s="58" t="s">
        <v>140</v>
      </c>
      <c r="F57" s="58" t="s">
        <v>136</v>
      </c>
      <c r="G57" s="56" t="s">
        <v>177</v>
      </c>
      <c r="H57" s="46">
        <v>43995</v>
      </c>
      <c r="I57" s="49"/>
      <c r="J57" s="56"/>
      <c r="K57" s="56"/>
      <c r="L57" s="56"/>
      <c r="M57" s="5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</row>
    <row r="58" spans="2:63" s="39" customFormat="1" ht="171" x14ac:dyDescent="0.15">
      <c r="B58" s="57">
        <f>IF(G58&lt;&gt;"",SUBTOTAL(3,$G$5:G58),"")</f>
        <v>51</v>
      </c>
      <c r="C58" s="57"/>
      <c r="D58" s="57"/>
      <c r="E58" s="58" t="s">
        <v>140</v>
      </c>
      <c r="F58" s="58" t="s">
        <v>136</v>
      </c>
      <c r="G58" s="56" t="s">
        <v>178</v>
      </c>
      <c r="H58" s="46">
        <v>43955</v>
      </c>
      <c r="I58" s="49">
        <v>1</v>
      </c>
      <c r="J58" s="69" t="s">
        <v>240</v>
      </c>
      <c r="K58" s="56" t="s">
        <v>211</v>
      </c>
      <c r="L58" s="48"/>
      <c r="M58" s="5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</row>
    <row r="59" spans="2:63" s="39" customFormat="1" ht="13.5" customHeight="1" x14ac:dyDescent="0.15">
      <c r="B59" s="57">
        <f>IF(G59&lt;&gt;"",SUBTOTAL(3,$G$5:G59),"")</f>
        <v>52</v>
      </c>
      <c r="C59" s="57"/>
      <c r="D59" s="57"/>
      <c r="E59" s="58" t="s">
        <v>140</v>
      </c>
      <c r="F59" s="58" t="s">
        <v>136</v>
      </c>
      <c r="G59" s="56" t="s">
        <v>179</v>
      </c>
      <c r="H59" s="46">
        <v>43967</v>
      </c>
      <c r="I59" s="49"/>
      <c r="J59" s="56"/>
      <c r="K59" s="56"/>
      <c r="L59" s="56"/>
      <c r="M59" s="5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</row>
    <row r="60" spans="2:63" s="39" customFormat="1" ht="13.5" customHeight="1" x14ac:dyDescent="0.15">
      <c r="B60" s="57">
        <f>IF(G60&lt;&gt;"",SUBTOTAL(3,$G$5:G60),"")</f>
        <v>53</v>
      </c>
      <c r="C60" s="57"/>
      <c r="D60" s="57"/>
      <c r="E60" s="58" t="s">
        <v>140</v>
      </c>
      <c r="F60" s="58" t="s">
        <v>136</v>
      </c>
      <c r="G60" s="56" t="s">
        <v>180</v>
      </c>
      <c r="H60" s="46">
        <v>43870</v>
      </c>
      <c r="I60" s="49"/>
      <c r="J60" s="56"/>
      <c r="K60" s="56"/>
      <c r="L60" s="56"/>
      <c r="M60" s="5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</row>
    <row r="61" spans="2:63" s="39" customFormat="1" x14ac:dyDescent="0.15">
      <c r="B61" s="57">
        <f>IF(G61&lt;&gt;"",SUBTOTAL(3,$G$5:G61),"")</f>
        <v>54</v>
      </c>
      <c r="C61" s="57"/>
      <c r="D61" s="57"/>
      <c r="E61" s="58" t="s">
        <v>140</v>
      </c>
      <c r="F61" s="58" t="s">
        <v>136</v>
      </c>
      <c r="G61" s="56" t="s">
        <v>181</v>
      </c>
      <c r="H61" s="46">
        <v>43869</v>
      </c>
      <c r="I61" s="49"/>
      <c r="J61" s="56"/>
      <c r="K61" s="56"/>
      <c r="L61" s="56"/>
      <c r="M61" s="5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</row>
    <row r="62" spans="2:63" s="39" customFormat="1" ht="156.75" x14ac:dyDescent="0.15">
      <c r="B62" s="57">
        <f>IF(G62&lt;&gt;"",SUBTOTAL(3,$G$5:G62),"")</f>
        <v>55</v>
      </c>
      <c r="C62" s="57"/>
      <c r="D62" s="57"/>
      <c r="E62" s="58" t="s">
        <v>140</v>
      </c>
      <c r="F62" s="58" t="s">
        <v>136</v>
      </c>
      <c r="G62" s="56" t="s">
        <v>90</v>
      </c>
      <c r="H62" s="46">
        <v>43961</v>
      </c>
      <c r="I62" s="49">
        <v>1</v>
      </c>
      <c r="J62" s="69" t="s">
        <v>242</v>
      </c>
      <c r="K62" s="56" t="s">
        <v>212</v>
      </c>
      <c r="L62" s="48"/>
      <c r="M62" s="5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</row>
    <row r="63" spans="2:63" s="39" customFormat="1" ht="13.5" customHeight="1" x14ac:dyDescent="0.15">
      <c r="B63" s="57">
        <f>IF(G63&lt;&gt;"",SUBTOTAL(3,$G$5:G63),"")</f>
        <v>56</v>
      </c>
      <c r="C63" s="57"/>
      <c r="D63" s="57"/>
      <c r="E63" s="58" t="s">
        <v>140</v>
      </c>
      <c r="F63" s="58" t="s">
        <v>136</v>
      </c>
      <c r="G63" s="56" t="s">
        <v>182</v>
      </c>
      <c r="H63" s="46">
        <v>43961</v>
      </c>
      <c r="I63" s="49"/>
      <c r="J63" s="56"/>
      <c r="K63" s="56"/>
      <c r="L63" s="56"/>
      <c r="M63" s="59" t="s">
        <v>14</v>
      </c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</row>
    <row r="64" spans="2:63" s="39" customFormat="1" ht="13.5" customHeight="1" x14ac:dyDescent="0.15">
      <c r="B64" s="57">
        <f>IF(G64&lt;&gt;"",SUBTOTAL(3,$G$5:G64),"")</f>
        <v>57</v>
      </c>
      <c r="C64" s="57"/>
      <c r="D64" s="57"/>
      <c r="E64" s="58" t="s">
        <v>140</v>
      </c>
      <c r="F64" s="58" t="s">
        <v>136</v>
      </c>
      <c r="G64" s="56" t="s">
        <v>183</v>
      </c>
      <c r="H64" s="46">
        <v>43995</v>
      </c>
      <c r="I64" s="49"/>
      <c r="J64" s="56"/>
      <c r="K64" s="56"/>
      <c r="L64" s="56"/>
      <c r="M64" s="5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</row>
    <row r="65" spans="2:63" s="39" customFormat="1" ht="13.5" customHeight="1" x14ac:dyDescent="0.15">
      <c r="B65" s="57">
        <f>IF(G65&lt;&gt;"",SUBTOTAL(3,$G$5:G65),"")</f>
        <v>58</v>
      </c>
      <c r="C65" s="57"/>
      <c r="D65" s="57"/>
      <c r="E65" s="58" t="s">
        <v>140</v>
      </c>
      <c r="F65" s="58" t="s">
        <v>136</v>
      </c>
      <c r="G65" s="56" t="s">
        <v>184</v>
      </c>
      <c r="H65" s="46">
        <v>43961</v>
      </c>
      <c r="I65" s="49"/>
      <c r="J65" s="56"/>
      <c r="K65" s="56"/>
      <c r="L65" s="56"/>
      <c r="M65" s="5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</row>
    <row r="66" spans="2:63" s="39" customFormat="1" ht="13.5" customHeight="1" x14ac:dyDescent="0.15">
      <c r="B66" s="57">
        <f>IF(G66&lt;&gt;"",SUBTOTAL(3,$G$5:G66),"")</f>
        <v>59</v>
      </c>
      <c r="C66" s="57"/>
      <c r="D66" s="57"/>
      <c r="E66" s="58" t="s">
        <v>140</v>
      </c>
      <c r="F66" s="58" t="s">
        <v>136</v>
      </c>
      <c r="G66" s="56" t="s">
        <v>185</v>
      </c>
      <c r="H66" s="46">
        <v>43961</v>
      </c>
      <c r="I66" s="49"/>
      <c r="J66" s="56"/>
      <c r="K66" s="56"/>
      <c r="L66" s="56"/>
      <c r="M66" s="5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</row>
    <row r="67" spans="2:63" s="39" customFormat="1" ht="13.5" customHeight="1" x14ac:dyDescent="0.15">
      <c r="B67" s="57">
        <f>IF(G67&lt;&gt;"",SUBTOTAL(3,$G$5:G67),"")</f>
        <v>60</v>
      </c>
      <c r="C67" s="57"/>
      <c r="D67" s="57"/>
      <c r="E67" s="58" t="s">
        <v>140</v>
      </c>
      <c r="F67" s="58" t="s">
        <v>136</v>
      </c>
      <c r="G67" s="56" t="s">
        <v>186</v>
      </c>
      <c r="H67" s="46">
        <v>43995</v>
      </c>
      <c r="I67" s="49"/>
      <c r="J67" s="56"/>
      <c r="K67" s="56"/>
      <c r="L67" s="56"/>
      <c r="M67" s="5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</row>
    <row r="68" spans="2:63" s="39" customFormat="1" ht="13.5" customHeight="1" x14ac:dyDescent="0.15">
      <c r="B68" s="57">
        <f>IF(G68&lt;&gt;"",SUBTOTAL(3,$G$5:G68),"")</f>
        <v>61</v>
      </c>
      <c r="C68" s="57"/>
      <c r="D68" s="57"/>
      <c r="E68" s="58" t="s">
        <v>140</v>
      </c>
      <c r="F68" s="58" t="s">
        <v>136</v>
      </c>
      <c r="G68" s="56" t="s">
        <v>187</v>
      </c>
      <c r="H68" s="46">
        <v>44006</v>
      </c>
      <c r="I68" s="49"/>
      <c r="J68" s="56"/>
      <c r="K68" s="56"/>
      <c r="L68" s="56"/>
      <c r="M68" s="59" t="s">
        <v>14</v>
      </c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</row>
    <row r="69" spans="2:63" s="39" customFormat="1" ht="13.5" customHeight="1" x14ac:dyDescent="0.15">
      <c r="B69" s="57">
        <f>IF(G69&lt;&gt;"",SUBTOTAL(3,$G$5:G69),"")</f>
        <v>62</v>
      </c>
      <c r="C69" s="57"/>
      <c r="D69" s="57"/>
      <c r="E69" s="58" t="s">
        <v>140</v>
      </c>
      <c r="F69" s="58" t="s">
        <v>136</v>
      </c>
      <c r="G69" s="56" t="s">
        <v>16</v>
      </c>
      <c r="H69" s="46">
        <v>43995</v>
      </c>
      <c r="I69" s="49"/>
      <c r="J69" s="56"/>
      <c r="K69" s="56"/>
      <c r="L69" s="56"/>
      <c r="M69" s="59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</row>
    <row r="70" spans="2:63" s="39" customFormat="1" ht="13.5" customHeight="1" x14ac:dyDescent="0.15">
      <c r="B70" s="57">
        <f>IF(G70&lt;&gt;"",SUBTOTAL(3,$G$5:G70),"")</f>
        <v>63</v>
      </c>
      <c r="C70" s="57"/>
      <c r="D70" s="57"/>
      <c r="E70" s="58" t="s">
        <v>140</v>
      </c>
      <c r="F70" s="58" t="s">
        <v>136</v>
      </c>
      <c r="G70" s="56" t="s">
        <v>188</v>
      </c>
      <c r="H70" s="46">
        <v>43871</v>
      </c>
      <c r="I70" s="49"/>
      <c r="J70" s="56"/>
      <c r="K70" s="56"/>
      <c r="L70" s="56"/>
      <c r="M70" s="59" t="s">
        <v>14</v>
      </c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</row>
    <row r="71" spans="2:63" s="39" customFormat="1" ht="13.5" customHeight="1" x14ac:dyDescent="0.15">
      <c r="B71" s="57">
        <f>IF(G71&lt;&gt;"",SUBTOTAL(3,$G$5:G71),"")</f>
        <v>64</v>
      </c>
      <c r="C71" s="57"/>
      <c r="D71" s="57"/>
      <c r="E71" s="58" t="s">
        <v>140</v>
      </c>
      <c r="F71" s="58" t="s">
        <v>136</v>
      </c>
      <c r="G71" s="56" t="s">
        <v>189</v>
      </c>
      <c r="H71" s="46">
        <v>43936</v>
      </c>
      <c r="I71" s="49"/>
      <c r="J71" s="56"/>
      <c r="K71" s="56"/>
      <c r="L71" s="56"/>
      <c r="M71" s="5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</row>
    <row r="72" spans="2:63" s="39" customFormat="1" ht="13.5" customHeight="1" x14ac:dyDescent="0.15">
      <c r="B72" s="57">
        <f>IF(G72&lt;&gt;"",SUBTOTAL(3,$G$5:G72),"")</f>
        <v>65</v>
      </c>
      <c r="C72" s="57"/>
      <c r="D72" s="57"/>
      <c r="E72" s="58" t="s">
        <v>140</v>
      </c>
      <c r="F72" s="58" t="s">
        <v>136</v>
      </c>
      <c r="G72" s="56" t="s">
        <v>190</v>
      </c>
      <c r="H72" s="46">
        <v>43935</v>
      </c>
      <c r="I72" s="49"/>
      <c r="J72" s="56"/>
      <c r="K72" s="56"/>
      <c r="L72" s="56"/>
      <c r="M72" s="5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</row>
    <row r="73" spans="2:63" s="39" customFormat="1" ht="13.5" customHeight="1" x14ac:dyDescent="0.15">
      <c r="B73" s="57">
        <f>IF(G73&lt;&gt;"",SUBTOTAL(3,$G$5:G73),"")</f>
        <v>66</v>
      </c>
      <c r="C73" s="57"/>
      <c r="D73" s="57"/>
      <c r="E73" s="58" t="s">
        <v>140</v>
      </c>
      <c r="F73" s="58" t="s">
        <v>136</v>
      </c>
      <c r="G73" s="56" t="s">
        <v>191</v>
      </c>
      <c r="H73" s="46">
        <v>43919</v>
      </c>
      <c r="I73" s="49"/>
      <c r="J73" s="56"/>
      <c r="K73" s="56"/>
      <c r="L73" s="56"/>
      <c r="M73" s="5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</row>
    <row r="74" spans="2:63" s="39" customFormat="1" ht="13.5" customHeight="1" x14ac:dyDescent="0.15">
      <c r="B74" s="57">
        <f>IF(G74&lt;&gt;"",SUBTOTAL(3,$G$5:G74),"")</f>
        <v>67</v>
      </c>
      <c r="C74" s="57"/>
      <c r="D74" s="57"/>
      <c r="E74" s="58" t="s">
        <v>140</v>
      </c>
      <c r="F74" s="58" t="s">
        <v>136</v>
      </c>
      <c r="G74" s="56" t="s">
        <v>192</v>
      </c>
      <c r="H74" s="46">
        <v>43995</v>
      </c>
      <c r="I74" s="49"/>
      <c r="J74" s="56"/>
      <c r="K74" s="56"/>
      <c r="L74" s="56"/>
      <c r="M74" s="5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</row>
    <row r="75" spans="2:63" s="39" customFormat="1" ht="13.5" customHeight="1" x14ac:dyDescent="0.15">
      <c r="B75" s="57">
        <f>IF(G75&lt;&gt;"",SUBTOTAL(3,$G$5:G75),"")</f>
        <v>68</v>
      </c>
      <c r="C75" s="57"/>
      <c r="D75" s="57"/>
      <c r="E75" s="58" t="s">
        <v>140</v>
      </c>
      <c r="F75" s="58" t="s">
        <v>136</v>
      </c>
      <c r="G75" s="56" t="s">
        <v>193</v>
      </c>
      <c r="H75" s="46">
        <v>43975</v>
      </c>
      <c r="I75" s="49"/>
      <c r="J75" s="56"/>
      <c r="K75" s="56"/>
      <c r="L75" s="56"/>
      <c r="M75" s="5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</row>
    <row r="76" spans="2:63" s="39" customFormat="1" ht="13.5" customHeight="1" x14ac:dyDescent="0.15">
      <c r="B76" s="57">
        <f>IF(G76&lt;&gt;"",SUBTOTAL(3,$G$5:G76),"")</f>
        <v>69</v>
      </c>
      <c r="C76" s="57"/>
      <c r="D76" s="57"/>
      <c r="E76" s="58" t="s">
        <v>140</v>
      </c>
      <c r="F76" s="58" t="s">
        <v>136</v>
      </c>
      <c r="G76" s="56" t="s">
        <v>194</v>
      </c>
      <c r="H76" s="46">
        <v>43975</v>
      </c>
      <c r="I76" s="49"/>
      <c r="J76" s="56"/>
      <c r="K76" s="56"/>
      <c r="L76" s="56"/>
      <c r="M76" s="5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</row>
    <row r="77" spans="2:63" s="39" customFormat="1" ht="13.5" customHeight="1" x14ac:dyDescent="0.15">
      <c r="B77" s="57">
        <f>IF(G77&lt;&gt;"",SUBTOTAL(3,$G$5:G77),"")</f>
        <v>70</v>
      </c>
      <c r="C77" s="57"/>
      <c r="D77" s="57"/>
      <c r="E77" s="58" t="s">
        <v>140</v>
      </c>
      <c r="F77" s="58" t="s">
        <v>136</v>
      </c>
      <c r="G77" s="56" t="s">
        <v>195</v>
      </c>
      <c r="H77" s="46">
        <v>43975</v>
      </c>
      <c r="I77" s="49"/>
      <c r="J77" s="56"/>
      <c r="K77" s="56"/>
      <c r="L77" s="56"/>
      <c r="M77" s="5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</row>
    <row r="78" spans="2:63" s="39" customFormat="1" ht="13.5" customHeight="1" x14ac:dyDescent="0.15">
      <c r="B78" s="57">
        <f>IF(G78&lt;&gt;"",SUBTOTAL(3,$G$5:G78),"")</f>
        <v>71</v>
      </c>
      <c r="C78" s="57"/>
      <c r="D78" s="57"/>
      <c r="E78" s="58" t="s">
        <v>140</v>
      </c>
      <c r="F78" s="58" t="s">
        <v>136</v>
      </c>
      <c r="G78" s="56" t="s">
        <v>196</v>
      </c>
      <c r="H78" s="46">
        <v>43975</v>
      </c>
      <c r="I78" s="49"/>
      <c r="J78" s="56"/>
      <c r="K78" s="56"/>
      <c r="L78" s="56"/>
      <c r="M78" s="5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</row>
    <row r="79" spans="2:63" s="39" customFormat="1" ht="13.5" customHeight="1" x14ac:dyDescent="0.15">
      <c r="B79" s="57">
        <f>IF(G79&lt;&gt;"",SUBTOTAL(3,$G$5:G79),"")</f>
        <v>72</v>
      </c>
      <c r="C79" s="57"/>
      <c r="D79" s="57"/>
      <c r="E79" s="58" t="s">
        <v>140</v>
      </c>
      <c r="F79" s="58" t="s">
        <v>136</v>
      </c>
      <c r="G79" s="56" t="s">
        <v>197</v>
      </c>
      <c r="H79" s="46">
        <v>43977</v>
      </c>
      <c r="I79" s="49"/>
      <c r="J79" s="56"/>
      <c r="K79" s="56"/>
      <c r="L79" s="56"/>
      <c r="M79" s="5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</row>
    <row r="80" spans="2:63" s="39" customFormat="1" ht="13.5" customHeight="1" x14ac:dyDescent="0.15">
      <c r="B80" s="57">
        <f>IF(G80&lt;&gt;"",SUBTOTAL(3,$G$5:G80),"")</f>
        <v>73</v>
      </c>
      <c r="C80" s="57"/>
      <c r="D80" s="57"/>
      <c r="E80" s="58" t="s">
        <v>140</v>
      </c>
      <c r="F80" s="58" t="s">
        <v>136</v>
      </c>
      <c r="G80" s="56" t="s">
        <v>198</v>
      </c>
      <c r="H80" s="46">
        <v>43977</v>
      </c>
      <c r="I80" s="49"/>
      <c r="J80" s="56"/>
      <c r="K80" s="56"/>
      <c r="L80" s="56"/>
      <c r="M80" s="5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</row>
    <row r="81" spans="2:63" s="39" customFormat="1" ht="13.5" customHeight="1" x14ac:dyDescent="0.15">
      <c r="B81" s="57">
        <f>IF(G81&lt;&gt;"",SUBTOTAL(3,$G$5:G81),"")</f>
        <v>74</v>
      </c>
      <c r="C81" s="57"/>
      <c r="D81" s="57"/>
      <c r="E81" s="58" t="s">
        <v>140</v>
      </c>
      <c r="F81" s="58" t="s">
        <v>136</v>
      </c>
      <c r="G81" s="56" t="s">
        <v>199</v>
      </c>
      <c r="H81" s="46">
        <v>43977</v>
      </c>
      <c r="I81" s="49"/>
      <c r="J81" s="56"/>
      <c r="K81" s="56"/>
      <c r="L81" s="56"/>
      <c r="M81" s="5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</row>
    <row r="82" spans="2:63" s="39" customFormat="1" ht="13.5" customHeight="1" x14ac:dyDescent="0.15">
      <c r="B82" s="57">
        <f>IF(G82&lt;&gt;"",SUBTOTAL(3,$G$5:G82),"")</f>
        <v>75</v>
      </c>
      <c r="C82" s="57"/>
      <c r="D82" s="57"/>
      <c r="E82" s="58" t="s">
        <v>140</v>
      </c>
      <c r="F82" s="58" t="s">
        <v>136</v>
      </c>
      <c r="G82" s="56" t="s">
        <v>200</v>
      </c>
      <c r="H82" s="46">
        <v>43995</v>
      </c>
      <c r="I82" s="49"/>
      <c r="J82" s="56"/>
      <c r="K82" s="56"/>
      <c r="L82" s="56"/>
      <c r="M82" s="5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</row>
    <row r="83" spans="2:63" s="39" customFormat="1" ht="13.5" customHeight="1" x14ac:dyDescent="0.15">
      <c r="B83" s="57">
        <f>IF(G83&lt;&gt;"",SUBTOTAL(3,$G$5:G83),"")</f>
        <v>76</v>
      </c>
      <c r="C83" s="57"/>
      <c r="D83" s="57"/>
      <c r="E83" s="58" t="s">
        <v>140</v>
      </c>
      <c r="F83" s="58" t="s">
        <v>136</v>
      </c>
      <c r="G83" s="56" t="s">
        <v>201</v>
      </c>
      <c r="H83" s="46">
        <v>43982</v>
      </c>
      <c r="I83" s="49"/>
      <c r="J83" s="56"/>
      <c r="K83" s="56"/>
      <c r="L83" s="56"/>
      <c r="M83" s="5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</row>
    <row r="84" spans="2:63" s="39" customFormat="1" ht="13.5" customHeight="1" x14ac:dyDescent="0.15">
      <c r="B84" s="57">
        <f>IF(G84&lt;&gt;"",SUBTOTAL(3,$G$5:G84),"")</f>
        <v>77</v>
      </c>
      <c r="C84" s="57"/>
      <c r="D84" s="57"/>
      <c r="E84" s="58" t="s">
        <v>140</v>
      </c>
      <c r="F84" s="58" t="s">
        <v>136</v>
      </c>
      <c r="G84" s="56" t="s">
        <v>202</v>
      </c>
      <c r="H84" s="46">
        <v>43989</v>
      </c>
      <c r="I84" s="49"/>
      <c r="J84" s="56"/>
      <c r="K84" s="56"/>
      <c r="L84" s="56"/>
      <c r="M84" s="5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</row>
    <row r="85" spans="2:63" s="39" customFormat="1" ht="13.5" customHeight="1" x14ac:dyDescent="0.15">
      <c r="B85" s="57">
        <f>IF(G85&lt;&gt;"",SUBTOTAL(3,$G$5:G85),"")</f>
        <v>78</v>
      </c>
      <c r="C85" s="57"/>
      <c r="D85" s="57"/>
      <c r="E85" s="58" t="s">
        <v>140</v>
      </c>
      <c r="F85" s="58" t="s">
        <v>136</v>
      </c>
      <c r="G85" s="56" t="s">
        <v>203</v>
      </c>
      <c r="H85" s="46">
        <v>43989</v>
      </c>
      <c r="I85" s="49"/>
      <c r="J85" s="56"/>
      <c r="K85" s="56"/>
      <c r="L85" s="56"/>
      <c r="M85" s="5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</row>
    <row r="86" spans="2:63" s="39" customFormat="1" ht="13.5" customHeight="1" x14ac:dyDescent="0.15">
      <c r="B86" s="57">
        <f>IF(G86&lt;&gt;"",SUBTOTAL(3,$G$5:G86),"")</f>
        <v>79</v>
      </c>
      <c r="C86" s="57"/>
      <c r="D86" s="57"/>
      <c r="E86" s="58" t="s">
        <v>140</v>
      </c>
      <c r="F86" s="58" t="s">
        <v>136</v>
      </c>
      <c r="G86" s="56" t="s">
        <v>204</v>
      </c>
      <c r="H86" s="46">
        <v>43991</v>
      </c>
      <c r="I86" s="49"/>
      <c r="J86" s="56"/>
      <c r="K86" s="56"/>
      <c r="L86" s="56"/>
      <c r="M86" s="5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</row>
    <row r="87" spans="2:63" s="39" customFormat="1" ht="13.5" customHeight="1" x14ac:dyDescent="0.15">
      <c r="B87" s="57">
        <f>IF(G87&lt;&gt;"",SUBTOTAL(3,$G$5:G87),"")</f>
        <v>80</v>
      </c>
      <c r="C87" s="57"/>
      <c r="D87" s="57"/>
      <c r="E87" s="58" t="s">
        <v>140</v>
      </c>
      <c r="F87" s="58" t="s">
        <v>136</v>
      </c>
      <c r="G87" s="56" t="s">
        <v>205</v>
      </c>
      <c r="H87" s="46">
        <v>43991</v>
      </c>
      <c r="I87" s="49"/>
      <c r="J87" s="56"/>
      <c r="K87" s="56"/>
      <c r="L87" s="56"/>
      <c r="M87" s="5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</row>
    <row r="88" spans="2:63" s="39" customFormat="1" ht="13.5" customHeight="1" x14ac:dyDescent="0.15">
      <c r="B88" s="57">
        <f>IF(G88&lt;&gt;"",SUBTOTAL(3,$G$5:G88),"")</f>
        <v>81</v>
      </c>
      <c r="C88" s="57"/>
      <c r="D88" s="57"/>
      <c r="E88" s="58" t="s">
        <v>140</v>
      </c>
      <c r="F88" s="58" t="s">
        <v>136</v>
      </c>
      <c r="G88" s="56" t="s">
        <v>206</v>
      </c>
      <c r="H88" s="46">
        <v>43992</v>
      </c>
      <c r="I88" s="49"/>
      <c r="J88" s="56"/>
      <c r="K88" s="56"/>
      <c r="L88" s="56"/>
      <c r="M88" s="5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</row>
    <row r="89" spans="2:63" s="39" customFormat="1" ht="99.75" x14ac:dyDescent="0.15">
      <c r="B89" s="57">
        <f>IF(G89&lt;&gt;"",SUBTOTAL(3,$G$5:G89),"")</f>
        <v>82</v>
      </c>
      <c r="C89" s="57"/>
      <c r="D89" s="57"/>
      <c r="E89" s="58" t="s">
        <v>140</v>
      </c>
      <c r="F89" s="58" t="s">
        <v>136</v>
      </c>
      <c r="G89" s="56" t="s">
        <v>207</v>
      </c>
      <c r="H89" s="46">
        <v>43994</v>
      </c>
      <c r="I89" s="49">
        <v>0.8</v>
      </c>
      <c r="J89" s="56" t="s">
        <v>284</v>
      </c>
      <c r="K89" s="56"/>
      <c r="L89" s="56"/>
      <c r="M89" s="5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</row>
    <row r="90" spans="2:63" s="39" customFormat="1" x14ac:dyDescent="0.15">
      <c r="B90" s="57" t="str">
        <f>IF(G90&lt;&gt;"",SUBTOTAL(3,$G$5:G90),"")</f>
        <v/>
      </c>
      <c r="C90" s="57"/>
      <c r="D90" s="57"/>
      <c r="E90" s="58"/>
      <c r="F90" s="58"/>
      <c r="G90" s="56"/>
      <c r="H90" s="46"/>
      <c r="I90" s="68">
        <v>0.8</v>
      </c>
      <c r="J90" s="73" t="str">
        <f>HYPERLINK("C:\Users\roshi_000.000\MyImp\MyOwn\Develop\C++\At_Coder\◆C++_Language解説◆.xlsm#'C++ Language解説'!double型_int型キャスト","◆C++_Languge解説◆.xlsm]C++ Language解説!double型_int型キャスト")</f>
        <v>◆C++_Languge解説◆.xlsm]C++ Language解説!double型_int型キャスト</v>
      </c>
      <c r="K90" s="56"/>
      <c r="L90" s="56"/>
      <c r="M90" s="5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</row>
    <row r="91" spans="2:63" s="39" customFormat="1" ht="13.5" customHeight="1" x14ac:dyDescent="0.15">
      <c r="B91" s="57">
        <f>IF(G91&lt;&gt;"",SUBTOTAL(3,$G$5:G91),"")</f>
        <v>83</v>
      </c>
      <c r="C91" s="57"/>
      <c r="D91" s="57"/>
      <c r="E91" s="58" t="s">
        <v>140</v>
      </c>
      <c r="F91" s="58" t="s">
        <v>136</v>
      </c>
      <c r="G91" s="56" t="s">
        <v>208</v>
      </c>
      <c r="H91" s="46">
        <v>43995</v>
      </c>
      <c r="I91" s="49"/>
      <c r="J91" s="56"/>
      <c r="K91" s="56"/>
      <c r="L91" s="56"/>
      <c r="M91" s="5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</row>
    <row r="92" spans="2:63" s="39" customFormat="1" ht="57" x14ac:dyDescent="0.15">
      <c r="B92" s="57">
        <f>IF(G92&lt;&gt;"",SUBTOTAL(3,$G$5:G92),"")</f>
        <v>84</v>
      </c>
      <c r="C92" s="57"/>
      <c r="D92" s="57"/>
      <c r="E92" s="58" t="s">
        <v>140</v>
      </c>
      <c r="F92" s="58" t="s">
        <v>136</v>
      </c>
      <c r="G92" s="56" t="s">
        <v>209</v>
      </c>
      <c r="H92" s="46">
        <v>43997</v>
      </c>
      <c r="I92" s="49">
        <v>1</v>
      </c>
      <c r="J92" s="56" t="s">
        <v>243</v>
      </c>
      <c r="K92" s="56" t="s">
        <v>211</v>
      </c>
      <c r="L92" s="56" t="s">
        <v>281</v>
      </c>
      <c r="M92" s="5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</row>
    <row r="93" spans="2:63" s="39" customFormat="1" ht="13.5" customHeight="1" x14ac:dyDescent="0.15">
      <c r="B93" s="57">
        <f>IF(G93&lt;&gt;"",SUBTOTAL(3,$G$5:G93),"")</f>
        <v>85</v>
      </c>
      <c r="C93" s="57"/>
      <c r="D93" s="57"/>
      <c r="E93" s="58" t="s">
        <v>140</v>
      </c>
      <c r="F93" s="58" t="s">
        <v>136</v>
      </c>
      <c r="G93" s="56" t="s">
        <v>210</v>
      </c>
      <c r="H93" s="46">
        <v>44004</v>
      </c>
      <c r="I93" s="49"/>
      <c r="J93" s="56"/>
      <c r="K93" s="56"/>
      <c r="L93" s="56"/>
      <c r="M93" s="5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</row>
    <row r="94" spans="2:63" s="39" customFormat="1" ht="115.5" x14ac:dyDescent="0.15">
      <c r="B94" s="57">
        <f>IF(G94&lt;&gt;"",SUBTOTAL(3,$G$5:G94),"")</f>
        <v>86</v>
      </c>
      <c r="C94" s="57"/>
      <c r="D94" s="57"/>
      <c r="E94" s="58" t="s">
        <v>140</v>
      </c>
      <c r="F94" s="58" t="s">
        <v>144</v>
      </c>
      <c r="G94" s="58" t="s">
        <v>213</v>
      </c>
      <c r="H94" s="46">
        <v>44030</v>
      </c>
      <c r="I94" s="49">
        <v>1</v>
      </c>
      <c r="J94" s="56" t="s">
        <v>282</v>
      </c>
      <c r="K94" s="56" t="s">
        <v>212</v>
      </c>
      <c r="L94" s="56" t="s">
        <v>233</v>
      </c>
      <c r="M94" s="5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</row>
    <row r="95" spans="2:63" s="39" customFormat="1" ht="57" x14ac:dyDescent="0.15">
      <c r="B95" s="57">
        <f>IF(G95&lt;&gt;"",SUBTOTAL(3,$G$5:G95),"")</f>
        <v>87</v>
      </c>
      <c r="C95" s="57"/>
      <c r="D95" s="57"/>
      <c r="E95" s="58" t="s">
        <v>140</v>
      </c>
      <c r="F95" s="58" t="s">
        <v>144</v>
      </c>
      <c r="G95" s="58" t="s">
        <v>224</v>
      </c>
      <c r="H95" s="46">
        <v>44052</v>
      </c>
      <c r="I95" s="49">
        <v>0.5</v>
      </c>
      <c r="J95" s="56" t="s">
        <v>236</v>
      </c>
      <c r="K95" s="56" t="s">
        <v>234</v>
      </c>
      <c r="L95" s="56" t="s">
        <v>235</v>
      </c>
      <c r="M95" s="5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</row>
    <row r="96" spans="2:63" s="39" customFormat="1" ht="13.5" customHeight="1" x14ac:dyDescent="0.15">
      <c r="B96" s="57">
        <f>IF(G96&lt;&gt;"",SUBTOTAL(3,$G$5:G96),"")</f>
        <v>88</v>
      </c>
      <c r="C96" s="57"/>
      <c r="D96" s="57"/>
      <c r="E96" s="58" t="s">
        <v>140</v>
      </c>
      <c r="F96" s="58" t="s">
        <v>144</v>
      </c>
      <c r="G96" s="58" t="s">
        <v>246</v>
      </c>
      <c r="H96" s="46">
        <v>44062</v>
      </c>
      <c r="I96" s="49">
        <v>1</v>
      </c>
      <c r="J96" s="56"/>
      <c r="K96" s="56" t="s">
        <v>211</v>
      </c>
      <c r="L96" s="56"/>
      <c r="M96" s="5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</row>
    <row r="97" spans="2:63" s="39" customFormat="1" ht="13.5" customHeight="1" x14ac:dyDescent="0.15">
      <c r="B97" s="57">
        <f>IF(G97&lt;&gt;"",SUBTOTAL(3,$G$5:G97),"")</f>
        <v>89</v>
      </c>
      <c r="C97" s="57"/>
      <c r="D97" s="57"/>
      <c r="E97" s="58" t="s">
        <v>140</v>
      </c>
      <c r="F97" s="58" t="s">
        <v>144</v>
      </c>
      <c r="G97" s="58" t="s">
        <v>247</v>
      </c>
      <c r="H97" s="46">
        <v>44071</v>
      </c>
      <c r="I97" s="49">
        <v>1</v>
      </c>
      <c r="J97" s="56"/>
      <c r="K97" s="56" t="s">
        <v>211</v>
      </c>
      <c r="L97" s="56"/>
      <c r="M97" s="5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</row>
    <row r="98" spans="2:63" s="39" customFormat="1" ht="349.5" x14ac:dyDescent="0.15">
      <c r="B98" s="57">
        <f>IF(G98&lt;&gt;"",SUBTOTAL(3,$G$5:G98),"")</f>
        <v>90</v>
      </c>
      <c r="C98" s="57"/>
      <c r="D98" s="57"/>
      <c r="E98" s="58" t="s">
        <v>140</v>
      </c>
      <c r="F98" s="58" t="s">
        <v>144</v>
      </c>
      <c r="G98" s="58" t="s">
        <v>255</v>
      </c>
      <c r="H98" s="46">
        <v>44073</v>
      </c>
      <c r="I98" s="49">
        <v>1</v>
      </c>
      <c r="J98" s="70" t="s">
        <v>289</v>
      </c>
      <c r="K98" s="56" t="s">
        <v>212</v>
      </c>
      <c r="L98" s="56"/>
      <c r="M98" s="5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</row>
    <row r="99" spans="2:63" s="39" customFormat="1" ht="61.5" customHeight="1" x14ac:dyDescent="0.15">
      <c r="B99" s="57">
        <f>IF(G99&lt;&gt;"",SUBTOTAL(3,$G$5:G99),"")</f>
        <v>91</v>
      </c>
      <c r="C99" s="57"/>
      <c r="D99" s="57"/>
      <c r="E99" s="58" t="s">
        <v>140</v>
      </c>
      <c r="F99" s="58" t="s">
        <v>144</v>
      </c>
      <c r="G99" s="58" t="s">
        <v>286</v>
      </c>
      <c r="H99" s="46">
        <v>44108</v>
      </c>
      <c r="I99" s="49">
        <v>0.5</v>
      </c>
      <c r="J99" s="56" t="s">
        <v>288</v>
      </c>
      <c r="K99" s="56"/>
      <c r="L99" s="56"/>
      <c r="M99" s="5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</row>
    <row r="100" spans="2:63" s="39" customFormat="1" ht="13.5" customHeight="1" x14ac:dyDescent="0.15">
      <c r="B100" s="57" t="str">
        <f>IF(G100&lt;&gt;"",SUBTOTAL(3,$G$5:G100),"")</f>
        <v/>
      </c>
      <c r="C100" s="57"/>
      <c r="D100" s="57"/>
      <c r="E100" s="58"/>
      <c r="F100" s="58"/>
      <c r="G100" s="58"/>
      <c r="H100" s="46"/>
      <c r="I100" s="68">
        <v>0.5</v>
      </c>
      <c r="J100" s="87" t="s">
        <v>287</v>
      </c>
      <c r="K100" s="56"/>
      <c r="L100" s="56"/>
      <c r="M100" s="5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</row>
    <row r="101" spans="2:63" s="39" customFormat="1" ht="13.5" customHeight="1" x14ac:dyDescent="0.15">
      <c r="B101" s="57" t="str">
        <f>IF(G101&lt;&gt;"",SUBTOTAL(3,$G$5:G101),"")</f>
        <v/>
      </c>
      <c r="C101" s="57"/>
      <c r="D101" s="57"/>
      <c r="E101" s="58"/>
      <c r="F101" s="58"/>
      <c r="G101" s="58"/>
      <c r="H101" s="46"/>
      <c r="I101" s="49"/>
      <c r="J101" s="56"/>
      <c r="K101" s="56"/>
      <c r="L101" s="56"/>
      <c r="M101" s="5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</row>
    <row r="102" spans="2:63" ht="13.5" customHeight="1" x14ac:dyDescent="0.15">
      <c r="B102" s="45" t="str">
        <f>IF(G102&lt;&gt;"",SUBTOTAL(3,$G$5:G102),"")</f>
        <v/>
      </c>
      <c r="C102" s="45"/>
      <c r="D102" s="45"/>
      <c r="E102" s="47"/>
      <c r="F102" s="47"/>
      <c r="G102" s="47"/>
      <c r="H102" s="46"/>
      <c r="I102" s="49"/>
      <c r="J102"/>
      <c r="K102" s="48"/>
      <c r="L102" s="48"/>
      <c r="M102" s="48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</row>
    <row r="103" spans="2:63" ht="13.5" customHeight="1" x14ac:dyDescent="0.15">
      <c r="B103" s="45" t="str">
        <f>IF(G103&lt;&gt;"",SUBTOTAL(3,$G$5:G103),"")</f>
        <v/>
      </c>
      <c r="C103" s="45"/>
      <c r="D103" s="45"/>
      <c r="E103" s="47"/>
      <c r="F103" s="47"/>
      <c r="G103" s="47"/>
      <c r="H103" s="46"/>
      <c r="I103" s="49"/>
      <c r="J103" s="48"/>
      <c r="K103" s="48"/>
      <c r="L103" s="48"/>
      <c r="M103" s="48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</row>
    <row r="104" spans="2:63" x14ac:dyDescent="0.15">
      <c r="B104" s="45" t="str">
        <f>IF(G104&lt;&gt;"",SUBTOTAL(3,$G$5:G104),"")</f>
        <v/>
      </c>
      <c r="C104" s="45"/>
      <c r="D104" s="45"/>
      <c r="E104" s="47"/>
      <c r="F104" s="47"/>
      <c r="G104" s="47"/>
      <c r="H104" s="46"/>
      <c r="I104" s="49"/>
      <c r="J104" s="48"/>
      <c r="K104" s="48"/>
      <c r="L104" s="48"/>
      <c r="M104" s="48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</row>
    <row r="105" spans="2:63" x14ac:dyDescent="0.15">
      <c r="B105" s="45" t="str">
        <f>IF(G105&lt;&gt;"",SUBTOTAL(3,$G$5:G105),"")</f>
        <v/>
      </c>
      <c r="C105" s="45"/>
      <c r="D105" s="45"/>
      <c r="E105" s="47"/>
      <c r="F105" s="47"/>
      <c r="G105" s="47"/>
      <c r="H105" s="46"/>
      <c r="I105" s="49"/>
      <c r="J105" s="48"/>
      <c r="K105" s="48"/>
      <c r="L105" s="48"/>
      <c r="M105" s="48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</row>
    <row r="106" spans="2:63" x14ac:dyDescent="0.15">
      <c r="B106" s="45" t="str">
        <f>IF(G106&lt;&gt;"",SUBTOTAL(3,$G$5:G106),"")</f>
        <v/>
      </c>
      <c r="C106" s="45"/>
      <c r="D106" s="45"/>
      <c r="E106" s="47"/>
      <c r="F106" s="47"/>
      <c r="G106" s="47"/>
      <c r="H106" s="46"/>
      <c r="I106" s="49"/>
      <c r="J106" s="48"/>
      <c r="K106" s="48"/>
      <c r="L106" s="48"/>
      <c r="M106" s="48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</row>
    <row r="107" spans="2:63" x14ac:dyDescent="0.15">
      <c r="B107" s="45" t="str">
        <f>IF(G107&lt;&gt;"",SUBTOTAL(3,$G$5:G107),"")</f>
        <v/>
      </c>
      <c r="C107" s="45"/>
      <c r="D107" s="45"/>
      <c r="E107" s="47"/>
      <c r="F107" s="47"/>
      <c r="G107" s="47"/>
      <c r="H107" s="46"/>
      <c r="I107" s="49"/>
      <c r="J107" s="48"/>
      <c r="K107" s="48"/>
      <c r="L107" s="48"/>
      <c r="M107" s="48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</row>
    <row r="108" spans="2:63" x14ac:dyDescent="0.15">
      <c r="B108" s="45" t="str">
        <f>IF(G108&lt;&gt;"",SUBTOTAL(3,$G$5:G108),"")</f>
        <v/>
      </c>
      <c r="C108" s="45"/>
      <c r="D108" s="45"/>
      <c r="E108" s="47"/>
      <c r="F108" s="47"/>
      <c r="G108" s="47"/>
      <c r="H108" s="46"/>
      <c r="I108" s="49"/>
      <c r="J108" s="48"/>
      <c r="K108" s="48"/>
      <c r="L108" s="48"/>
      <c r="M108" s="48"/>
      <c r="S108" s="51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</row>
    <row r="109" spans="2:63" x14ac:dyDescent="0.15">
      <c r="B109" s="45" t="str">
        <f>IF(G109&lt;&gt;"",SUBTOTAL(3,$G$5:G109),"")</f>
        <v/>
      </c>
      <c r="C109" s="45"/>
      <c r="D109" s="45"/>
      <c r="E109" s="47"/>
      <c r="F109" s="47"/>
      <c r="G109" s="47"/>
      <c r="H109" s="46"/>
      <c r="I109" s="49"/>
      <c r="J109" s="48"/>
      <c r="K109" s="48"/>
      <c r="L109" s="48"/>
      <c r="M109" s="48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</row>
    <row r="110" spans="2:63" x14ac:dyDescent="0.15">
      <c r="B110" s="45" t="str">
        <f>IF(G110&lt;&gt;"",SUBTOTAL(3,$G$5:G110),"")</f>
        <v/>
      </c>
      <c r="C110" s="45"/>
      <c r="D110" s="45"/>
      <c r="E110" s="47"/>
      <c r="F110" s="47"/>
      <c r="G110" s="47"/>
      <c r="H110" s="46"/>
      <c r="I110" s="49"/>
      <c r="J110" s="48"/>
      <c r="K110" s="48"/>
      <c r="L110" s="48"/>
      <c r="M110" s="48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</row>
    <row r="111" spans="2:63" x14ac:dyDescent="0.15">
      <c r="B111" s="45" t="str">
        <f>IF(G111&lt;&gt;"",SUBTOTAL(3,$G$5:G111),"")</f>
        <v/>
      </c>
      <c r="C111" s="45"/>
      <c r="D111" s="45"/>
      <c r="E111" s="47"/>
      <c r="F111" s="47"/>
      <c r="G111" s="47"/>
      <c r="H111" s="46"/>
      <c r="I111" s="49"/>
      <c r="J111" s="48"/>
      <c r="K111" s="48"/>
      <c r="L111" s="48"/>
      <c r="M111" s="48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</row>
    <row r="112" spans="2:63" x14ac:dyDescent="0.15">
      <c r="B112" s="45" t="str">
        <f>IF(G112&lt;&gt;"",SUBTOTAL(3,$G$5:G112),"")</f>
        <v/>
      </c>
      <c r="C112" s="45"/>
      <c r="D112" s="45"/>
      <c r="E112" s="47"/>
      <c r="F112" s="47"/>
      <c r="G112" s="47"/>
      <c r="H112" s="46"/>
      <c r="I112" s="49"/>
      <c r="J112" s="48"/>
      <c r="K112" s="48"/>
      <c r="L112" s="48"/>
      <c r="M112" s="48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</row>
    <row r="113" spans="2:63" x14ac:dyDescent="0.15">
      <c r="B113" s="45" t="str">
        <f>IF(G113&lt;&gt;"",SUBTOTAL(3,$G$5:G113),"")</f>
        <v/>
      </c>
      <c r="C113" s="45"/>
      <c r="D113" s="45"/>
      <c r="E113" s="47"/>
      <c r="F113" s="47"/>
      <c r="G113" s="47"/>
      <c r="H113" s="46"/>
      <c r="I113" s="49"/>
      <c r="J113" s="48"/>
      <c r="K113" s="48"/>
      <c r="L113" s="48"/>
      <c r="M113" s="48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</row>
    <row r="114" spans="2:63" x14ac:dyDescent="0.15">
      <c r="B114" s="45" t="str">
        <f>IF(G114&lt;&gt;"",SUBTOTAL(3,$G$5:G114),"")</f>
        <v/>
      </c>
      <c r="C114" s="45"/>
      <c r="D114" s="45"/>
      <c r="E114" s="47"/>
      <c r="F114" s="47"/>
      <c r="G114" s="47"/>
      <c r="H114" s="46"/>
      <c r="I114" s="49"/>
      <c r="J114" s="48"/>
      <c r="K114" s="48"/>
      <c r="L114" s="48"/>
      <c r="M114" s="48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</row>
    <row r="115" spans="2:63" x14ac:dyDescent="0.15">
      <c r="B115" s="45" t="str">
        <f>IF(G115&lt;&gt;"",SUBTOTAL(3,$G$5:G115),"")</f>
        <v/>
      </c>
      <c r="C115" s="45"/>
      <c r="D115" s="45"/>
      <c r="E115" s="47"/>
      <c r="F115" s="47"/>
      <c r="G115" s="47"/>
      <c r="H115" s="46"/>
      <c r="I115" s="49"/>
      <c r="J115" s="48"/>
      <c r="K115" s="48"/>
      <c r="L115" s="48"/>
      <c r="M115" s="48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</row>
    <row r="116" spans="2:63" x14ac:dyDescent="0.15">
      <c r="B116" s="45" t="str">
        <f>IF(G116&lt;&gt;"",SUBTOTAL(3,$G$5:G116),"")</f>
        <v/>
      </c>
      <c r="C116" s="45"/>
      <c r="D116" s="45"/>
      <c r="E116" s="47"/>
      <c r="F116" s="47"/>
      <c r="G116" s="47"/>
      <c r="H116" s="46"/>
      <c r="I116" s="49"/>
      <c r="J116"/>
      <c r="K116" s="48"/>
      <c r="L116" s="48"/>
      <c r="M116" s="48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</row>
    <row r="117" spans="2:63" x14ac:dyDescent="0.15">
      <c r="B117" s="45" t="str">
        <f>IF(G117&lt;&gt;"",SUBTOTAL(3,$G$5:G117),"")</f>
        <v/>
      </c>
      <c r="C117" s="45"/>
      <c r="D117" s="45"/>
      <c r="E117" s="47"/>
      <c r="F117" s="47"/>
      <c r="G117" s="47"/>
      <c r="H117" s="46"/>
      <c r="I117" s="49"/>
      <c r="J117" s="48"/>
      <c r="K117" s="48"/>
      <c r="L117" s="48"/>
      <c r="M117" s="48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</row>
    <row r="118" spans="2:63" x14ac:dyDescent="0.15">
      <c r="B118" s="45" t="str">
        <f>IF(G118&lt;&gt;"",SUBTOTAL(3,$G$5:G118),"")</f>
        <v/>
      </c>
      <c r="C118" s="45"/>
      <c r="D118" s="45"/>
      <c r="E118" s="47"/>
      <c r="F118" s="47"/>
      <c r="G118" s="47"/>
      <c r="H118" s="46"/>
      <c r="I118" s="49"/>
      <c r="J118" s="48"/>
      <c r="K118" s="48"/>
      <c r="L118" s="48"/>
      <c r="M118" s="48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</row>
    <row r="119" spans="2:63" x14ac:dyDescent="0.15">
      <c r="B119" s="45" t="str">
        <f>IF(G119&lt;&gt;"",SUBTOTAL(3,$G$5:G119),"")</f>
        <v/>
      </c>
      <c r="C119" s="45"/>
      <c r="D119" s="45"/>
      <c r="E119" s="47"/>
      <c r="F119" s="47"/>
      <c r="G119" s="47"/>
      <c r="H119" s="46"/>
      <c r="I119" s="49"/>
      <c r="J119" s="48"/>
      <c r="K119" s="48"/>
      <c r="L119" s="48"/>
      <c r="M119" s="48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</row>
    <row r="120" spans="2:63" x14ac:dyDescent="0.15">
      <c r="B120" s="45" t="str">
        <f>IF(G120&lt;&gt;"",SUBTOTAL(3,$G$5:G120),"")</f>
        <v/>
      </c>
      <c r="C120" s="45"/>
      <c r="D120" s="45"/>
      <c r="E120" s="47"/>
      <c r="F120" s="47"/>
      <c r="G120" s="47"/>
      <c r="H120" s="46"/>
      <c r="I120" s="49"/>
      <c r="J120" s="48"/>
      <c r="K120" s="48"/>
      <c r="L120" s="48"/>
      <c r="M120" s="48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</row>
    <row r="121" spans="2:63" x14ac:dyDescent="0.15">
      <c r="B121" s="45" t="str">
        <f>IF(G121&lt;&gt;"",SUBTOTAL(3,$G$5:G121),"")</f>
        <v/>
      </c>
      <c r="C121" s="45"/>
      <c r="D121" s="45"/>
      <c r="E121" s="47"/>
      <c r="F121" s="47"/>
      <c r="G121" s="47"/>
      <c r="H121" s="46"/>
      <c r="I121" s="49"/>
      <c r="J121" s="48"/>
      <c r="K121" s="48"/>
      <c r="L121" s="48"/>
      <c r="M121" s="48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</row>
    <row r="122" spans="2:63" x14ac:dyDescent="0.15">
      <c r="B122" s="45" t="str">
        <f>IF(G122&lt;&gt;"",SUBTOTAL(3,$G$5:G122),"")</f>
        <v/>
      </c>
      <c r="C122" s="45"/>
      <c r="D122" s="45"/>
      <c r="E122" s="47"/>
      <c r="F122" s="47"/>
      <c r="G122" s="47"/>
      <c r="H122" s="46"/>
      <c r="I122" s="49"/>
      <c r="J122" s="48"/>
      <c r="K122" s="48"/>
      <c r="L122" s="48"/>
      <c r="M122" s="48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</row>
    <row r="123" spans="2:63" x14ac:dyDescent="0.15">
      <c r="B123" s="45" t="str">
        <f>IF(G123&lt;&gt;"",SUBTOTAL(3,$G$5:G123),"")</f>
        <v/>
      </c>
      <c r="C123" s="45"/>
      <c r="D123" s="45"/>
      <c r="E123" s="47"/>
      <c r="F123" s="47"/>
      <c r="G123" s="47"/>
      <c r="H123" s="46"/>
      <c r="I123" s="49"/>
      <c r="J123" s="48"/>
      <c r="K123" s="48"/>
      <c r="L123" s="48"/>
      <c r="M123" s="48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</row>
    <row r="124" spans="2:63" x14ac:dyDescent="0.15">
      <c r="B124" s="45" t="str">
        <f>IF(G124&lt;&gt;"",SUBTOTAL(3,$G$5:G124),"")</f>
        <v/>
      </c>
      <c r="C124" s="45"/>
      <c r="D124" s="45"/>
      <c r="E124" s="47"/>
      <c r="F124" s="47"/>
      <c r="G124" s="47"/>
      <c r="H124" s="46"/>
      <c r="I124" s="49"/>
      <c r="J124" s="48"/>
      <c r="K124" s="48"/>
      <c r="L124" s="48"/>
      <c r="M124" s="48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</row>
    <row r="125" spans="2:63" x14ac:dyDescent="0.15">
      <c r="B125" s="45" t="str">
        <f>IF(G125&lt;&gt;"",SUBTOTAL(3,$G$5:G125),"")</f>
        <v/>
      </c>
      <c r="C125" s="45"/>
      <c r="D125" s="45"/>
      <c r="E125" s="47"/>
      <c r="F125" s="47"/>
      <c r="G125" s="47"/>
      <c r="H125" s="46"/>
      <c r="I125" s="49"/>
      <c r="J125" s="48"/>
      <c r="K125" s="48"/>
      <c r="L125" s="48"/>
      <c r="M125" s="48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</row>
    <row r="126" spans="2:63" x14ac:dyDescent="0.15">
      <c r="B126" s="45" t="str">
        <f>IF(G126&lt;&gt;"",SUBTOTAL(3,$G$5:G126),"")</f>
        <v/>
      </c>
      <c r="C126" s="45"/>
      <c r="D126" s="45"/>
      <c r="E126" s="47"/>
      <c r="F126" s="47"/>
      <c r="G126" s="47"/>
      <c r="H126" s="46"/>
      <c r="I126" s="49"/>
      <c r="J126" s="48"/>
      <c r="K126" s="48"/>
      <c r="L126" s="48"/>
      <c r="M126" s="48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</row>
    <row r="127" spans="2:63" x14ac:dyDescent="0.15">
      <c r="B127" s="45" t="str">
        <f>IF(G127&lt;&gt;"",SUBTOTAL(3,$G$5:G127),"")</f>
        <v/>
      </c>
      <c r="C127" s="45"/>
      <c r="D127" s="45"/>
      <c r="E127" s="47"/>
      <c r="F127" s="47"/>
      <c r="G127" s="47"/>
      <c r="H127" s="46"/>
      <c r="I127" s="49"/>
      <c r="J127" s="48"/>
      <c r="K127" s="48"/>
      <c r="L127" s="48"/>
      <c r="M127" s="48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</row>
    <row r="128" spans="2:63" x14ac:dyDescent="0.15">
      <c r="B128" s="45" t="str">
        <f>IF(G128&lt;&gt;"",SUBTOTAL(3,$G$5:G128),"")</f>
        <v/>
      </c>
      <c r="C128" s="45"/>
      <c r="D128" s="45"/>
      <c r="E128" s="47"/>
      <c r="F128" s="47"/>
      <c r="G128" s="47"/>
      <c r="H128" s="46"/>
      <c r="I128" s="49"/>
      <c r="J128" s="48"/>
      <c r="K128" s="48"/>
      <c r="L128" s="48"/>
      <c r="M128" s="48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</row>
    <row r="129" spans="2:63" x14ac:dyDescent="0.15">
      <c r="B129" s="45" t="str">
        <f>IF(G129&lt;&gt;"",SUBTOTAL(3,$G$5:G129),"")</f>
        <v/>
      </c>
      <c r="C129" s="45"/>
      <c r="D129" s="45"/>
      <c r="E129" s="47"/>
      <c r="F129" s="47"/>
      <c r="G129" s="47"/>
      <c r="H129" s="46"/>
      <c r="I129" s="49"/>
      <c r="J129" s="48"/>
      <c r="K129" s="48"/>
      <c r="L129" s="48"/>
      <c r="M129" s="48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</row>
    <row r="130" spans="2:63" x14ac:dyDescent="0.15">
      <c r="B130" s="45" t="str">
        <f>IF(G130&lt;&gt;"",SUBTOTAL(3,$G$5:G130),"")</f>
        <v/>
      </c>
      <c r="C130" s="45"/>
      <c r="D130" s="45"/>
      <c r="E130" s="47"/>
      <c r="F130" s="47"/>
      <c r="G130" s="47"/>
      <c r="H130" s="46"/>
      <c r="I130" s="49"/>
      <c r="J130" s="48"/>
      <c r="K130" s="48"/>
      <c r="L130" s="48"/>
      <c r="M130" s="48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</row>
    <row r="131" spans="2:63" x14ac:dyDescent="0.15">
      <c r="B131" s="60" t="str">
        <f>IF(G131&lt;&gt;"",SUBTOTAL(3,$G$5:G131),"")</f>
        <v/>
      </c>
      <c r="C131" s="60"/>
      <c r="D131" s="60"/>
      <c r="E131" s="62"/>
      <c r="F131" s="62"/>
      <c r="G131" s="62"/>
      <c r="H131" s="61"/>
      <c r="I131" s="63"/>
      <c r="J131" s="64"/>
      <c r="K131" s="64"/>
      <c r="L131" s="64"/>
      <c r="M131" s="64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</row>
  </sheetData>
  <autoFilter ref="B4:L4" xr:uid="{EC9D46E6-4848-427D-B141-1058B6753FB4}"/>
  <mergeCells count="10">
    <mergeCell ref="M2:M3"/>
    <mergeCell ref="J2:J3"/>
    <mergeCell ref="E2:G2"/>
    <mergeCell ref="B2:B3"/>
    <mergeCell ref="H2:H3"/>
    <mergeCell ref="I2:I3"/>
    <mergeCell ref="K2:K3"/>
    <mergeCell ref="C2:C3"/>
    <mergeCell ref="D2:D3"/>
    <mergeCell ref="L2:L3"/>
  </mergeCells>
  <phoneticPr fontId="2"/>
  <conditionalFormatting sqref="K62 I58:K58 E20:G20 F21:I21 I59:I61 K59:L61 E5:I19 I22:I57 K5:L57 I20 E22:G89 H20:H89 B5:D89 I63:I89 K63:L89 M5:M89 B91:M101 B103:M115 B102:I102 K102:M102 B117:M131 B116:I116 K116:M116 J5:J89">
    <cfRule type="expression" dxfId="5" priority="27">
      <formula>AND($I5&lt;&gt;1,$I5&lt;&gt;"")</formula>
    </cfRule>
  </conditionalFormatting>
  <conditionalFormatting sqref="L58">
    <cfRule type="expression" dxfId="4" priority="16">
      <formula>AND($I58&lt;&gt;1,$I58&lt;&gt;"")</formula>
    </cfRule>
  </conditionalFormatting>
  <conditionalFormatting sqref="L62">
    <cfRule type="expression" dxfId="3" priority="15">
      <formula>AND($I62&lt;&gt;1,$I62&lt;&gt;"")</formula>
    </cfRule>
  </conditionalFormatting>
  <conditionalFormatting sqref="I62:J62">
    <cfRule type="expression" dxfId="2" priority="13">
      <formula>AND($I62&lt;&gt;1,$I62&lt;&gt;"")</formula>
    </cfRule>
  </conditionalFormatting>
  <conditionalFormatting sqref="E21">
    <cfRule type="expression" dxfId="1" priority="2">
      <formula>AND($I21&lt;&gt;1,$I21&lt;&gt;"")</formula>
    </cfRule>
  </conditionalFormatting>
  <conditionalFormatting sqref="B90:M90">
    <cfRule type="expression" dxfId="0" priority="1">
      <formula>AND($I90&lt;&gt;1,$I90&lt;&gt;"")</formula>
    </cfRule>
  </conditionalFormatting>
  <dataValidations count="1">
    <dataValidation type="list" allowBlank="1" showInputMessage="1" showErrorMessage="1" sqref="I5:I131" xr:uid="{CDD3132F-D59C-4B0A-9A7C-94B9D9A88440}">
      <formula1>"100%,80%,50%,30%,0%"</formula1>
    </dataValidation>
  </dataValidations>
  <hyperlinks>
    <hyperlink ref="M29" location="toABC114_C_755" display="(→)" xr:uid="{C3DBC3A8-8FB5-4AEF-8FA5-1088932AB54B}"/>
    <hyperlink ref="M63" location="toABC143_C_Slimes" display="(→)" xr:uid="{D0A14FDC-339D-483C-A7FB-42784F1DB2F9}"/>
    <hyperlink ref="M68" location="toABC147_C_Honest_or_Unkind2" display="(→)" xr:uid="{5E89EE6B-F278-4D19-9890-D06616736879}"/>
    <hyperlink ref="M70" location="toABC149_C_NextPrime" display="(→)" xr:uid="{B7EC79F3-9ECE-482D-BD97-C57882E1060F}"/>
    <hyperlink ref="J23" r:id="rId1" xr:uid="{1988CBCD-8136-4E24-871B-0BC94A4FA43E}"/>
    <hyperlink ref="J26" r:id="rId2" xr:uid="{ED6DC689-1256-4A23-B5D6-DE21FF16BB91}"/>
    <hyperlink ref="J100" r:id="rId3" xr:uid="{62A229DF-38B0-4492-B5CB-883FDFE67A0F}"/>
    <hyperlink ref="J37" r:id="rId4" xr:uid="{6BA9CA26-B899-4F3C-B3A2-06D1A4B49915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117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17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18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19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118</v>
      </c>
      <c r="AJ9" s="12"/>
      <c r="AL9" s="11" t="s">
        <v>118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21</v>
      </c>
      <c r="AJ10" s="12"/>
      <c r="AL10" s="11" t="s">
        <v>21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119</v>
      </c>
      <c r="AJ11" s="12"/>
      <c r="AL11" s="11" t="s">
        <v>119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120</v>
      </c>
      <c r="AJ12" s="12"/>
      <c r="AL12" s="11" t="s">
        <v>120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26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121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27</v>
      </c>
      <c r="AJ15" s="12"/>
      <c r="AL15" s="11" t="s">
        <v>27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29</v>
      </c>
      <c r="N16" s="11" t="s">
        <v>122</v>
      </c>
      <c r="AJ16" s="12"/>
      <c r="AL16" s="11" t="s">
        <v>123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31</v>
      </c>
      <c r="N17" s="11" t="s">
        <v>124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125</v>
      </c>
      <c r="AJ18" s="12"/>
      <c r="AL18" s="11" t="s">
        <v>122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126</v>
      </c>
      <c r="AJ19" s="12"/>
      <c r="AL19" s="11" t="s">
        <v>124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127</v>
      </c>
      <c r="AJ20" s="12"/>
      <c r="AL20" s="11" t="s">
        <v>125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128</v>
      </c>
      <c r="AJ21" s="12"/>
      <c r="AL21" s="11" t="s">
        <v>126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43</v>
      </c>
      <c r="AJ22" s="12"/>
      <c r="AL22" s="11" t="s">
        <v>127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72</v>
      </c>
      <c r="AJ23" s="12"/>
      <c r="AL23" s="11" t="s">
        <v>128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42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43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72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35</v>
      </c>
      <c r="N26" s="11" t="s">
        <v>129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42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45</v>
      </c>
      <c r="N27" s="11" t="s">
        <v>130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48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47</v>
      </c>
      <c r="N28" s="11" t="s">
        <v>131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48</v>
      </c>
      <c r="AJ29" s="12"/>
      <c r="AL29" s="11" t="s">
        <v>132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50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132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50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51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133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134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135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90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17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18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19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91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91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21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21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92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92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93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93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24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26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94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27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27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29</v>
      </c>
      <c r="N52" s="21" t="s">
        <v>95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31</v>
      </c>
      <c r="N53" s="21" t="s">
        <v>96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96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97</v>
      </c>
      <c r="N54" s="21" t="s">
        <v>98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99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45</v>
      </c>
      <c r="N56" s="21" t="s">
        <v>100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101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102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103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24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104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47</v>
      </c>
      <c r="N59" s="21" t="s">
        <v>105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106</v>
      </c>
      <c r="N60" s="21" t="s">
        <v>107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107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48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48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108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108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50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50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109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110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111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112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113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114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115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116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55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56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57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58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59</v>
      </c>
      <c r="AL84" s="3" t="s">
        <v>1</v>
      </c>
      <c r="AM84" s="3" t="s">
        <v>60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61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62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63</v>
      </c>
      <c r="AL88" s="3" t="s">
        <v>1</v>
      </c>
      <c r="AM88" s="3" t="s">
        <v>64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65</v>
      </c>
      <c r="AM89" s="3" t="s">
        <v>66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67</v>
      </c>
      <c r="AM90" s="3" t="s">
        <v>68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69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70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71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72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73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74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75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27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76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77</v>
      </c>
      <c r="AL102" s="3" t="s">
        <v>1</v>
      </c>
      <c r="AM102" s="3" t="s">
        <v>78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79</v>
      </c>
      <c r="AM103" s="3" t="s">
        <v>80</v>
      </c>
      <c r="AO103" s="3" t="s">
        <v>81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82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83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48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84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85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27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76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77</v>
      </c>
      <c r="AL114" s="3" t="s">
        <v>1</v>
      </c>
      <c r="AM114" s="3" t="s">
        <v>86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79</v>
      </c>
      <c r="AM115" s="3" t="s">
        <v>80</v>
      </c>
      <c r="AO115" s="3" t="s">
        <v>87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88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89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48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16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17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18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19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20</v>
      </c>
      <c r="AJ126" s="12"/>
      <c r="AL126" s="11" t="s">
        <v>20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21</v>
      </c>
      <c r="AJ127" s="12"/>
      <c r="AL127" s="11" t="s">
        <v>21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22</v>
      </c>
      <c r="AJ128" s="12"/>
      <c r="AL128" s="11" t="s">
        <v>23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24</v>
      </c>
      <c r="AJ129" s="12"/>
      <c r="AL129" s="11" t="s">
        <v>25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26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27</v>
      </c>
      <c r="AJ131" s="12"/>
      <c r="AL131" s="13" t="s">
        <v>28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29</v>
      </c>
      <c r="O132" s="11" t="s">
        <v>30</v>
      </c>
      <c r="AJ132" s="12"/>
      <c r="AL132" s="11" t="s">
        <v>27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31</v>
      </c>
      <c r="O133" s="11" t="s">
        <v>32</v>
      </c>
      <c r="AJ133" s="12"/>
      <c r="AL133" s="11" t="s">
        <v>33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24</v>
      </c>
      <c r="AJ134" s="12"/>
      <c r="AL134" s="11" t="s">
        <v>34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35</v>
      </c>
      <c r="O135" s="11" t="s">
        <v>36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37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38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39</v>
      </c>
      <c r="AJ137" s="12"/>
      <c r="AL137" s="11" t="s">
        <v>40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41</v>
      </c>
      <c r="AJ138" s="12"/>
      <c r="AL138" s="11" t="s">
        <v>38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39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43</v>
      </c>
      <c r="AJ140" s="12"/>
      <c r="AL140" s="11" t="s">
        <v>41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44</v>
      </c>
      <c r="AJ141" s="12"/>
      <c r="AL141" s="11" t="s">
        <v>42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45</v>
      </c>
      <c r="O142" s="11" t="s">
        <v>46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43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47</v>
      </c>
      <c r="O143" s="11" t="s">
        <v>33</v>
      </c>
      <c r="AJ143" s="12"/>
      <c r="AL143" s="11" t="s">
        <v>48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48</v>
      </c>
      <c r="AJ144" s="12"/>
      <c r="AL144" s="11" t="s">
        <v>49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50</v>
      </c>
      <c r="AJ145" s="12"/>
      <c r="AL145" s="11" t="s">
        <v>50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51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52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53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54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285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At_Coder_C問題</vt:lpstr>
      <vt:lpstr>C問題</vt:lpstr>
      <vt:lpstr>メモ内容</vt:lpstr>
      <vt:lpstr>At_Coder_C問題!_FilterDatabase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2020-10-04T12:29:08Z</dcterms:modified>
</cp:coreProperties>
</file>
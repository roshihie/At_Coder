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E33728D6-EFBF-4D84-9184-5ED0057CBDD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At_Coder_C問題!$K$22</definedName>
    <definedName name="fromABC143_C_Slimes">At_Coder_C問題!$K$56</definedName>
    <definedName name="fromABC147_C_Honest_or_Unkind2">At_Coder_C問題!$K$61</definedName>
    <definedName name="fromABC149_C_NextPrime">At_Coder_C問題!$K$63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5" i="3" l="1"/>
  <c r="B26" i="3"/>
  <c r="B27" i="3" l="1"/>
  <c r="B28" i="3" l="1"/>
  <c r="B29" i="3" l="1"/>
  <c r="B31" i="3" l="1"/>
  <c r="B32" i="3" l="1"/>
  <c r="B33" i="3" l="1"/>
  <c r="B34" i="3" l="1"/>
  <c r="B2035" i="3" l="1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24" i="3"/>
  <c r="B23" i="3"/>
  <c r="B22" i="3"/>
  <c r="B21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<sst xmlns="http://schemas.openxmlformats.org/spreadsheetml/2006/main" count="551" uniqueCount="273">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</sst>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5"/>
  <sheetViews>
    <sheetView tabSelected="1" zoomScale="115" zoomScaleNormal="115" workbookViewId="0">
      <pane xSplit="6" ySplit="4" topLeftCell="I16" activePane="bottomRight" state="frozen"/>
      <selection activeCell="L24" sqref="L24"/>
      <selection pane="topRight" activeCell="L24" sqref="L24"/>
      <selection pane="bottomLeft" activeCell="L24" sqref="L24"/>
      <selection pane="bottomRight" activeCell="J20" sqref="J20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7">
        <f>IF(F20&lt;&gt;"",SUBTOTAL(3,$F$5:F20),"")</f>
        <v>16</v>
      </c>
      <c r="C20" s="48">
        <v>44066</v>
      </c>
      <c r="D20" s="49" t="s">
        <v>144</v>
      </c>
      <c r="E20" s="49" t="s">
        <v>140</v>
      </c>
      <c r="F20" s="50" t="s">
        <v>271</v>
      </c>
      <c r="G20" s="51">
        <v>0</v>
      </c>
      <c r="H20" s="50" t="s">
        <v>272</v>
      </c>
      <c r="I20" s="50"/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43869</v>
      </c>
      <c r="D21" s="49" t="s">
        <v>144</v>
      </c>
      <c r="E21" s="49" t="s">
        <v>140</v>
      </c>
      <c r="F21" s="50" t="s">
        <v>121</v>
      </c>
      <c r="G21" s="51"/>
      <c r="H21" s="50"/>
      <c r="I21" s="50"/>
      <c r="J21" s="50"/>
      <c r="K21" s="50"/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43995</v>
      </c>
      <c r="D22" s="49" t="s">
        <v>144</v>
      </c>
      <c r="E22" s="49" t="s">
        <v>140</v>
      </c>
      <c r="F22" s="50" t="s">
        <v>166</v>
      </c>
      <c r="G22" s="51"/>
      <c r="H22" s="50"/>
      <c r="I22" s="50"/>
      <c r="J22" s="50"/>
      <c r="K22" s="50"/>
      <c r="L22" s="54" t="s">
        <v>17</v>
      </c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43961</v>
      </c>
      <c r="D23" s="49" t="s">
        <v>144</v>
      </c>
      <c r="E23" s="49" t="s">
        <v>140</v>
      </c>
      <c r="F23" s="50" t="s">
        <v>167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>
        <f>IF(F24&lt;&gt;"",SUBTOTAL(3,$F$5:F24),"")</f>
        <v>20</v>
      </c>
      <c r="C24" s="48">
        <v>43995</v>
      </c>
      <c r="D24" s="49" t="s">
        <v>144</v>
      </c>
      <c r="E24" s="49" t="s">
        <v>140</v>
      </c>
      <c r="F24" s="50" t="s">
        <v>168</v>
      </c>
      <c r="G24" s="51"/>
      <c r="H24" s="50"/>
      <c r="I24" s="50"/>
      <c r="J24" s="50"/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42.75" x14ac:dyDescent="0.15">
      <c r="B25" s="47">
        <f>IF(F25&lt;&gt;"",SUBTOTAL(3,$F$5:F25),"")</f>
        <v>21</v>
      </c>
      <c r="C25" s="48">
        <v>44058</v>
      </c>
      <c r="D25" s="49" t="s">
        <v>144</v>
      </c>
      <c r="E25" s="49" t="s">
        <v>140</v>
      </c>
      <c r="F25" s="50" t="s">
        <v>263</v>
      </c>
      <c r="G25" s="51">
        <v>1</v>
      </c>
      <c r="H25" s="50" t="s">
        <v>219</v>
      </c>
      <c r="I25" s="50" t="s">
        <v>264</v>
      </c>
      <c r="J25" s="50" t="s">
        <v>250</v>
      </c>
      <c r="K25" s="50" t="s">
        <v>251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199.5" x14ac:dyDescent="0.15">
      <c r="B26" s="47">
        <f>IF(F26&lt;&gt;"",SUBTOTAL(3,$F$5:F26),"")</f>
        <v>22</v>
      </c>
      <c r="C26" s="48">
        <v>44057</v>
      </c>
      <c r="D26" s="49" t="s">
        <v>144</v>
      </c>
      <c r="E26" s="49" t="s">
        <v>140</v>
      </c>
      <c r="F26" s="50" t="s">
        <v>262</v>
      </c>
      <c r="G26" s="51">
        <v>1</v>
      </c>
      <c r="H26" s="50" t="s">
        <v>219</v>
      </c>
      <c r="I26" s="50" t="s">
        <v>266</v>
      </c>
      <c r="J26" s="50" t="s">
        <v>250</v>
      </c>
      <c r="K26" s="50" t="s">
        <v>251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71.25" x14ac:dyDescent="0.15">
      <c r="B27" s="47">
        <f>IF(F27&lt;&gt;"",SUBTOTAL(3,$F$5:F27),"")</f>
        <v>23</v>
      </c>
      <c r="C27" s="48">
        <v>44053</v>
      </c>
      <c r="D27" s="49" t="s">
        <v>144</v>
      </c>
      <c r="E27" s="49" t="s">
        <v>140</v>
      </c>
      <c r="F27" s="50" t="s">
        <v>248</v>
      </c>
      <c r="G27" s="51">
        <v>0.3</v>
      </c>
      <c r="H27" s="50" t="s">
        <v>252</v>
      </c>
      <c r="I27" s="50" t="s">
        <v>253</v>
      </c>
      <c r="J27" s="50" t="s">
        <v>250</v>
      </c>
      <c r="K27" s="50" t="s">
        <v>251</v>
      </c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42.75" x14ac:dyDescent="0.15">
      <c r="B28" s="47">
        <f>IF(F28&lt;&gt;"",SUBTOTAL(3,$F$5:F28),"")</f>
        <v>24</v>
      </c>
      <c r="C28" s="48">
        <v>44045</v>
      </c>
      <c r="D28" s="49" t="s">
        <v>144</v>
      </c>
      <c r="E28" s="49" t="s">
        <v>140</v>
      </c>
      <c r="F28" s="50" t="s">
        <v>244</v>
      </c>
      <c r="G28" s="51">
        <v>1</v>
      </c>
      <c r="H28" s="50"/>
      <c r="I28" s="50" t="s">
        <v>245</v>
      </c>
      <c r="J28" s="50" t="s">
        <v>246</v>
      </c>
      <c r="K28" s="50"/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99.75" x14ac:dyDescent="0.15">
      <c r="B29" s="47">
        <f>IF(F29&lt;&gt;"",SUBTOTAL(3,$F$5:F29),"")</f>
        <v>25</v>
      </c>
      <c r="C29" s="48">
        <v>44045</v>
      </c>
      <c r="D29" s="49" t="s">
        <v>144</v>
      </c>
      <c r="E29" s="49" t="s">
        <v>140</v>
      </c>
      <c r="F29" s="50" t="s">
        <v>238</v>
      </c>
      <c r="G29" s="51">
        <v>0.8</v>
      </c>
      <c r="H29" s="50"/>
      <c r="I29" s="50" t="s">
        <v>249</v>
      </c>
      <c r="J29" s="50" t="s">
        <v>239</v>
      </c>
      <c r="K29" s="50" t="s">
        <v>241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x14ac:dyDescent="0.15">
      <c r="B30" s="47"/>
      <c r="C30" s="48"/>
      <c r="D30" s="49"/>
      <c r="E30" s="49"/>
      <c r="F30" s="50"/>
      <c r="G30" s="51">
        <v>0.8</v>
      </c>
      <c r="H30" s="50"/>
      <c r="I30" s="56" t="s">
        <v>240</v>
      </c>
      <c r="J30" s="50"/>
      <c r="K30" s="50"/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142.5" x14ac:dyDescent="0.15">
      <c r="B31" s="47">
        <f>IF(F31&lt;&gt;"",SUBTOTAL(3,$F$5:F31),"")</f>
        <v>26</v>
      </c>
      <c r="C31" s="48">
        <v>44045</v>
      </c>
      <c r="D31" s="49" t="s">
        <v>144</v>
      </c>
      <c r="E31" s="49" t="s">
        <v>140</v>
      </c>
      <c r="F31" s="50" t="s">
        <v>233</v>
      </c>
      <c r="G31" s="51">
        <v>1</v>
      </c>
      <c r="H31" s="50" t="s">
        <v>218</v>
      </c>
      <c r="I31" s="50" t="s">
        <v>234</v>
      </c>
      <c r="J31" s="50" t="s">
        <v>235</v>
      </c>
      <c r="K31" s="50" t="s">
        <v>237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71.25" x14ac:dyDescent="0.15">
      <c r="B32" s="47">
        <f>IF(F32&lt;&gt;"",SUBTOTAL(3,$F$5:F32),"")</f>
        <v>27</v>
      </c>
      <c r="C32" s="48">
        <v>44044</v>
      </c>
      <c r="D32" s="49" t="s">
        <v>144</v>
      </c>
      <c r="E32" s="49" t="s">
        <v>140</v>
      </c>
      <c r="F32" s="50" t="s">
        <v>231</v>
      </c>
      <c r="G32" s="51">
        <v>1</v>
      </c>
      <c r="H32" s="50" t="s">
        <v>218</v>
      </c>
      <c r="I32" s="50" t="s">
        <v>232</v>
      </c>
      <c r="J32" s="50" t="s">
        <v>254</v>
      </c>
      <c r="K32" s="50" t="s">
        <v>236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28</v>
      </c>
      <c r="C33" s="48">
        <v>44038</v>
      </c>
      <c r="D33" s="49" t="s">
        <v>144</v>
      </c>
      <c r="E33" s="49" t="s">
        <v>140</v>
      </c>
      <c r="F33" s="50" t="s">
        <v>228</v>
      </c>
      <c r="G33" s="51">
        <v>1</v>
      </c>
      <c r="H33" s="50" t="s">
        <v>218</v>
      </c>
      <c r="I33" s="50" t="s">
        <v>229</v>
      </c>
      <c r="J33" s="50" t="s">
        <v>230</v>
      </c>
      <c r="K33" s="50" t="s">
        <v>255</v>
      </c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71.25" x14ac:dyDescent="0.15">
      <c r="B34" s="47">
        <f>IF(F34&lt;&gt;"",SUBTOTAL(3,$F$5:F34),"")</f>
        <v>29</v>
      </c>
      <c r="C34" s="48">
        <v>44038</v>
      </c>
      <c r="D34" s="49" t="s">
        <v>144</v>
      </c>
      <c r="E34" s="49" t="s">
        <v>140</v>
      </c>
      <c r="F34" s="50" t="s">
        <v>221</v>
      </c>
      <c r="G34" s="51">
        <v>1</v>
      </c>
      <c r="H34" s="50" t="s">
        <v>218</v>
      </c>
      <c r="I34" s="50" t="s">
        <v>226</v>
      </c>
      <c r="J34" s="50" t="s">
        <v>224</v>
      </c>
      <c r="K34" s="50" t="s">
        <v>227</v>
      </c>
      <c r="L34" s="54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28.5" x14ac:dyDescent="0.15">
      <c r="B35" s="47">
        <f>IF(F35&lt;&gt;"",SUBTOTAL(3,$F$5:F35),"")</f>
        <v>30</v>
      </c>
      <c r="C35" s="48">
        <v>43960</v>
      </c>
      <c r="D35" s="49" t="s">
        <v>144</v>
      </c>
      <c r="E35" s="49" t="s">
        <v>140</v>
      </c>
      <c r="F35" s="50" t="s">
        <v>169</v>
      </c>
      <c r="G35" s="51">
        <v>1</v>
      </c>
      <c r="H35" s="50" t="s">
        <v>218</v>
      </c>
      <c r="I35" s="50" t="s">
        <v>148</v>
      </c>
      <c r="J35" s="50" t="s">
        <v>147</v>
      </c>
      <c r="K35" s="50" t="s">
        <v>149</v>
      </c>
      <c r="L35" s="54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71.25" x14ac:dyDescent="0.15">
      <c r="B36" s="47">
        <f>IF(F36&lt;&gt;"",SUBTOTAL(3,$F$5:F36),"")</f>
        <v>31</v>
      </c>
      <c r="C36" s="48">
        <v>44036</v>
      </c>
      <c r="D36" s="49" t="s">
        <v>144</v>
      </c>
      <c r="E36" s="49" t="s">
        <v>140</v>
      </c>
      <c r="F36" s="50" t="s">
        <v>170</v>
      </c>
      <c r="G36" s="51">
        <v>0.3</v>
      </c>
      <c r="H36" s="50" t="s">
        <v>256</v>
      </c>
      <c r="I36" s="57" t="s">
        <v>247</v>
      </c>
      <c r="J36" s="50" t="s">
        <v>257</v>
      </c>
      <c r="K36" s="57" t="s">
        <v>225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44013</v>
      </c>
      <c r="D37" s="49" t="s">
        <v>144</v>
      </c>
      <c r="E37" s="49" t="s">
        <v>140</v>
      </c>
      <c r="F37" s="50" t="s">
        <v>171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44010</v>
      </c>
      <c r="D38" s="49" t="s">
        <v>144</v>
      </c>
      <c r="E38" s="49" t="s">
        <v>140</v>
      </c>
      <c r="F38" s="50" t="s">
        <v>172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44010</v>
      </c>
      <c r="D39" s="49" t="s">
        <v>144</v>
      </c>
      <c r="E39" s="49" t="s">
        <v>140</v>
      </c>
      <c r="F39" s="50" t="s">
        <v>173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44007</v>
      </c>
      <c r="D40" s="49" t="s">
        <v>144</v>
      </c>
      <c r="E40" s="49" t="s">
        <v>140</v>
      </c>
      <c r="F40" s="50" t="s">
        <v>174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44006</v>
      </c>
      <c r="D41" s="49" t="s">
        <v>144</v>
      </c>
      <c r="E41" s="49" t="s">
        <v>140</v>
      </c>
      <c r="F41" s="50" t="s">
        <v>175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44003</v>
      </c>
      <c r="D42" s="49" t="s">
        <v>144</v>
      </c>
      <c r="E42" s="49" t="s">
        <v>140</v>
      </c>
      <c r="F42" s="50" t="s">
        <v>176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44000</v>
      </c>
      <c r="D43" s="49" t="s">
        <v>144</v>
      </c>
      <c r="E43" s="49" t="s">
        <v>140</v>
      </c>
      <c r="F43" s="50" t="s">
        <v>177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43996</v>
      </c>
      <c r="D44" s="49" t="s">
        <v>144</v>
      </c>
      <c r="E44" s="49" t="s">
        <v>140</v>
      </c>
      <c r="F44" s="50" t="s">
        <v>178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40</v>
      </c>
      <c r="C45" s="48">
        <v>43996</v>
      </c>
      <c r="D45" s="49" t="s">
        <v>144</v>
      </c>
      <c r="E45" s="49" t="s">
        <v>140</v>
      </c>
      <c r="F45" s="50" t="s">
        <v>179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41</v>
      </c>
      <c r="C46" s="48">
        <v>43996</v>
      </c>
      <c r="D46" s="49" t="s">
        <v>144</v>
      </c>
      <c r="E46" s="49" t="s">
        <v>140</v>
      </c>
      <c r="F46" s="50" t="s">
        <v>180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42</v>
      </c>
      <c r="C47" s="48">
        <v>43995</v>
      </c>
      <c r="D47" s="49" t="s">
        <v>144</v>
      </c>
      <c r="E47" s="49" t="s">
        <v>140</v>
      </c>
      <c r="F47" s="50" t="s">
        <v>181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43</v>
      </c>
      <c r="C48" s="48">
        <v>43995</v>
      </c>
      <c r="D48" s="49" t="s">
        <v>144</v>
      </c>
      <c r="E48" s="49" t="s">
        <v>140</v>
      </c>
      <c r="F48" s="50" t="s">
        <v>182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44</v>
      </c>
      <c r="C49" s="48">
        <v>43982</v>
      </c>
      <c r="D49" s="49" t="s">
        <v>144</v>
      </c>
      <c r="E49" s="49" t="s">
        <v>140</v>
      </c>
      <c r="F49" s="58" t="s">
        <v>183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s="39" customFormat="1" ht="13.5" customHeight="1" x14ac:dyDescent="0.15">
      <c r="B50" s="59">
        <f>IF(F50&lt;&gt;"",SUBTOTAL(3,$F$5:F50),"")</f>
        <v>45</v>
      </c>
      <c r="C50" s="48">
        <v>43995</v>
      </c>
      <c r="D50" s="60" t="s">
        <v>144</v>
      </c>
      <c r="E50" s="60" t="s">
        <v>140</v>
      </c>
      <c r="F50" s="58" t="s">
        <v>184</v>
      </c>
      <c r="G50" s="51"/>
      <c r="H50" s="58"/>
      <c r="I50" s="58"/>
      <c r="J50" s="58"/>
      <c r="K50" s="58"/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71" x14ac:dyDescent="0.15">
      <c r="B51" s="59">
        <f>IF(F51&lt;&gt;"",SUBTOTAL(3,$F$5:F51),"")</f>
        <v>46</v>
      </c>
      <c r="C51" s="48">
        <v>43955</v>
      </c>
      <c r="D51" s="60" t="s">
        <v>144</v>
      </c>
      <c r="E51" s="60" t="s">
        <v>140</v>
      </c>
      <c r="F51" s="58" t="s">
        <v>185</v>
      </c>
      <c r="G51" s="51">
        <v>1</v>
      </c>
      <c r="H51" s="58" t="s">
        <v>218</v>
      </c>
      <c r="I51" s="50" t="s">
        <v>265</v>
      </c>
      <c r="J51" s="50" t="s">
        <v>250</v>
      </c>
      <c r="K51" s="50" t="s">
        <v>251</v>
      </c>
      <c r="L51" s="58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43967</v>
      </c>
      <c r="D52" s="60" t="s">
        <v>144</v>
      </c>
      <c r="E52" s="60" t="s">
        <v>140</v>
      </c>
      <c r="F52" s="58" t="s">
        <v>186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ht="13.5" customHeight="1" x14ac:dyDescent="0.15">
      <c r="B53" s="59">
        <f>IF(F53&lt;&gt;"",SUBTOTAL(3,$F$5:F53),"")</f>
        <v>48</v>
      </c>
      <c r="C53" s="48">
        <v>43870</v>
      </c>
      <c r="D53" s="60" t="s">
        <v>144</v>
      </c>
      <c r="E53" s="60" t="s">
        <v>140</v>
      </c>
      <c r="F53" s="58" t="s">
        <v>187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x14ac:dyDescent="0.15">
      <c r="B54" s="59">
        <f>IF(F54&lt;&gt;"",SUBTOTAL(3,$F$5:F54),"")</f>
        <v>49</v>
      </c>
      <c r="C54" s="48">
        <v>43869</v>
      </c>
      <c r="D54" s="60" t="s">
        <v>144</v>
      </c>
      <c r="E54" s="60" t="s">
        <v>140</v>
      </c>
      <c r="F54" s="58" t="s">
        <v>188</v>
      </c>
      <c r="G54" s="51"/>
      <c r="H54" s="58"/>
      <c r="I54" s="58"/>
      <c r="J54" s="58"/>
      <c r="K54" s="58"/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56.75" x14ac:dyDescent="0.15">
      <c r="B55" s="59">
        <f>IF(F55&lt;&gt;"",SUBTOTAL(3,$F$5:F55),"")</f>
        <v>50</v>
      </c>
      <c r="C55" s="48">
        <v>43961</v>
      </c>
      <c r="D55" s="60" t="s">
        <v>144</v>
      </c>
      <c r="E55" s="60" t="s">
        <v>140</v>
      </c>
      <c r="F55" s="58" t="s">
        <v>94</v>
      </c>
      <c r="G55" s="51">
        <v>1</v>
      </c>
      <c r="H55" s="58" t="s">
        <v>219</v>
      </c>
      <c r="I55" s="50" t="s">
        <v>267</v>
      </c>
      <c r="J55" s="50" t="s">
        <v>250</v>
      </c>
      <c r="K55" s="50" t="s">
        <v>251</v>
      </c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43961</v>
      </c>
      <c r="D56" s="60" t="s">
        <v>144</v>
      </c>
      <c r="E56" s="60" t="s">
        <v>140</v>
      </c>
      <c r="F56" s="58" t="s">
        <v>189</v>
      </c>
      <c r="G56" s="51"/>
      <c r="H56" s="58"/>
      <c r="I56" s="58"/>
      <c r="J56" s="58"/>
      <c r="K56" s="58"/>
      <c r="L56" s="61" t="s">
        <v>17</v>
      </c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43995</v>
      </c>
      <c r="D57" s="60" t="s">
        <v>144</v>
      </c>
      <c r="E57" s="60" t="s">
        <v>140</v>
      </c>
      <c r="F57" s="58" t="s">
        <v>190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43961</v>
      </c>
      <c r="D58" s="60" t="s">
        <v>144</v>
      </c>
      <c r="E58" s="60" t="s">
        <v>140</v>
      </c>
      <c r="F58" s="58" t="s">
        <v>191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43961</v>
      </c>
      <c r="D59" s="60" t="s">
        <v>144</v>
      </c>
      <c r="E59" s="60" t="s">
        <v>140</v>
      </c>
      <c r="F59" s="58" t="s">
        <v>192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43995</v>
      </c>
      <c r="D60" s="60" t="s">
        <v>144</v>
      </c>
      <c r="E60" s="60" t="s">
        <v>140</v>
      </c>
      <c r="F60" s="58" t="s">
        <v>193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44006</v>
      </c>
      <c r="D61" s="60" t="s">
        <v>144</v>
      </c>
      <c r="E61" s="60" t="s">
        <v>140</v>
      </c>
      <c r="F61" s="58" t="s">
        <v>194</v>
      </c>
      <c r="G61" s="51"/>
      <c r="H61" s="58"/>
      <c r="I61" s="58"/>
      <c r="J61" s="58"/>
      <c r="K61" s="58"/>
      <c r="L61" s="61" t="s">
        <v>17</v>
      </c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43995</v>
      </c>
      <c r="D62" s="60" t="s">
        <v>144</v>
      </c>
      <c r="E62" s="60" t="s">
        <v>140</v>
      </c>
      <c r="F62" s="58" t="s">
        <v>20</v>
      </c>
      <c r="G62" s="51"/>
      <c r="H62" s="58"/>
      <c r="I62" s="58"/>
      <c r="J62" s="58"/>
      <c r="K62" s="58"/>
      <c r="L62" s="61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43871</v>
      </c>
      <c r="D63" s="60" t="s">
        <v>144</v>
      </c>
      <c r="E63" s="60" t="s">
        <v>140</v>
      </c>
      <c r="F63" s="58" t="s">
        <v>195</v>
      </c>
      <c r="G63" s="51"/>
      <c r="H63" s="58"/>
      <c r="I63" s="58"/>
      <c r="J63" s="58"/>
      <c r="K63" s="58"/>
      <c r="L63" s="61" t="s">
        <v>17</v>
      </c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43936</v>
      </c>
      <c r="D64" s="60" t="s">
        <v>144</v>
      </c>
      <c r="E64" s="60" t="s">
        <v>140</v>
      </c>
      <c r="F64" s="58" t="s">
        <v>196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43935</v>
      </c>
      <c r="D65" s="60" t="s">
        <v>144</v>
      </c>
      <c r="E65" s="60" t="s">
        <v>140</v>
      </c>
      <c r="F65" s="58" t="s">
        <v>197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43919</v>
      </c>
      <c r="D66" s="60" t="s">
        <v>144</v>
      </c>
      <c r="E66" s="60" t="s">
        <v>140</v>
      </c>
      <c r="F66" s="58" t="s">
        <v>198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43995</v>
      </c>
      <c r="D67" s="60" t="s">
        <v>144</v>
      </c>
      <c r="E67" s="60" t="s">
        <v>140</v>
      </c>
      <c r="F67" s="58" t="s">
        <v>199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43975</v>
      </c>
      <c r="D68" s="60" t="s">
        <v>144</v>
      </c>
      <c r="E68" s="60" t="s">
        <v>140</v>
      </c>
      <c r="F68" s="58" t="s">
        <v>200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43975</v>
      </c>
      <c r="D69" s="60" t="s">
        <v>144</v>
      </c>
      <c r="E69" s="60" t="s">
        <v>140</v>
      </c>
      <c r="F69" s="58" t="s">
        <v>201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43975</v>
      </c>
      <c r="D70" s="60" t="s">
        <v>144</v>
      </c>
      <c r="E70" s="60" t="s">
        <v>140</v>
      </c>
      <c r="F70" s="58" t="s">
        <v>202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43975</v>
      </c>
      <c r="D71" s="60" t="s">
        <v>144</v>
      </c>
      <c r="E71" s="60" t="s">
        <v>140</v>
      </c>
      <c r="F71" s="58" t="s">
        <v>203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43977</v>
      </c>
      <c r="D72" s="60" t="s">
        <v>144</v>
      </c>
      <c r="E72" s="60" t="s">
        <v>140</v>
      </c>
      <c r="F72" s="58" t="s">
        <v>204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43977</v>
      </c>
      <c r="D73" s="60" t="s">
        <v>144</v>
      </c>
      <c r="E73" s="60" t="s">
        <v>140</v>
      </c>
      <c r="F73" s="58" t="s">
        <v>205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43977</v>
      </c>
      <c r="D74" s="60" t="s">
        <v>144</v>
      </c>
      <c r="E74" s="60" t="s">
        <v>140</v>
      </c>
      <c r="F74" s="58" t="s">
        <v>206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43995</v>
      </c>
      <c r="D75" s="60" t="s">
        <v>144</v>
      </c>
      <c r="E75" s="60" t="s">
        <v>140</v>
      </c>
      <c r="F75" s="58" t="s">
        <v>207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43982</v>
      </c>
      <c r="D76" s="60" t="s">
        <v>144</v>
      </c>
      <c r="E76" s="60" t="s">
        <v>140</v>
      </c>
      <c r="F76" s="58" t="s">
        <v>208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43989</v>
      </c>
      <c r="D77" s="60" t="s">
        <v>144</v>
      </c>
      <c r="E77" s="60" t="s">
        <v>140</v>
      </c>
      <c r="F77" s="58" t="s">
        <v>209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43989</v>
      </c>
      <c r="D78" s="60" t="s">
        <v>144</v>
      </c>
      <c r="E78" s="60" t="s">
        <v>140</v>
      </c>
      <c r="F78" s="58" t="s">
        <v>210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43991</v>
      </c>
      <c r="D79" s="60" t="s">
        <v>144</v>
      </c>
      <c r="E79" s="60" t="s">
        <v>140</v>
      </c>
      <c r="F79" s="58" t="s">
        <v>211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43991</v>
      </c>
      <c r="D80" s="60" t="s">
        <v>144</v>
      </c>
      <c r="E80" s="60" t="s">
        <v>140</v>
      </c>
      <c r="F80" s="58" t="s">
        <v>212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76</v>
      </c>
      <c r="C81" s="48">
        <v>43992</v>
      </c>
      <c r="D81" s="60" t="s">
        <v>144</v>
      </c>
      <c r="E81" s="60" t="s">
        <v>140</v>
      </c>
      <c r="F81" s="58" t="s">
        <v>213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77</v>
      </c>
      <c r="C82" s="48">
        <v>43994</v>
      </c>
      <c r="D82" s="60" t="s">
        <v>144</v>
      </c>
      <c r="E82" s="60" t="s">
        <v>140</v>
      </c>
      <c r="F82" s="58" t="s">
        <v>214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78</v>
      </c>
      <c r="C83" s="48">
        <v>43995</v>
      </c>
      <c r="D83" s="60" t="s">
        <v>144</v>
      </c>
      <c r="E83" s="60" t="s">
        <v>140</v>
      </c>
      <c r="F83" s="58" t="s">
        <v>215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57" x14ac:dyDescent="0.15">
      <c r="B84" s="59">
        <f>IF(F84&lt;&gt;"",SUBTOTAL(3,$F$5:F84),"")</f>
        <v>79</v>
      </c>
      <c r="C84" s="48">
        <v>43997</v>
      </c>
      <c r="D84" s="60" t="s">
        <v>144</v>
      </c>
      <c r="E84" s="60" t="s">
        <v>140</v>
      </c>
      <c r="F84" s="58" t="s">
        <v>216</v>
      </c>
      <c r="G84" s="51">
        <v>1</v>
      </c>
      <c r="H84" s="58" t="s">
        <v>218</v>
      </c>
      <c r="I84" s="58" t="s">
        <v>268</v>
      </c>
      <c r="J84" s="58" t="s">
        <v>269</v>
      </c>
      <c r="K84" s="58" t="s">
        <v>270</v>
      </c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80</v>
      </c>
      <c r="C85" s="48">
        <v>44004</v>
      </c>
      <c r="D85" s="60" t="s">
        <v>144</v>
      </c>
      <c r="E85" s="60" t="s">
        <v>140</v>
      </c>
      <c r="F85" s="58" t="s">
        <v>217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15.5" x14ac:dyDescent="0.15">
      <c r="B86" s="59">
        <f>IF(F86&lt;&gt;"",SUBTOTAL(3,$F$5:F86),"")</f>
        <v>81</v>
      </c>
      <c r="C86" s="48">
        <v>44030</v>
      </c>
      <c r="D86" s="60" t="s">
        <v>144</v>
      </c>
      <c r="E86" s="60" t="s">
        <v>150</v>
      </c>
      <c r="F86" s="60" t="s">
        <v>220</v>
      </c>
      <c r="G86" s="51">
        <v>1</v>
      </c>
      <c r="H86" s="58" t="s">
        <v>219</v>
      </c>
      <c r="I86" s="58" t="s">
        <v>258</v>
      </c>
      <c r="J86" s="58" t="s">
        <v>222</v>
      </c>
      <c r="K86" s="58" t="s">
        <v>223</v>
      </c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57" x14ac:dyDescent="0.15">
      <c r="B87" s="59">
        <f>IF(F87&lt;&gt;"",SUBTOTAL(3,$F$5:F87),"")</f>
        <v>82</v>
      </c>
      <c r="C87" s="48">
        <v>44052</v>
      </c>
      <c r="D87" s="60" t="s">
        <v>144</v>
      </c>
      <c r="E87" s="60" t="s">
        <v>150</v>
      </c>
      <c r="F87" s="60" t="s">
        <v>242</v>
      </c>
      <c r="G87" s="51">
        <v>0.5</v>
      </c>
      <c r="H87" s="58" t="s">
        <v>259</v>
      </c>
      <c r="I87" s="58" t="s">
        <v>260</v>
      </c>
      <c r="J87" s="58" t="s">
        <v>243</v>
      </c>
      <c r="K87" s="58" t="s">
        <v>261</v>
      </c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 t="str">
        <f>IF(F89&lt;&gt;"",SUBTOTAL(3,$F$5:F89),"")</f>
        <v/>
      </c>
      <c r="C89" s="48"/>
      <c r="D89" s="60"/>
      <c r="E89" s="60"/>
      <c r="F89" s="60"/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 t="str">
        <f>IF(F90&lt;&gt;"",SUBTOTAL(3,$F$5:F90),"")</f>
        <v/>
      </c>
      <c r="C90" s="48"/>
      <c r="D90" s="60"/>
      <c r="E90" s="60"/>
      <c r="F90" s="60"/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 t="str">
        <f>IF(F91&lt;&gt;"",SUBTOTAL(3,$F$5:F91),"")</f>
        <v/>
      </c>
      <c r="C91" s="48"/>
      <c r="D91" s="60"/>
      <c r="E91" s="60"/>
      <c r="F91" s="60"/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 t="str">
        <f>IF(F92&lt;&gt;"",SUBTOTAL(3,$F$5:F92),"")</f>
        <v/>
      </c>
      <c r="C92" s="48"/>
      <c r="D92" s="60"/>
      <c r="E92" s="60"/>
      <c r="F92" s="60"/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13.5" customHeight="1" x14ac:dyDescent="0.15">
      <c r="B93" s="59" t="str">
        <f>IF(F93&lt;&gt;"",SUBTOTAL(3,$F$5:F93),"")</f>
        <v/>
      </c>
      <c r="C93" s="48"/>
      <c r="D93" s="60"/>
      <c r="E93" s="60"/>
      <c r="F93" s="60"/>
      <c r="G93" s="51"/>
      <c r="H93" s="58"/>
      <c r="I93" s="58"/>
      <c r="J93" s="58"/>
      <c r="K93" s="58"/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ht="13.5" customHeight="1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ht="13.5" customHeight="1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5"/>
      <c r="AR138" s="55"/>
      <c r="AS138" s="55"/>
      <c r="AT138" s="55"/>
      <c r="AU138" s="55"/>
      <c r="AV138" s="55"/>
      <c r="AW138" s="55"/>
      <c r="AX138" s="55"/>
      <c r="AY138" s="55"/>
      <c r="AZ138" s="55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62" t="str">
        <f>IF(F2035&lt;&gt;"",SUBTOTAL(3,$F$5:F2035),"")</f>
        <v/>
      </c>
      <c r="C2035" s="63"/>
      <c r="D2035" s="64"/>
      <c r="E2035" s="64"/>
      <c r="F2035" s="64"/>
      <c r="G2035" s="65"/>
      <c r="H2035" s="66"/>
      <c r="I2035" s="66"/>
      <c r="J2035" s="66"/>
      <c r="K2035" s="66"/>
      <c r="L2035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19 B34:L50 B52:L54 B51:H51 L51 B56:L2035 B55:F55 L55 H55 B21:L24">
    <cfRule type="expression" dxfId="15" priority="18">
      <formula>AND($G5&lt;&gt;1,$G5&lt;&gt;"")</formula>
    </cfRule>
  </conditionalFormatting>
  <conditionalFormatting sqref="B33:L33">
    <cfRule type="expression" dxfId="14" priority="17">
      <formula>AND($G33&lt;&gt;1,$G33&lt;&gt;"")</formula>
    </cfRule>
  </conditionalFormatting>
  <conditionalFormatting sqref="B32:L32">
    <cfRule type="expression" dxfId="13" priority="16">
      <formula>AND($G32&lt;&gt;1,$G32&lt;&gt;"")</formula>
    </cfRule>
  </conditionalFormatting>
  <conditionalFormatting sqref="B31:L31">
    <cfRule type="expression" dxfId="12" priority="15">
      <formula>AND($G31&lt;&gt;1,$G31&lt;&gt;"")</formula>
    </cfRule>
  </conditionalFormatting>
  <conditionalFormatting sqref="B29:L29">
    <cfRule type="expression" dxfId="11" priority="14">
      <formula>AND($G29&lt;&gt;1,$G29&lt;&gt;"")</formula>
    </cfRule>
  </conditionalFormatting>
  <conditionalFormatting sqref="B30:L30">
    <cfRule type="expression" dxfId="10" priority="13">
      <formula>AND($G30&lt;&gt;1,$G30&lt;&gt;"")</formula>
    </cfRule>
  </conditionalFormatting>
  <conditionalFormatting sqref="B28:L28">
    <cfRule type="expression" dxfId="9" priority="12">
      <formula>AND($G28&lt;&gt;1,$G28&lt;&gt;"")</formula>
    </cfRule>
  </conditionalFormatting>
  <conditionalFormatting sqref="B27:L27">
    <cfRule type="expression" dxfId="8" priority="11">
      <formula>AND($G27&lt;&gt;1,$G27&lt;&gt;"")</formula>
    </cfRule>
  </conditionalFormatting>
  <conditionalFormatting sqref="B26:L26">
    <cfRule type="expression" dxfId="7" priority="10">
      <formula>AND($G26&lt;&gt;1,$G26&lt;&gt;"")</formula>
    </cfRule>
  </conditionalFormatting>
  <conditionalFormatting sqref="B25:L25">
    <cfRule type="expression" dxfId="6" priority="9">
      <formula>AND($G25&lt;&gt;1,$G25&lt;&gt;"")</formula>
    </cfRule>
  </conditionalFormatting>
  <conditionalFormatting sqref="I51">
    <cfRule type="expression" dxfId="5" priority="7">
      <formula>AND($G51&lt;&gt;1,$G51&lt;&gt;"")</formula>
    </cfRule>
  </conditionalFormatting>
  <conditionalFormatting sqref="I55">
    <cfRule type="expression" dxfId="4" priority="6">
      <formula>AND($G55&lt;&gt;1,$G55&lt;&gt;"")</formula>
    </cfRule>
  </conditionalFormatting>
  <conditionalFormatting sqref="G55">
    <cfRule type="expression" dxfId="3" priority="4">
      <formula>AND($G55&lt;&gt;1,$G55&lt;&gt;"")</formula>
    </cfRule>
  </conditionalFormatting>
  <conditionalFormatting sqref="J55:K55">
    <cfRule type="expression" dxfId="2" priority="3">
      <formula>AND($G55&lt;&gt;1,$G55&lt;&gt;"")</formula>
    </cfRule>
  </conditionalFormatting>
  <conditionalFormatting sqref="J51:K51">
    <cfRule type="expression" dxfId="1" priority="2">
      <formula>AND($G51&lt;&gt;1,$G51&lt;&gt;"")</formula>
    </cfRule>
  </conditionalFormatting>
  <conditionalFormatting sqref="B20:L20">
    <cfRule type="expression" dxfId="0" priority="1">
      <formula>AND($G20&lt;&gt;1,$G20&lt;&gt;"")</formula>
    </cfRule>
  </conditionalFormatting>
  <dataValidations disablePrompts="1" count="1">
    <dataValidation type="list" allowBlank="1" showInputMessage="1" showErrorMessage="1" sqref="G5:G2035" xr:uid="{CDD3132F-D59C-4B0A-9A7C-94B9D9A88440}">
      <formula1>"100%,80%,50%,30%,0%"</formula1>
    </dataValidation>
  </dataValidations>
  <hyperlinks>
    <hyperlink ref="L22" location="toABC114_C_755" display="(→)" xr:uid="{C3DBC3A8-8FB5-4AEF-8FA5-1088932AB54B}"/>
    <hyperlink ref="L56" location="toABC143_C_Slimes" display="(→)" xr:uid="{D0A14FDC-339D-483C-A7FB-42784F1DB2F9}"/>
    <hyperlink ref="L61" location="toABC147_C_Honest_or_Unkind2" display="(→)" xr:uid="{5E89EE6B-F278-4D19-9890-D06616736879}"/>
    <hyperlink ref="L63" location="toABC149_C_NextPrime" display="(→)" xr:uid="{B7EC79F3-9ECE-482D-BD97-C57882E1060F}"/>
    <hyperlink ref="I30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2020-08-23T12:31:20Z</dcterms:modified>
</cp:coreProperties>
</file>
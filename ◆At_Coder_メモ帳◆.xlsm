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E7216937-0AD7-4EA6-8AA3-48E6B1A9EFA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At_Coder_C問題!$B$4:$CB$566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19" i="3" l="1"/>
  <c r="B520" i="3"/>
  <c r="B86" i="3"/>
  <c r="B87" i="3"/>
  <c r="B434" i="3"/>
  <c r="B423" i="3"/>
  <c r="B273" i="3"/>
  <c r="B274" i="3"/>
  <c r="B275" i="3"/>
  <c r="B276" i="3"/>
  <c r="B277" i="3"/>
  <c r="B354" i="3"/>
  <c r="B353" i="3"/>
  <c r="B200" i="3"/>
  <c r="B471" i="3"/>
  <c r="B472" i="3"/>
  <c r="B475" i="3"/>
  <c r="B476" i="3"/>
  <c r="B477" i="3"/>
  <c r="B478" i="3"/>
  <c r="B47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4" i="3"/>
  <c r="B473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6" i="3" l="1"/>
  <c r="B445" i="3"/>
  <c r="B444" i="3"/>
  <c r="B443" i="3"/>
  <c r="B440" i="3"/>
  <c r="B438" i="3"/>
  <c r="B437" i="3"/>
  <c r="B436" i="3"/>
  <c r="B435" i="3"/>
  <c r="B433" i="3"/>
  <c r="B432" i="3"/>
  <c r="B441" i="3"/>
  <c r="B439" i="3"/>
  <c r="B431" i="3"/>
  <c r="B430" i="3"/>
  <c r="B429" i="3"/>
  <c r="B428" i="3"/>
  <c r="B427" i="3"/>
  <c r="B426" i="3"/>
  <c r="B425" i="3"/>
  <c r="B424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6" i="3" l="1"/>
  <c r="B565" i="3"/>
  <c r="B564" i="3"/>
  <c r="B563" i="3"/>
  <c r="B562" i="3"/>
  <c r="B561" i="3"/>
  <c r="B560" i="3"/>
  <c r="B559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2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<sst xmlns="http://schemas.openxmlformats.org/spreadsheetml/2006/main" count="1013" uniqueCount="688">
  <si>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</si>
  <si>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</si>
  <si>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</si>
  <si>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</si>
  <si>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</si>
  <si>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</si>
  <si>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</si>
  <si>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</si>
  <si>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</si>
  <si>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</si>
  <si>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</si>
  <si>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</si>
  <si>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</si>
  <si>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</si>
  <si>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</si>
  <si>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</si>
  <si>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</si>
  <si>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</si>
  <si>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</si>
  <si>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</si>
  <si>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</si>
  <si>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</si>
  <si>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</si>
  <si>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</si>
  <si>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</si>
  <si>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</si>
  <si>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</si>
  <si>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</si>
  <si>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</si>
  <si>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</si>
  <si>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</si>
  <si>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</si>
  <si>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</si>
  <si>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</si>
  <si>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</si>
  <si>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</si>
  <si>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</si>
  <si>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</si>
  <si>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</si>
  <si>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</si>
  <si>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</si>
  <si>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</si>
  <si>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</si>
  <si>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</si>
  <si>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</si>
  <si>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</si>
  <si>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</si>
  <si>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</si>
  <si>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</si>
  <si>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</si>
  <si>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</si>
  <si>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</si>
  <si>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</si>
  <si>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</si>
  <si>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</si>
  <si>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</si>
  <si>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</si>
  <si>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</si>
  <si>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</si>
  <si>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</si>
  <si>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</si>
  <si>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</si>
  <si>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</si>
  <si>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</si>
  <si>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</si>
  <si>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</si>
  <si>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</si>
  <si>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</si>
  <si>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</si>
  <si>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</si>
  <si>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</si>
  <si>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</si>
  <si>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</si>
  <si>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</si>
  <si>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</si>
  <si>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</si>
  <si>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</si>
  <si>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</si>
  <si>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</si>
  <si>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</si>
  <si>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</si>
  <si>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</si>
  <si>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</si>
  <si>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</si>
  <si>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</si>
  <si>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</si>
  <si>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</si>
  <si>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</si>
  <si>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</si>
  <si>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</si>
  <si>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</si>
  <si>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</si>
  <si>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</si>
  <si>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</si>
  <si>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</si>
  <si>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</si>
  <si>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</si>
  <si>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</si>
  <si>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</si>
  <si>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</si>
  <si>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</si>
  <si>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</si>
  <si>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</si>
  <si>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</si>
  <si>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</si>
  <si>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</si>
  <si>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</si>
  <si>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</si>
  <si>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</si>
  <si>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</si>
  <si>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</si>
  <si>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</si>
  <si>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</si>
  <si>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</si>
  <si>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</si>
  <si>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</si>
  <si>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</si>
  <si>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</si>
  <si>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</si>
  <si>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</si>
  <si>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</si>
  <si>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</si>
  <si>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</si>
  <si>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</si>
  <si>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</si>
  <si>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</si>
  <si>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</si>
  <si>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</si>
  <si>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</si>
  <si>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</si>
  <si>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</si>
  <si>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</si>
  <si>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</si>
  <si>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</si>
  <si>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</si>
  <si>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</si>
  <si>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</si>
  <si>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</si>
  <si>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</si>
  <si>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</si>
  <si>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</si>
  <si>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</si>
  <si>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</si>
  <si>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</si>
  <si>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</si>
  <si>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</si>
  <si>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</si>
  <si>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</si>
  <si>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</si>
  <si>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</si>
  <si>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</si>
  <si>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</si>
  <si>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</si>
  <si>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</si>
  <si>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</si>
  <si>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</si>
  <si>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</si>
  <si>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</si>
  <si>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</si>
  <si>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</si>
  <si>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</si>
  <si>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</si>
  <si>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</si>
  <si>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</si>
  <si>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</si>
  <si>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</si>
  <si>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</si>
  <si>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</si>
  <si>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</si>
  <si>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</si>
  <si>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</si>
  <si>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</si>
  <si>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</si>
  <si>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</si>
  <si>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</si>
  <si>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</si>
  <si>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</si>
  <si>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</si>
  <si>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</si>
  <si>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</si>
  <si>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</si>
  <si>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</si>
  <si>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</si>
  <si>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</si>
  <si>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</si>
  <si>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</si>
  <si>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</si>
  <si>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</si>
  <si>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</si>
  <si>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</si>
  <si>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</si>
  <si>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</si>
  <si>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</si>
  <si>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</si>
  <si>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</si>
  <si>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</si>
  <si>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</si>
  <si>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</si>
  <si>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</si>
  <si>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</si>
  <si>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</si>
  <si>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</si>
  <si>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</si>
  <si>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</si>
  <si>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</si>
  <si>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</si>
  <si>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</si>
  <si>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</si>
  <si>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</si>
  <si>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</si>
  <si>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</si>
  <si>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</si>
  <si>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</si>
  <si>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</si>
  <si>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</si>
  <si>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</si>
  <si>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</si>
  <si>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</si>
  <si>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</si>
  <si>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</si>
  <si>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</si>
  <si>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</si>
  <si>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</si>
  <si>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</si>
  <si>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</si>
  <si>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</si>
  <si>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</si>
  <si>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</si>
  <si>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</si>
  <si>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</si>
  <si>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</si>
  <si>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</si>
  <si>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</si>
  <si>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</si>
  <si>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</si>
  <si>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</si>
  <si>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</si>
  <si>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</si>
  <si>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</si>
  <si>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</si>
  <si>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</si>
  <si>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</si>
  <si>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</si>
  <si>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</si>
  <si>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</si>
  <si>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</si>
  <si>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</si>
  <si>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</si>
  <si>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</si>
  <si>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</si>
  <si>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</si>
  <si>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</si>
  <si>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</si>
  <si>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</si>
  <si>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</si>
  <si>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</si>
  <si>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</si>
  <si>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</si>
  <si>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</si>
  <si>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</si>
  <si>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</si>
  <si>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</si>
  <si>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</si>
  <si>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</si>
  <si>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</si>
  <si>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</si>
  <si>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</si>
  <si>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</si>
  <si>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</si>
  <si>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</si>
  <si>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</si>
  <si>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</si>
  <si>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</si>
  <si>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</si>
  <si>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</si>
  <si>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</si>
  <si>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</si>
  <si>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</si>
  <si>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</si>
  <si>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</si>
  <si>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</si>
  <si>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</si>
  <si>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</si>
  <si>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</si>
  <si>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</si>
  <si>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</si>
  <si>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</si>
  <si>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</si>
  <si>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</si>
  <si>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</si>
  <si>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</si>
  <si>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</si>
  <si>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</si>
  <si>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</si>
  <si>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</si>
  <si>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</si>
  <si>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</si>
  <si>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</si>
  <si>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</si>
  <si>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</si>
  <si>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</si>
  <si>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</si>
  <si>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</si>
  <si>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</si>
  <si>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</si>
  <si>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</si>
  <si>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</si>
  <si>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</si>
  <si>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</si>
  <si>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</si>
  <si>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</si>
  <si>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</si>
  <si>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</si>
  <si>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</si>
  <si>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</si>
  <si>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</si>
  <si>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</si>
  <si>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</si>
  <si>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</si>
  <si>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</si>
  <si>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</si>
  <si>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</si>
  <si>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</si>
  <si>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</si>
  <si>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</si>
  <si>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</si>
  <si>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</si>
  <si>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</si>
  <si>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</si>
  <si>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</si>
  <si>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</si>
  <si>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</si>
  <si>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</si>
  <si>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</si>
  <si>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</si>
  <si>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</si>
  <si>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</si>
  <si>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</si>
  <si>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</si>
  <si>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</si>
  <si>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</si>
  <si>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</si>
  <si>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</si>
  <si>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</si>
  <si>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</si>
  <si>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</si>
  <si>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</si>
  <si>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</si>
  <si>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</si>
  <si>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</si>
  <si>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</si>
  <si>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</si>
  <si>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</si>
  <si>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</si>
  <si>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</si>
  <si>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</si>
  <si>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</si>
  <si>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</si>
  <si>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</si>
  <si>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</si>
  <si>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</si>
  <si>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</si>
  <si>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</si>
  <si>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</si>
  <si>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</si>
  <si>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</si>
  <si>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</si>
  <si>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</si>
  <si>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</si>
  <si>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</si>
  <si>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</si>
  <si>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</si>
  <si>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</si>
  <si>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</si>
  <si>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</si>
  <si>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</si>
  <si>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</si>
  <si>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</si>
  <si>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</si>
  <si>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</si>
  <si>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</si>
  <si>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</si>
  <si>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</si>
  <si>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</si>
  <si>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</si>
  <si>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</si>
  <si>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</si>
  <si>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</si>
  <si>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</si>
  <si>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</si>
  <si>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</si>
  <si>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</si>
  <si>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</si>
  <si>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</si>
  <si>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</si>
  <si>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</si>
  <si>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</si>
  <si>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</si>
  <si>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</si>
  <si>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</si>
  <si>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</si>
  <si>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</si>
  <si>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</si>
  <si>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</si>
  <si>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</si>
  <si>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</si>
  <si>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</si>
  <si>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</si>
  <si>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</si>
  <si>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</si>
  <si>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</si>
  <si>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</si>
  <si>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</si>
  <si>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</si>
  <si>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</si>
  <si>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</si>
  <si>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</si>
  <si>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</si>
  <si>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</si>
  <si>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</si>
  <si>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</si>
  <si>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</si>
  <si>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</si>
  <si>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</si>
  <si>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</si>
  <si>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</si>
  <si>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</si>
  <si>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</si>
  <si>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</si>
  <si>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</si>
  <si>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</si>
  <si>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</si>
  <si>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</si>
  <si>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</si>
  <si>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</si>
  <si>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</si>
  <si>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</si>
  <si>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</si>
  <si>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</si>
  <si>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</si>
  <si>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</si>
  <si>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</si>
  <si>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</si>
  <si>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</si>
  <si>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</si>
  <si>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</si>
  <si>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</si>
  <si>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</si>
  <si>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</si>
  <si>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</si>
  <si>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</si>
  <si>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</si>
  <si>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</si>
  <si>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</si>
  <si>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</si>
  <si>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</si>
  <si>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</si>
  <si>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</si>
  <si>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</si>
  <si>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</si>
  <si>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</si>
  <si>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</si>
  <si>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</si>
  <si>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</si>
  <si>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</si>
  <si>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</si>
  <si>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</si>
  <si>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</si>
  <si>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</si>
  <si>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</si>
  <si>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</si>
  <si>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</si>
  <si>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</si>
  <si>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</si>
  <si>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</si>
  <si>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</si>
  <si>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</si>
  <si>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</si>
  <si>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</si>
  <si>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</si>
  <si>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</si>
  <si>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</si>
  <si>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</si>
  <si>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</si>
  <si>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</si>
  <si>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</si>
  <si>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</si>
  <si>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</si>
  <si>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</si>
  <si>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</si>
  <si>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</si>
  <si>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</si>
  <si>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</si>
  <si>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</si>
  <si>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</si>
  <si>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</si>
  <si>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</si>
  <si>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</si>
  <si>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</si>
  <si>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</si>
  <si>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</si>
  <si>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</si>
  <si>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</si>
  <si>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</si>
  <si>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</si>
  <si>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</si>
  <si>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</si>
  <si>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</si>
  <si>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</si>
  <si>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</si>
  <si>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</si>
  <si>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</si>
  <si>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</si>
  <si>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</si>
  <si>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</si>
  <si>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</si>
  <si>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</si>
  <si>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</si>
  <si>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</si>
  <si>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</si>
  <si>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</si>
  <si>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</si>
  <si>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</si>
  <si>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</si>
  <si>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</si>
  <si>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</si>
  <si>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</si>
  <si>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</si>
  <si>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</si>
  <si>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</si>
  <si>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</si>
  <si>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</si>
  <si>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</si>
  <si>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</si>
  <si>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</si>
  <si>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</si>
  <si>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</si>
  <si>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</si>
  <si>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</si>
  <si>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</si>
  <si>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</si>
  <si>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</si>
  <si>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</si>
  <si>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</si>
  <si>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</si>
  <si>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</si>
  <si>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</si>
  <si>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</si>
  <si>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</si>
  <si>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</si>
  <si>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</si>
  <si>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</si>
  <si>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</si>
  <si>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</si>
  <si>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</si>
  <si>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</si>
  <si>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</si>
  <si>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</si>
  <si>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</si>
  <si>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</si>
  <si>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</si>
  <si>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</si>
  <si>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</si>
  <si>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</si>
  <si>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</si>
  <si>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</si>
  <si>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</si>
  <si>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</si>
  <si>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</si>
  <si>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</si>
  <si>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</si>
  <si>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</si>
  <si>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</si>
  <si>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</si>
  <si>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</si>
  <si>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</si>
  <si>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</si>
  <si>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</si>
  <si>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</si>
  <si>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</si>
  <si>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</si>
  <si>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</si>
  <si>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</si>
  <si>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</si>
  <si>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</si>
  <si>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</si>
  <si>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</si>
  <si>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</si>
  <si>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</si>
  <si>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</si>
  <si>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</si>
  <si>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</si>
  <si>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</si>
  <si>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</si>
  <si>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</si>
  <si>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</si>
  <si>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</si>
  <si>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</si>
  <si>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</si>
  <si>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</si>
  <si>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</si>
  <si>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</si>
  <si>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</si>
  <si>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</si>
  <si>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</si>
  <si>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</si>
  <si>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</si>
  <si>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</si>
  <si>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</si>
  <si>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</si>
  <si>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</si>
  <si>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</si>
  <si>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</si>
  <si>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</si>
  <si>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</si>
  <si>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</si>
  <si>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</si>
  <si>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</si>
  <si>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</si>
  <si>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</si>
  <si>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</si>
  <si>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</si>
  <si>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</si>
  <si>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</si>
  <si>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</si>
  <si>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</si>
  <si>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</si>
  <si>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</si>
  <si>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</si>
  <si>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</si>
  <si>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</si>
  <si>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</si>
  <si>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</si>
  <si>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</si>
  <si>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</si>
  <si>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</si>
  <si>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</si>
  <si>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</si>
  <si>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</si>
  <si>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</si>
  <si>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</si>
  <si>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</si>
  <si>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</si>
  <si>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</si>
  <si>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</si>
  <si>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</si>
  <si>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</si>
  <si>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</si>
  <si>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</si>
  <si>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</si>
  <si>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</si>
  <si>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</si>
  <si>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</si>
  <si>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</si>
  <si>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</si>
  <si>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</si>
  <si>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</si>
  <si>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</si>
  <si>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</si>
  <si>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</si>
  <si>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</si>
  <si>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</si>
  <si>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>・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</si>
  <si>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</si>
  <si>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</si>
  <si>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</si>
  <si>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</si>
  <si>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</si>
  <si>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</si>
  <si>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</si>
  <si>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</si>
  <si>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</si>
  <si>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</si>
  <si>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</si>
  <si>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</si>
  <si>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</si>
  <si>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</si>
  <si>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</si>
  <si>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</si>
  <si>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</si>
  <si>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</si>
  <si>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</si>
  <si>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</si>
  <si>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</si>
  <si>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</si>
  <si>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</si>
  <si>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</si>
  <si>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・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</si>
</sst>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442</xdr:row>
      <xdr:rowOff>33337</xdr:rowOff>
    </xdr:from>
    <xdr:to>
      <xdr:col>16</xdr:col>
      <xdr:colOff>38100</xdr:colOff>
      <xdr:row>442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443</xdr:row>
      <xdr:rowOff>35719</xdr:rowOff>
    </xdr:from>
    <xdr:to>
      <xdr:col>21</xdr:col>
      <xdr:colOff>133351</xdr:colOff>
      <xdr:row>444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24847</xdr:colOff>
      <xdr:row>411</xdr:row>
      <xdr:rowOff>0</xdr:rowOff>
    </xdr:from>
    <xdr:to>
      <xdr:col>26</xdr:col>
      <xdr:colOff>132847</xdr:colOff>
      <xdr:row>415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6"/>
  <sheetViews>
    <sheetView tabSelected="1" zoomScale="115" zoomScaleNormal="115" workbookViewId="0">
      <pane ySplit="4" topLeftCell="A507" activePane="bottomLeft" state="frozen"/>
      <selection pane="bottomLeft" activeCell="J523" sqref="J523"/>
    </sheetView>
  </sheetViews>
  <sheetFormatPr defaultColWidth="2.625" defaultRowHeight="14.25" outlineLevelCol="1" x14ac:dyDescent="0.15"/>
  <cols>
    <col min="1" max="1" width="0.5" style="54" customWidth="1"/>
    <col min="2" max="2" width="4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customWidth="1"/>
    <col min="9" max="9" width="6.125" style="90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20" t="s">
        <v>8</v>
      </c>
      <c r="C2" s="125" t="s">
        <v>231</v>
      </c>
      <c r="D2" s="125" t="s">
        <v>232</v>
      </c>
      <c r="E2" s="118" t="s">
        <v>141</v>
      </c>
      <c r="F2" s="119"/>
      <c r="G2" s="119"/>
      <c r="H2" s="122" t="s">
        <v>10</v>
      </c>
      <c r="I2" s="124" t="s">
        <v>11</v>
      </c>
      <c r="J2" s="118" t="s">
        <v>233</v>
      </c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19"/>
      <c r="AK2" s="119"/>
      <c r="AL2" s="119"/>
      <c r="AM2" s="119"/>
      <c r="AN2" s="119"/>
      <c r="AO2" s="119"/>
      <c r="AP2" s="119"/>
      <c r="AQ2" s="119"/>
      <c r="AR2" s="127"/>
      <c r="AS2" s="118" t="s">
        <v>371</v>
      </c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3"/>
      <c r="CB2" s="116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21"/>
      <c r="C3" s="121"/>
      <c r="D3" s="121"/>
      <c r="E3" s="111" t="s">
        <v>137</v>
      </c>
      <c r="F3" s="111" t="s">
        <v>138</v>
      </c>
      <c r="G3" s="111" t="s">
        <v>9</v>
      </c>
      <c r="H3" s="123"/>
      <c r="I3" s="121"/>
      <c r="J3" s="128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30"/>
      <c r="AK3" s="130"/>
      <c r="AL3" s="130"/>
      <c r="AM3" s="130"/>
      <c r="AN3" s="130"/>
      <c r="AO3" s="130"/>
      <c r="AP3" s="130"/>
      <c r="AQ3" s="130"/>
      <c r="AR3" s="131"/>
      <c r="AS3" s="134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6"/>
      <c r="CB3" s="117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332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426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427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428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562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563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565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564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566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567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546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547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548</v>
      </c>
      <c r="H19" s="58">
        <v>44185</v>
      </c>
      <c r="I19" s="97">
        <v>1</v>
      </c>
      <c r="J19" s="60" t="s">
        <v>560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561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549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552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616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617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618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558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559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522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521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523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525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524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527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526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538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539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540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545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553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555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554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556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542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543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544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336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326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327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340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337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341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338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652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339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653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654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96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655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96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 t="s">
        <v>223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252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342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331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518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517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519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535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536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537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520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343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253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254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266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344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345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267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346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268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270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269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516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271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272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275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280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276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281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285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286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283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284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287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288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528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529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289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270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452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347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348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349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272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290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291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293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270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294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351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328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329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295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296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352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270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353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297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354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355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356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298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270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299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357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557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335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333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270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334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301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330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300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514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511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515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513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507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504</v>
      </c>
      <c r="H186" s="58">
        <v>44013</v>
      </c>
      <c r="I186" s="59">
        <v>1</v>
      </c>
      <c r="J186" s="60" t="s">
        <v>508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505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512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509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506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507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502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503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500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613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614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615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499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497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498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495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496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490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491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492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493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494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487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488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489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483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484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485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486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479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482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481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475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476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477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478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399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397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398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414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415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416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417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387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388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431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432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375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376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372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373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374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439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429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430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418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419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420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389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390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391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421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422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625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626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628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629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627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423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424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377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378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385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386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381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382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383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384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380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379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471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473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472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474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392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469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470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468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467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466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456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464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465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458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459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457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460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462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463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461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393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394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395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396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425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400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401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402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403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404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530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531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532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405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406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407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408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409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619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622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620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623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621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410</v>
      </c>
      <c r="H355" s="58">
        <v>43992</v>
      </c>
      <c r="I355" s="59">
        <v>0.8</v>
      </c>
      <c r="J355" s="74" t="s">
        <v>412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411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413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302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303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304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305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306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307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308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453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454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455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359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310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358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360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309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361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442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443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440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449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450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446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447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448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441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444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445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630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362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631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363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632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634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633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533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365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534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364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366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367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369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368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370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434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435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436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437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438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433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74" t="s">
        <v>647</v>
      </c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317</v>
      </c>
      <c r="AT411" s="41" t="s">
        <v>318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 t="s">
        <v>649</v>
      </c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311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 t="s">
        <v>648</v>
      </c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114" t="s">
        <v>651</v>
      </c>
      <c r="AC413" s="115"/>
      <c r="AD413" s="115"/>
      <c r="AE413" s="115"/>
      <c r="AF413" s="115"/>
      <c r="AG413" s="115"/>
      <c r="AH413" s="115"/>
      <c r="AI413" s="115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635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 t="s">
        <v>646</v>
      </c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115"/>
      <c r="AC414" s="115"/>
      <c r="AD414" s="115"/>
      <c r="AE414" s="115"/>
      <c r="AF414" s="115"/>
      <c r="AG414" s="115"/>
      <c r="AH414" s="115"/>
      <c r="AI414" s="115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312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 t="s">
        <v>650</v>
      </c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636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322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313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314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317</v>
      </c>
      <c r="AT419" s="41" t="s">
        <v>319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/>
      <c r="AT420" s="41" t="s">
        <v>323</v>
      </c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/>
      <c r="AT421" s="41" t="s">
        <v>324</v>
      </c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74"/>
      <c r="AT422" s="113" t="s">
        <v>637</v>
      </c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96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74"/>
      <c r="AT423" s="113" t="s">
        <v>644</v>
      </c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74"/>
      <c r="AT424" s="113" t="s">
        <v>638</v>
      </c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74"/>
      <c r="AT425" s="113" t="s">
        <v>60</v>
      </c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74"/>
      <c r="AT426" s="113" t="s">
        <v>639</v>
      </c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74"/>
      <c r="AT427" s="113" t="s">
        <v>645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/>
      <c r="AT428" s="113" t="s">
        <v>640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/>
      <c r="AT429" s="113" t="s">
        <v>641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74"/>
      <c r="AT430" s="113" t="s">
        <v>642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2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320</v>
      </c>
      <c r="AT431" s="41" t="s">
        <v>321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74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74"/>
      <c r="AT432" s="41" t="s">
        <v>325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74"/>
      <c r="AT433" s="113" t="s">
        <v>637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96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74"/>
      <c r="AT434" s="113" t="s">
        <v>644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74"/>
      <c r="AT435" s="113" t="s">
        <v>638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74"/>
      <c r="AT436" s="113" t="s">
        <v>60</v>
      </c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74"/>
      <c r="AT437" s="113" t="s">
        <v>639</v>
      </c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74"/>
      <c r="AT438" s="113" t="s">
        <v>643</v>
      </c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93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74"/>
      <c r="AT439" s="113" t="s">
        <v>641</v>
      </c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7">
        <v>1</v>
      </c>
      <c r="J440" s="93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74"/>
      <c r="AT440" s="113" t="s">
        <v>642</v>
      </c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7">
        <v>1</v>
      </c>
      <c r="J441" s="74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75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>
        <f>IF(G442&lt;&gt;"",SUBTOTAL(3,$G$5:G442),"")</f>
        <v>91</v>
      </c>
      <c r="C442" s="72"/>
      <c r="D442" s="72"/>
      <c r="E442" s="73" t="s">
        <v>139</v>
      </c>
      <c r="F442" s="73" t="s">
        <v>142</v>
      </c>
      <c r="G442" s="73" t="s">
        <v>236</v>
      </c>
      <c r="H442" s="58">
        <v>44108</v>
      </c>
      <c r="I442" s="59">
        <v>0.5</v>
      </c>
      <c r="J442" s="74" t="s">
        <v>1</v>
      </c>
      <c r="K442" s="41" t="s">
        <v>316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75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9" t="s">
        <v>315</v>
      </c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81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4.25" customHeight="1" x14ac:dyDescent="0.15">
      <c r="B446" s="72" t="str">
        <f>IF(G446&lt;&gt;"",SUBTOTAL(3,$G$5:G446),"")</f>
        <v/>
      </c>
      <c r="C446" s="72"/>
      <c r="D446" s="72"/>
      <c r="E446" s="73"/>
      <c r="F446" s="73"/>
      <c r="G446" s="73"/>
      <c r="H446" s="58"/>
      <c r="I446" s="65">
        <v>0.5</v>
      </c>
      <c r="J446" s="77" t="s">
        <v>237</v>
      </c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F446" s="78"/>
      <c r="AG446" s="78"/>
      <c r="AH446" s="78"/>
      <c r="AI446" s="78"/>
      <c r="AJ446" s="78"/>
      <c r="AK446" s="78"/>
      <c r="AL446" s="78"/>
      <c r="AM446" s="78"/>
      <c r="AN446" s="78"/>
      <c r="AO446" s="78"/>
      <c r="AP446" s="78"/>
      <c r="AQ446" s="78"/>
      <c r="AR446" s="80"/>
      <c r="AS446" s="74"/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s="44" customFormat="1" ht="14.25" customHeight="1" x14ac:dyDescent="0.15">
      <c r="B447" s="72" t="str">
        <f>IF(G447&lt;&gt;"",SUBTOTAL(3,$G$5:G447),"")</f>
        <v/>
      </c>
      <c r="C447" s="72"/>
      <c r="D447" s="72"/>
      <c r="E447" s="73"/>
      <c r="F447" s="73"/>
      <c r="G447" s="73"/>
      <c r="H447" s="58"/>
      <c r="I447" s="65">
        <v>0.5</v>
      </c>
      <c r="J447" s="77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F447" s="78"/>
      <c r="AG447" s="78"/>
      <c r="AH447" s="78"/>
      <c r="AI447" s="78"/>
      <c r="AJ447" s="78"/>
      <c r="AK447" s="78"/>
      <c r="AL447" s="78"/>
      <c r="AM447" s="78"/>
      <c r="AN447" s="78"/>
      <c r="AO447" s="78"/>
      <c r="AP447" s="78"/>
      <c r="AQ447" s="78"/>
      <c r="AR447" s="80"/>
      <c r="AS447" s="74"/>
      <c r="AT447" s="41"/>
      <c r="AU447" s="41"/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75"/>
      <c r="CB447" s="71"/>
      <c r="CC447" s="41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</row>
    <row r="448" spans="2:130" s="44" customFormat="1" ht="13.5" customHeight="1" x14ac:dyDescent="0.15">
      <c r="B448" s="72">
        <f>IF(G448&lt;&gt;"",SUBTOTAL(3,$G$5:G448),"")</f>
        <v>92</v>
      </c>
      <c r="C448" s="72"/>
      <c r="D448" s="72"/>
      <c r="E448" s="73" t="s">
        <v>139</v>
      </c>
      <c r="F448" s="73" t="s">
        <v>142</v>
      </c>
      <c r="G448" s="73" t="s">
        <v>568</v>
      </c>
      <c r="H448" s="58">
        <v>44192</v>
      </c>
      <c r="I448" s="59">
        <v>1</v>
      </c>
      <c r="J448" s="74" t="s">
        <v>569</v>
      </c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75"/>
      <c r="AS448" s="74" t="s">
        <v>573</v>
      </c>
      <c r="AT448" s="41"/>
      <c r="AU448" s="41"/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75"/>
      <c r="CB448" s="71"/>
      <c r="CC448" s="41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</row>
    <row r="449" spans="2:130" ht="13.5" customHeight="1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112" t="s">
        <v>571</v>
      </c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40"/>
      <c r="AS449" s="60" t="s">
        <v>574</v>
      </c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3.5" customHeight="1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572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 t="s">
        <v>575</v>
      </c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570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93</v>
      </c>
      <c r="C453" s="55"/>
      <c r="D453" s="55"/>
      <c r="E453" s="56" t="s">
        <v>139</v>
      </c>
      <c r="F453" s="56" t="s">
        <v>142</v>
      </c>
      <c r="G453" s="56" t="s">
        <v>580</v>
      </c>
      <c r="H453" s="58">
        <v>44192</v>
      </c>
      <c r="I453" s="59">
        <v>1</v>
      </c>
      <c r="J453" s="60" t="s">
        <v>576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577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ht="15.75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112" t="s">
        <v>578</v>
      </c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40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579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>
        <f>IF(G458&lt;&gt;"",SUBTOTAL(3,$G$5:G458),"")</f>
        <v>94</v>
      </c>
      <c r="C458" s="55"/>
      <c r="D458" s="55"/>
      <c r="E458" s="56" t="s">
        <v>139</v>
      </c>
      <c r="F458" s="56" t="s">
        <v>142</v>
      </c>
      <c r="G458" s="56" t="s">
        <v>581</v>
      </c>
      <c r="H458" s="58">
        <v>44197</v>
      </c>
      <c r="I458" s="59">
        <v>1</v>
      </c>
      <c r="J458" s="60" t="s">
        <v>585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 t="s">
        <v>583</v>
      </c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589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 t="s">
        <v>1</v>
      </c>
      <c r="AF459" s="61" t="s">
        <v>593</v>
      </c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590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592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ht="15.75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586</v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40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587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588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 t="s">
        <v>582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 t="s">
        <v>584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95</v>
      </c>
      <c r="C470" s="55"/>
      <c r="D470" s="55"/>
      <c r="E470" s="56" t="s">
        <v>139</v>
      </c>
      <c r="F470" s="56" t="s">
        <v>142</v>
      </c>
      <c r="G470" s="56" t="s">
        <v>594</v>
      </c>
      <c r="H470" s="58">
        <v>44199</v>
      </c>
      <c r="I470" s="59">
        <v>1</v>
      </c>
      <c r="J470" s="60" t="s">
        <v>624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7">
        <v>1</v>
      </c>
      <c r="J471" s="60" t="s">
        <v>611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7">
        <v>1</v>
      </c>
      <c r="J472" s="60" t="s">
        <v>612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>
        <f>IF(G474&lt;&gt;"",SUBTOTAL(3,$G$5:G474),"")</f>
        <v>96</v>
      </c>
      <c r="C474" s="55"/>
      <c r="D474" s="55"/>
      <c r="E474" s="56" t="s">
        <v>139</v>
      </c>
      <c r="F474" s="56" t="s">
        <v>142</v>
      </c>
      <c r="G474" s="56" t="s">
        <v>595</v>
      </c>
      <c r="H474" s="58">
        <v>44199</v>
      </c>
      <c r="I474" s="59">
        <v>1</v>
      </c>
      <c r="J474" s="60" t="s">
        <v>606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607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608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 t="s">
        <v>609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96" t="str">
        <f>IF(G478&lt;&gt;"",SUBTOTAL(3,$G$5:G478),"")</f>
        <v/>
      </c>
      <c r="C478" s="55"/>
      <c r="D478" s="55"/>
      <c r="E478" s="56"/>
      <c r="F478" s="56"/>
      <c r="G478" s="56"/>
      <c r="H478" s="58"/>
      <c r="I478" s="65"/>
      <c r="J478" s="60" t="s">
        <v>610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96" t="str">
        <f>IF(G479&lt;&gt;"",SUBTOTAL(3,$G$5:G479),"")</f>
        <v/>
      </c>
      <c r="C479" s="55"/>
      <c r="D479" s="55"/>
      <c r="E479" s="56"/>
      <c r="F479" s="56"/>
      <c r="G479" s="56"/>
      <c r="H479" s="58"/>
      <c r="I479" s="65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>
        <f>IF(G481&lt;&gt;"",SUBTOTAL(3,$G$5:G481),"")</f>
        <v>97</v>
      </c>
      <c r="C481" s="55"/>
      <c r="D481" s="55"/>
      <c r="E481" s="56" t="s">
        <v>139</v>
      </c>
      <c r="F481" s="56" t="s">
        <v>142</v>
      </c>
      <c r="G481" s="56" t="s">
        <v>596</v>
      </c>
      <c r="H481" s="58">
        <v>44285</v>
      </c>
      <c r="I481" s="59">
        <v>1</v>
      </c>
      <c r="J481" s="60" t="s">
        <v>599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597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598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601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602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605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600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 t="s">
        <v>603</v>
      </c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 t="s">
        <v>604</v>
      </c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>
        <f>IF(G491&lt;&gt;"",SUBTOTAL(3,$G$5:G491),"")</f>
        <v>98</v>
      </c>
      <c r="C491" s="55"/>
      <c r="D491" s="55"/>
      <c r="E491" s="56" t="s">
        <v>139</v>
      </c>
      <c r="F491" s="56" t="s">
        <v>142</v>
      </c>
      <c r="G491" s="56" t="s">
        <v>656</v>
      </c>
      <c r="H491" s="58">
        <v>44290</v>
      </c>
      <c r="I491" s="59">
        <v>1</v>
      </c>
      <c r="J491" s="60" t="s">
        <v>657</v>
      </c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 t="s">
        <v>658</v>
      </c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 t="s">
        <v>659</v>
      </c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 t="s">
        <v>660</v>
      </c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>
        <f>IF(G496&lt;&gt;"",SUBTOTAL(3,$G$5:G496),"")</f>
        <v>99</v>
      </c>
      <c r="C496" s="55"/>
      <c r="D496" s="55"/>
      <c r="E496" s="56" t="s">
        <v>139</v>
      </c>
      <c r="F496" s="56" t="s">
        <v>142</v>
      </c>
      <c r="G496" s="56" t="s">
        <v>661</v>
      </c>
      <c r="H496" s="58">
        <v>44295</v>
      </c>
      <c r="I496" s="59">
        <v>1</v>
      </c>
      <c r="J496" s="60" t="s">
        <v>665</v>
      </c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 t="s">
        <v>663</v>
      </c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 t="s">
        <v>664</v>
      </c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>
        <f>IF(G500&lt;&gt;"",SUBTOTAL(3,$G$5:G500),"")</f>
        <v>100</v>
      </c>
      <c r="C500" s="55"/>
      <c r="D500" s="55"/>
      <c r="E500" s="56" t="s">
        <v>139</v>
      </c>
      <c r="F500" s="56" t="s">
        <v>142</v>
      </c>
      <c r="G500" s="56" t="s">
        <v>666</v>
      </c>
      <c r="H500" s="58">
        <v>44295</v>
      </c>
      <c r="I500" s="59">
        <v>1</v>
      </c>
      <c r="J500" s="60" t="s">
        <v>667</v>
      </c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 t="s">
        <v>668</v>
      </c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 t="s">
        <v>669</v>
      </c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 t="s">
        <v>670</v>
      </c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 t="s">
        <v>671</v>
      </c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ht="15.75" x14ac:dyDescent="0.15">
      <c r="B506" s="55">
        <f>IF(G506&lt;&gt;"",SUBTOTAL(3,$G$5:G506),"")</f>
        <v>101</v>
      </c>
      <c r="C506" s="55"/>
      <c r="D506" s="55"/>
      <c r="E506" s="56" t="s">
        <v>139</v>
      </c>
      <c r="F506" s="56" t="s">
        <v>142</v>
      </c>
      <c r="G506" s="56" t="s">
        <v>672</v>
      </c>
      <c r="H506" s="58">
        <v>44296</v>
      </c>
      <c r="I506" s="59">
        <v>1</v>
      </c>
      <c r="J506" s="60" t="s">
        <v>673</v>
      </c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 t="s">
        <v>674</v>
      </c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>
        <f>IF(G509&lt;&gt;"",SUBTOTAL(3,$G$5:G509),"")</f>
        <v>102</v>
      </c>
      <c r="C509" s="55"/>
      <c r="D509" s="55"/>
      <c r="E509" s="56" t="s">
        <v>139</v>
      </c>
      <c r="F509" s="56" t="s">
        <v>142</v>
      </c>
      <c r="G509" s="56" t="s">
        <v>675</v>
      </c>
      <c r="H509" s="58">
        <v>44296</v>
      </c>
      <c r="I509" s="59">
        <v>1</v>
      </c>
      <c r="J509" s="60" t="s">
        <v>662</v>
      </c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>
        <f>IF(G512&lt;&gt;"",SUBTOTAL(3,$G$5:G512),"")</f>
        <v>103</v>
      </c>
      <c r="C512" s="55"/>
      <c r="D512" s="55"/>
      <c r="E512" s="56" t="s">
        <v>139</v>
      </c>
      <c r="F512" s="56" t="s">
        <v>142</v>
      </c>
      <c r="G512" s="56" t="s">
        <v>676</v>
      </c>
      <c r="H512" s="58">
        <v>44297</v>
      </c>
      <c r="I512" s="59">
        <v>1</v>
      </c>
      <c r="J512" s="60" t="s">
        <v>677</v>
      </c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 t="s">
        <v>678</v>
      </c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 t="s">
        <v>679</v>
      </c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 t="s">
        <v>680</v>
      </c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 t="s">
        <v>681</v>
      </c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>
        <f>IF(G518&lt;&gt;"",SUBTOTAL(3,$G$5:G518),"")</f>
        <v>104</v>
      </c>
      <c r="C518" s="55"/>
      <c r="D518" s="55"/>
      <c r="E518" s="56" t="s">
        <v>139</v>
      </c>
      <c r="F518" s="56" t="s">
        <v>142</v>
      </c>
      <c r="G518" s="56" t="s">
        <v>682</v>
      </c>
      <c r="H518" s="58">
        <v>44300</v>
      </c>
      <c r="I518" s="59">
        <v>0.5</v>
      </c>
      <c r="J518" s="60" t="s">
        <v>684</v>
      </c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 t="s">
        <v>683</v>
      </c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96" t="str">
        <f>IF(G519&lt;&gt;"",SUBTOTAL(3,$G$5:G519),"")</f>
        <v/>
      </c>
      <c r="C519" s="55"/>
      <c r="D519" s="55"/>
      <c r="E519" s="56"/>
      <c r="F519" s="56"/>
      <c r="G519" s="56"/>
      <c r="H519" s="58"/>
      <c r="I519" s="65">
        <v>0.5</v>
      </c>
      <c r="J519" s="60" t="s">
        <v>685</v>
      </c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96" t="str">
        <f>IF(G520&lt;&gt;"",SUBTOTAL(3,$G$5:G520),"")</f>
        <v/>
      </c>
      <c r="C520" s="55"/>
      <c r="D520" s="55"/>
      <c r="E520" s="56"/>
      <c r="F520" s="56"/>
      <c r="G520" s="56"/>
      <c r="H520" s="58"/>
      <c r="I520" s="65">
        <v>0.5</v>
      </c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>
        <f>IF(G522&lt;&gt;"",SUBTOTAL(3,$G$5:G522),"")</f>
        <v>105</v>
      </c>
      <c r="C522" s="55"/>
      <c r="D522" s="55"/>
      <c r="E522" s="56" t="s">
        <v>139</v>
      </c>
      <c r="F522" s="56" t="s">
        <v>142</v>
      </c>
      <c r="G522" s="56" t="s">
        <v>686</v>
      </c>
      <c r="H522" s="58">
        <v>44304</v>
      </c>
      <c r="I522" s="59">
        <v>1</v>
      </c>
      <c r="J522" s="60" t="s">
        <v>687</v>
      </c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55" t="str">
        <f>IF(G562&lt;&gt;"",SUBTOTAL(3,$G$5:G562),"")</f>
        <v/>
      </c>
      <c r="C562" s="55"/>
      <c r="D562" s="55"/>
      <c r="E562" s="56"/>
      <c r="F562" s="56"/>
      <c r="G562" s="56"/>
      <c r="H562" s="58"/>
      <c r="I562" s="59"/>
      <c r="J562" s="60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2"/>
      <c r="AS562" s="60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2"/>
      <c r="CB562" s="57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  <row r="563" spans="2:130" x14ac:dyDescent="0.15">
      <c r="B563" s="55" t="str">
        <f>IF(G563&lt;&gt;"",SUBTOTAL(3,$G$5:G563),"")</f>
        <v/>
      </c>
      <c r="C563" s="55"/>
      <c r="D563" s="55"/>
      <c r="E563" s="56"/>
      <c r="F563" s="56"/>
      <c r="G563" s="56"/>
      <c r="H563" s="58"/>
      <c r="I563" s="59"/>
      <c r="J563" s="60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X563" s="61"/>
      <c r="Y563" s="61"/>
      <c r="Z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2"/>
      <c r="AS563" s="60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2"/>
      <c r="CB563" s="57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</row>
    <row r="564" spans="2:130" x14ac:dyDescent="0.15">
      <c r="B564" s="55" t="str">
        <f>IF(G564&lt;&gt;"",SUBTOTAL(3,$G$5:G564),"")</f>
        <v/>
      </c>
      <c r="C564" s="55"/>
      <c r="D564" s="55"/>
      <c r="E564" s="56"/>
      <c r="F564" s="56"/>
      <c r="G564" s="56"/>
      <c r="H564" s="58"/>
      <c r="I564" s="59"/>
      <c r="J564" s="60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X564" s="61"/>
      <c r="Y564" s="61"/>
      <c r="Z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2"/>
      <c r="AS564" s="60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2"/>
      <c r="CB564" s="57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</row>
    <row r="565" spans="2:130" x14ac:dyDescent="0.15">
      <c r="B565" s="55" t="str">
        <f>IF(G565&lt;&gt;"",SUBTOTAL(3,$G$5:G565),"")</f>
        <v/>
      </c>
      <c r="C565" s="55"/>
      <c r="D565" s="55"/>
      <c r="E565" s="56"/>
      <c r="F565" s="56"/>
      <c r="G565" s="56"/>
      <c r="H565" s="58"/>
      <c r="I565" s="59"/>
      <c r="J565" s="60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2"/>
      <c r="AS565" s="60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2"/>
      <c r="CB565" s="57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</row>
    <row r="566" spans="2:130" x14ac:dyDescent="0.15">
      <c r="B566" s="82" t="str">
        <f>IF(G566&lt;&gt;"",SUBTOTAL(3,$G$5:G566),"")</f>
        <v/>
      </c>
      <c r="C566" s="82"/>
      <c r="D566" s="82"/>
      <c r="E566" s="83"/>
      <c r="F566" s="83"/>
      <c r="G566" s="83"/>
      <c r="H566" s="84"/>
      <c r="I566" s="85"/>
      <c r="J566" s="86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  <c r="AA566" s="87"/>
      <c r="AB566" s="87"/>
      <c r="AC566" s="87"/>
      <c r="AD566" s="87"/>
      <c r="AE566" s="87"/>
      <c r="AF566" s="87"/>
      <c r="AG566" s="87"/>
      <c r="AH566" s="87"/>
      <c r="AI566" s="87"/>
      <c r="AJ566" s="87"/>
      <c r="AK566" s="87"/>
      <c r="AL566" s="87"/>
      <c r="AM566" s="87"/>
      <c r="AN566" s="87"/>
      <c r="AO566" s="87"/>
      <c r="AP566" s="87"/>
      <c r="AQ566" s="87"/>
      <c r="AR566" s="88"/>
      <c r="AS566" s="86"/>
      <c r="AT566" s="87"/>
      <c r="AU566" s="87"/>
      <c r="AV566" s="87"/>
      <c r="AW566" s="87"/>
      <c r="AX566" s="87"/>
      <c r="AY566" s="87"/>
      <c r="AZ566" s="87"/>
      <c r="BA566" s="87"/>
      <c r="BB566" s="87"/>
      <c r="BC566" s="87"/>
      <c r="BD566" s="87"/>
      <c r="BE566" s="87"/>
      <c r="BF566" s="87"/>
      <c r="BG566" s="87"/>
      <c r="BH566" s="87"/>
      <c r="BI566" s="87"/>
      <c r="BJ566" s="87"/>
      <c r="BK566" s="87"/>
      <c r="BL566" s="87"/>
      <c r="BM566" s="87"/>
      <c r="BN566" s="87"/>
      <c r="BO566" s="87"/>
      <c r="BP566" s="87"/>
      <c r="BQ566" s="87"/>
      <c r="BR566" s="87"/>
      <c r="BS566" s="87"/>
      <c r="BT566" s="87"/>
      <c r="BU566" s="87"/>
      <c r="BV566" s="87"/>
      <c r="BW566" s="87"/>
      <c r="BX566" s="87"/>
      <c r="BY566" s="87"/>
      <c r="BZ566" s="87"/>
      <c r="CA566" s="88"/>
      <c r="CB566" s="89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</row>
  </sheetData>
  <autoFilter ref="B4:CB566" xr:uid="{D6185A68-BA48-45E7-B262-844E8111256C}"/>
  <mergeCells count="10">
    <mergeCell ref="AB413:AI414"/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9:I449 B455:I455 B72:D72 B79:H79 B88:H88 B450:AR454 F72:CB72 B73:CB77 J78:CB79 B89:CB89 K70:CB70 B71:CB71 K90:CB90 K366:CB366 B445:CB445 K444:CB444 K446:CB446 I247:CA247 K138:CB138 J91:CB93 I250:I257 B250:H258 J250:CB258 B447:AR448 J258:J260 B248:CB249 J247:J249 B308:I308 K308:CB308 J194:AR247 AS194:CA246 CB194:CB247 B194:H247 I194:I246 B139:CB193 B94:CB137 B463:I465 K464:AR465 B456:AR458 B462:AR462 B459:I461 K460:AR460 K461:AD461 K459:AD459 AF459:AR459 AG461:AR461 B466:AR472 AS447:CB472 J462:J472 B5:CB69 B309:CB365 B259:CB307 B367:CB412 B415:CB443 B413:AB413 B414:AA414 AJ413:CB414 J88:CB88 B80:CB87 B473:CB566">
    <cfRule type="expression" dxfId="31" priority="107">
      <formula>AND($I5&lt;&gt;1,$I5&lt;&gt;"")</formula>
    </cfRule>
  </conditionalFormatting>
  <conditionalFormatting sqref="I258:AR258">
    <cfRule type="expression" dxfId="30" priority="93">
      <formula>AND($I258&lt;&gt;1,$I258&lt;&gt;"")</formula>
    </cfRule>
  </conditionalFormatting>
  <conditionalFormatting sqref="E72">
    <cfRule type="expression" dxfId="29" priority="82">
      <formula>AND($I72&lt;&gt;1,$I72&lt;&gt;"")</formula>
    </cfRule>
  </conditionalFormatting>
  <conditionalFormatting sqref="B91:H91">
    <cfRule type="expression" dxfId="28" priority="79">
      <formula>AND($I91&lt;&gt;1,$I91&lt;&gt;"")</formula>
    </cfRule>
  </conditionalFormatting>
  <conditionalFormatting sqref="B70:I70">
    <cfRule type="expression" dxfId="27" priority="74">
      <formula>AND($I70&lt;&gt;1,$I70&lt;&gt;"")</formula>
    </cfRule>
  </conditionalFormatting>
  <conditionalFormatting sqref="J70">
    <cfRule type="expression" dxfId="26" priority="68">
      <formula>AND($I70&lt;&gt;1,$I70&lt;&gt;"")</formula>
    </cfRule>
  </conditionalFormatting>
  <conditionalFormatting sqref="B78:H78">
    <cfRule type="expression" dxfId="25" priority="66">
      <formula>AND($I78&lt;&gt;1,$I78&lt;&gt;"")</formula>
    </cfRule>
  </conditionalFormatting>
  <conditionalFormatting sqref="I78">
    <cfRule type="expression" dxfId="24" priority="65">
      <formula>AND($I78&lt;&gt;1,$I78&lt;&gt;"")</formula>
    </cfRule>
  </conditionalFormatting>
  <conditionalFormatting sqref="I79">
    <cfRule type="expression" dxfId="23" priority="64">
      <formula>AND($I79&lt;&gt;1,$I79&lt;&gt;"")</formula>
    </cfRule>
  </conditionalFormatting>
  <conditionalFormatting sqref="I88">
    <cfRule type="expression" dxfId="22" priority="59">
      <formula>AND($I88&lt;&gt;1,$I88&lt;&gt;"")</formula>
    </cfRule>
  </conditionalFormatting>
  <conditionalFormatting sqref="B90:I90">
    <cfRule type="expression" dxfId="21" priority="58">
      <formula>AND($I90&lt;&gt;1,$I90&lt;&gt;"")</formula>
    </cfRule>
  </conditionalFormatting>
  <conditionalFormatting sqref="J90">
    <cfRule type="expression" dxfId="20" priority="57">
      <formula>AND($I90&lt;&gt;1,$I90&lt;&gt;"")</formula>
    </cfRule>
  </conditionalFormatting>
  <conditionalFormatting sqref="I91">
    <cfRule type="expression" dxfId="19" priority="56">
      <formula>AND($I91&lt;&gt;1,$I91&lt;&gt;"")</formula>
    </cfRule>
  </conditionalFormatting>
  <conditionalFormatting sqref="B138:I138">
    <cfRule type="expression" dxfId="18" priority="46">
      <formula>AND($I138&lt;&gt;1,$I138&lt;&gt;"")</formula>
    </cfRule>
  </conditionalFormatting>
  <conditionalFormatting sqref="J138">
    <cfRule type="expression" dxfId="17" priority="44">
      <formula>AND($I138&lt;&gt;1,$I138&lt;&gt;"")</formula>
    </cfRule>
  </conditionalFormatting>
  <conditionalFormatting sqref="B366:I366">
    <cfRule type="expression" dxfId="16" priority="29">
      <formula>AND($I366&lt;&gt;1,$I366&lt;&gt;"")</formula>
    </cfRule>
  </conditionalFormatting>
  <conditionalFormatting sqref="B444:I444 B446:I446">
    <cfRule type="expression" dxfId="15" priority="21">
      <formula>AND($I444&lt;&gt;1,$I444&lt;&gt;"")</formula>
    </cfRule>
  </conditionalFormatting>
  <conditionalFormatting sqref="J446">
    <cfRule type="expression" dxfId="14" priority="20">
      <formula>AND($I446&lt;&gt;1,$I446&lt;&gt;"")</formula>
    </cfRule>
  </conditionalFormatting>
  <conditionalFormatting sqref="B93:H93">
    <cfRule type="expression" dxfId="13" priority="18">
      <formula>AND($I93&lt;&gt;1,$I93&lt;&gt;"")</formula>
    </cfRule>
  </conditionalFormatting>
  <conditionalFormatting sqref="I93">
    <cfRule type="expression" dxfId="12" priority="17">
      <formula>AND($I93&lt;&gt;1,$I93&lt;&gt;"")</formula>
    </cfRule>
  </conditionalFormatting>
  <conditionalFormatting sqref="B92:H92">
    <cfRule type="expression" dxfId="11" priority="15">
      <formula>AND($I92&lt;&gt;1,$I92&lt;&gt;"")</formula>
    </cfRule>
  </conditionalFormatting>
  <conditionalFormatting sqref="I92">
    <cfRule type="expression" dxfId="10" priority="14">
      <formula>AND($I92&lt;&gt;1,$I92&lt;&gt;"")</formula>
    </cfRule>
  </conditionalFormatting>
  <conditionalFormatting sqref="J259">
    <cfRule type="expression" dxfId="9" priority="11">
      <formula>AND($I259&lt;&gt;1,$I259&lt;&gt;"")</formula>
    </cfRule>
  </conditionalFormatting>
  <conditionalFormatting sqref="J258">
    <cfRule type="expression" dxfId="8" priority="10">
      <formula>AND($I258&lt;&gt;1,$I258&lt;&gt;"")</formula>
    </cfRule>
  </conditionalFormatting>
  <conditionalFormatting sqref="J308">
    <cfRule type="expression" dxfId="7" priority="9">
      <formula>AND($I308&lt;&gt;1,$I308&lt;&gt;"")</formula>
    </cfRule>
  </conditionalFormatting>
  <conditionalFormatting sqref="J366">
    <cfRule type="expression" dxfId="6" priority="8">
      <formula>AND($I366&lt;&gt;1,$I366&lt;&gt;"")</formula>
    </cfRule>
  </conditionalFormatting>
  <conditionalFormatting sqref="J463:J465">
    <cfRule type="expression" dxfId="5" priority="6">
      <formula>AND($I463&lt;&gt;1,$I463&lt;&gt;"")</formula>
    </cfRule>
  </conditionalFormatting>
  <conditionalFormatting sqref="J467:J469">
    <cfRule type="expression" dxfId="4" priority="109">
      <formula>AND($I459&lt;&gt;1,$I459&lt;&gt;"")</formula>
    </cfRule>
  </conditionalFormatting>
  <conditionalFormatting sqref="J459:J461">
    <cfRule type="expression" dxfId="3" priority="4">
      <formula>AND($I459&lt;&gt;1,$I459&lt;&gt;"")</formula>
    </cfRule>
  </conditionalFormatting>
  <conditionalFormatting sqref="J463:J465">
    <cfRule type="expression" dxfId="2" priority="5">
      <formula>AND($I455&lt;&gt;1,$I455&lt;&gt;"")</formula>
    </cfRule>
  </conditionalFormatting>
  <conditionalFormatting sqref="AE459:AF459">
    <cfRule type="expression" dxfId="1" priority="111">
      <formula>AND($I461&lt;&gt;1,$I461&lt;&gt;"")</formula>
    </cfRule>
  </conditionalFormatting>
  <conditionalFormatting sqref="J87">
    <cfRule type="expression" dxfId="0" priority="1">
      <formula>AND($I87&lt;&gt;1,$I87&lt;&gt;"")</formula>
    </cfRule>
  </conditionalFormatting>
  <dataValidations disablePrompts="1" count="1">
    <dataValidation type="list" allowBlank="1" showInputMessage="1" showErrorMessage="1" sqref="I5:I566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6" r:id="rId3" xr:uid="{9EDCCA2D-396F-4375-BE7A-B1954A66EC32}"/>
    <hyperlink ref="J92" r:id="rId4" xr:uid="{A5E407FA-9175-4245-9950-2C7E04570900}"/>
    <hyperlink ref="J8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2021-04-18T06:27:28Z</dcterms:modified>
</cp:coreProperties>
</file>
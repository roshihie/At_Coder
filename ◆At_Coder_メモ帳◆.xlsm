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6E9D91DA-98CA-4404-BE48-0B6B82CF473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At_Coder_C問題!$J$189</definedName>
    <definedName name="fromABC147_C_Honest_or_Unkind2">At_Coder_C問題!$J$194</definedName>
    <definedName name="fromABC149_C_NextPrime">At_Coder_C問題!$J$198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9" i="3" l="1"/>
  <c r="B200" i="3"/>
  <c r="B205" i="3"/>
  <c r="B204" i="3"/>
  <c r="B203" i="3"/>
  <c r="B202" i="3"/>
  <c r="B208" i="3" l="1"/>
  <c r="B207" i="3"/>
  <c r="B197" i="3"/>
  <c r="B196" i="3"/>
  <c r="B172" i="3" l="1"/>
  <c r="B175" i="3"/>
  <c r="B176" i="3"/>
  <c r="B174" i="3"/>
  <c r="B30" i="3"/>
  <c r="B29" i="3"/>
  <c r="B28" i="3"/>
  <c r="B27" i="3"/>
  <c r="B138" i="3" l="1"/>
  <c r="B249" i="3"/>
  <c r="B250" i="3"/>
  <c r="B248" i="3"/>
  <c r="B251" i="3"/>
  <c r="B20" i="3" l="1"/>
  <c r="B13" i="3"/>
  <c r="B6" i="3" l="1"/>
  <c r="B62" i="3" l="1"/>
  <c r="B63" i="3"/>
  <c r="B293" i="3" l="1"/>
  <c r="B292" i="3"/>
  <c r="B291" i="3"/>
  <c r="B290" i="3"/>
  <c r="B289" i="3"/>
  <c r="B288" i="3"/>
  <c r="B285" i="3"/>
  <c r="B283" i="3"/>
  <c r="B282" i="3"/>
  <c r="B281" i="3"/>
  <c r="B280" i="3"/>
  <c r="B279" i="3"/>
  <c r="B278" i="3"/>
  <c r="B286" i="3"/>
  <c r="B284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5" i="3"/>
  <c r="B254" i="3"/>
  <c r="B253" i="3"/>
  <c r="B252" i="3"/>
  <c r="B246" i="3"/>
  <c r="B245" i="3"/>
  <c r="B244" i="3"/>
  <c r="B243" i="3"/>
  <c r="B242" i="3"/>
  <c r="B241" i="3"/>
  <c r="B240" i="3"/>
  <c r="B237" i="3"/>
  <c r="B236" i="3"/>
  <c r="J232" i="3"/>
  <c r="B232" i="3"/>
  <c r="B231" i="3"/>
  <c r="B230" i="3"/>
  <c r="B229" i="3"/>
  <c r="B228" i="3"/>
  <c r="B227" i="3"/>
  <c r="B226" i="3"/>
  <c r="B188" i="3"/>
  <c r="B187" i="3"/>
  <c r="B186" i="3"/>
  <c r="B185" i="3"/>
  <c r="B184" i="3"/>
  <c r="B183" i="3"/>
  <c r="B182" i="3"/>
  <c r="B181" i="3"/>
  <c r="B180" i="3"/>
  <c r="B179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294" i="3" l="1"/>
  <c r="B233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26" i="3" l="1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87" i="3"/>
  <c r="B258" i="3"/>
  <c r="B257" i="3"/>
  <c r="B256" i="3"/>
  <c r="B247" i="3"/>
  <c r="B239" i="3"/>
  <c r="B238" i="3"/>
  <c r="B235" i="3"/>
  <c r="B234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6" i="3"/>
  <c r="B201" i="3"/>
  <c r="B198" i="3"/>
  <c r="B195" i="3"/>
  <c r="B194" i="3"/>
  <c r="B193" i="3"/>
  <c r="B192" i="3"/>
  <c r="B191" i="3"/>
  <c r="B190" i="3"/>
  <c r="B189" i="3"/>
  <c r="B178" i="3"/>
  <c r="B177" i="3"/>
  <c r="B173" i="3"/>
  <c r="B171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<sst xmlns="http://schemas.openxmlformats.org/spreadsheetml/2006/main" count="748" uniqueCount="438">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</sst>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287</xdr:row>
      <xdr:rowOff>33337</xdr:rowOff>
    </xdr:from>
    <xdr:to>
      <xdr:col>16</xdr:col>
      <xdr:colOff>38100</xdr:colOff>
      <xdr:row>287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289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288</xdr:row>
      <xdr:rowOff>35719</xdr:rowOff>
    </xdr:from>
    <xdr:to>
      <xdr:col>21</xdr:col>
      <xdr:colOff>133350</xdr:colOff>
      <xdr:row>289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26"/>
  <sheetViews>
    <sheetView tabSelected="1" zoomScaleNormal="100" workbookViewId="0">
      <pane xSplit="7" ySplit="4" topLeftCell="H188" activePane="bottomRight" state="frozen"/>
      <selection pane="topRight" activeCell="H1" sqref="H1"/>
      <selection pane="bottomLeft" activeCell="A5" sqref="A5"/>
      <selection pane="bottomRight" activeCell="J200" sqref="J200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49</v>
      </c>
      <c r="C156" s="58"/>
      <c r="D156" s="58"/>
      <c r="E156" s="59" t="s">
        <v>139</v>
      </c>
      <c r="F156" s="59" t="s">
        <v>135</v>
      </c>
      <c r="G156" s="74" t="s">
        <v>174</v>
      </c>
      <c r="H156" s="61">
        <v>43982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s="46" customFormat="1" ht="13.5" customHeight="1" x14ac:dyDescent="0.15">
      <c r="B157" s="75">
        <f>IF(G157&lt;&gt;"",SUBTOTAL(3,$G$5:G157),"")</f>
        <v>50</v>
      </c>
      <c r="C157" s="75"/>
      <c r="D157" s="75"/>
      <c r="E157" s="76" t="s">
        <v>139</v>
      </c>
      <c r="F157" s="76" t="s">
        <v>135</v>
      </c>
      <c r="G157" s="74" t="s">
        <v>175</v>
      </c>
      <c r="H157" s="61">
        <v>43995</v>
      </c>
      <c r="I157" s="62"/>
      <c r="J157" s="77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78"/>
      <c r="AS157" s="77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78"/>
      <c r="CB157" s="74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</row>
    <row r="158" spans="2:130" s="46" customFormat="1" x14ac:dyDescent="0.15">
      <c r="B158" s="75">
        <f>IF(G158&lt;&gt;"",SUBTOTAL(3,$G$5:G158),"")</f>
        <v>51</v>
      </c>
      <c r="C158" s="75"/>
      <c r="D158" s="75"/>
      <c r="E158" s="76" t="s">
        <v>139</v>
      </c>
      <c r="F158" s="76" t="s">
        <v>135</v>
      </c>
      <c r="G158" s="74" t="s">
        <v>176</v>
      </c>
      <c r="H158" s="61">
        <v>43955</v>
      </c>
      <c r="I158" s="62">
        <v>1</v>
      </c>
      <c r="J158" s="79" t="s">
        <v>317</v>
      </c>
      <c r="K158" s="80"/>
      <c r="L158" s="80"/>
      <c r="M158" s="80"/>
      <c r="N158" s="80"/>
      <c r="O158" s="80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  <c r="AH158" s="80"/>
      <c r="AI158" s="80"/>
      <c r="AJ158" s="80"/>
      <c r="AK158" s="80"/>
      <c r="AL158" s="80"/>
      <c r="AM158" s="80"/>
      <c r="AN158" s="80"/>
      <c r="AO158" s="80"/>
      <c r="AP158" s="80"/>
      <c r="AQ158" s="80"/>
      <c r="AR158" s="81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74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</row>
    <row r="159" spans="2:130" s="46" customFormat="1" x14ac:dyDescent="0.15">
      <c r="B159" s="75" t="str">
        <f>IF(G159&lt;&gt;"",SUBTOTAL(3,$G$5:G159),"")</f>
        <v/>
      </c>
      <c r="C159" s="75"/>
      <c r="D159" s="75"/>
      <c r="E159" s="76"/>
      <c r="F159" s="76"/>
      <c r="G159" s="74"/>
      <c r="H159" s="61"/>
      <c r="I159" s="70">
        <v>1</v>
      </c>
      <c r="J159" s="79" t="s">
        <v>262</v>
      </c>
      <c r="K159" s="80"/>
      <c r="L159" s="80"/>
      <c r="M159" s="80"/>
      <c r="N159" s="80"/>
      <c r="O159" s="80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  <c r="AJ159" s="80"/>
      <c r="AK159" s="80"/>
      <c r="AL159" s="80"/>
      <c r="AM159" s="80"/>
      <c r="AN159" s="80"/>
      <c r="AO159" s="80"/>
      <c r="AP159" s="80"/>
      <c r="AQ159" s="80"/>
      <c r="AR159" s="81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74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</row>
    <row r="160" spans="2:130" s="46" customFormat="1" x14ac:dyDescent="0.15">
      <c r="B160" s="75" t="str">
        <f>IF(G160&lt;&gt;"",SUBTOTAL(3,$G$5:G160),"")</f>
        <v/>
      </c>
      <c r="C160" s="75"/>
      <c r="D160" s="75"/>
      <c r="E160" s="76"/>
      <c r="F160" s="76"/>
      <c r="G160" s="74"/>
      <c r="H160" s="61"/>
      <c r="I160" s="70">
        <v>1</v>
      </c>
      <c r="J160" s="79" t="s">
        <v>318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1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319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1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266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1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320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321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322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323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324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272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325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/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ht="13.5" customHeight="1" x14ac:dyDescent="0.15">
      <c r="B171" s="75">
        <f>IF(G171&lt;&gt;"",SUBTOTAL(3,$G$5:G171),"")</f>
        <v>52</v>
      </c>
      <c r="C171" s="75"/>
      <c r="D171" s="75"/>
      <c r="E171" s="76" t="s">
        <v>139</v>
      </c>
      <c r="F171" s="76" t="s">
        <v>135</v>
      </c>
      <c r="G171" s="74" t="s">
        <v>177</v>
      </c>
      <c r="H171" s="61">
        <v>43967</v>
      </c>
      <c r="I171" s="103">
        <v>1</v>
      </c>
      <c r="J171" s="77" t="s">
        <v>426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78"/>
      <c r="AS171" s="77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78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102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7" t="s">
        <v>427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75">
        <f>IF(G173&lt;&gt;"",SUBTOTAL(3,$G$5:G173),"")</f>
        <v>53</v>
      </c>
      <c r="C173" s="75"/>
      <c r="D173" s="75"/>
      <c r="E173" s="76" t="s">
        <v>139</v>
      </c>
      <c r="F173" s="76" t="s">
        <v>135</v>
      </c>
      <c r="G173" s="74" t="s">
        <v>178</v>
      </c>
      <c r="H173" s="61">
        <v>43870</v>
      </c>
      <c r="I173" s="62">
        <v>1</v>
      </c>
      <c r="J173" s="77" t="s">
        <v>423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102" t="str">
        <f>IF(G174&lt;&gt;"",SUBTOTAL(3,$G$5:G174),"")</f>
        <v/>
      </c>
      <c r="C174" s="75"/>
      <c r="D174" s="75"/>
      <c r="E174" s="76"/>
      <c r="F174" s="76"/>
      <c r="G174" s="74"/>
      <c r="H174" s="61"/>
      <c r="I174" s="68"/>
      <c r="J174" s="77" t="s">
        <v>424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102" t="str">
        <f>IF(G175&lt;&gt;"",SUBTOTAL(3,$G$5:G175),"")</f>
        <v/>
      </c>
      <c r="C175" s="75"/>
      <c r="D175" s="75"/>
      <c r="E175" s="76"/>
      <c r="F175" s="76"/>
      <c r="G175" s="74"/>
      <c r="H175" s="61"/>
      <c r="I175" s="68"/>
      <c r="J175" s="77" t="s">
        <v>425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102" t="str">
        <f>IF(G176&lt;&gt;"",SUBTOTAL(3,$G$5:G176),"")</f>
        <v/>
      </c>
      <c r="C176" s="75"/>
      <c r="D176" s="75"/>
      <c r="E176" s="76"/>
      <c r="F176" s="76"/>
      <c r="G176" s="74"/>
      <c r="H176" s="61"/>
      <c r="I176" s="68"/>
      <c r="J176" s="77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x14ac:dyDescent="0.15">
      <c r="B177" s="75">
        <f>IF(G177&lt;&gt;"",SUBTOTAL(3,$G$5:G177),"")</f>
        <v>54</v>
      </c>
      <c r="C177" s="75"/>
      <c r="D177" s="75"/>
      <c r="E177" s="76" t="s">
        <v>139</v>
      </c>
      <c r="F177" s="76" t="s">
        <v>135</v>
      </c>
      <c r="G177" s="74" t="s">
        <v>179</v>
      </c>
      <c r="H177" s="61">
        <v>43869</v>
      </c>
      <c r="I177" s="62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IF(G178&lt;&gt;"",SUBTOTAL(3,$G$5:G178),"")</f>
        <v>55</v>
      </c>
      <c r="C178" s="75"/>
      <c r="D178" s="75"/>
      <c r="E178" s="76" t="s">
        <v>139</v>
      </c>
      <c r="F178" s="76" t="s">
        <v>135</v>
      </c>
      <c r="G178" s="74" t="s">
        <v>89</v>
      </c>
      <c r="H178" s="61">
        <v>43961</v>
      </c>
      <c r="I178" s="62">
        <v>1</v>
      </c>
      <c r="J178" s="79" t="s">
        <v>326</v>
      </c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1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9" t="s">
        <v>262</v>
      </c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1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9" t="s">
        <v>327</v>
      </c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1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79" t="s">
        <v>328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 t="s">
        <v>266</v>
      </c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1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75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9" t="s">
        <v>320</v>
      </c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1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9" t="s">
        <v>329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330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323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272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/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75">
        <f>IF(G189&lt;&gt;"",SUBTOTAL(3,$G$5:G189),"")</f>
        <v>56</v>
      </c>
      <c r="C189" s="75"/>
      <c r="D189" s="75"/>
      <c r="E189" s="76" t="s">
        <v>139</v>
      </c>
      <c r="F189" s="76" t="s">
        <v>135</v>
      </c>
      <c r="G189" s="74" t="s">
        <v>180</v>
      </c>
      <c r="H189" s="61">
        <v>43961</v>
      </c>
      <c r="I189" s="62"/>
      <c r="J189" s="77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82" t="s">
        <v>13</v>
      </c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75">
        <f>IF(G190&lt;&gt;"",SUBTOTAL(3,$G$5:G190),"")</f>
        <v>57</v>
      </c>
      <c r="C190" s="75"/>
      <c r="D190" s="75"/>
      <c r="E190" s="76" t="s">
        <v>139</v>
      </c>
      <c r="F190" s="76" t="s">
        <v>135</v>
      </c>
      <c r="G190" s="74" t="s">
        <v>181</v>
      </c>
      <c r="H190" s="61">
        <v>43995</v>
      </c>
      <c r="I190" s="62"/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IF(G191&lt;&gt;"",SUBTOTAL(3,$G$5:G191),"")</f>
        <v>58</v>
      </c>
      <c r="C191" s="75"/>
      <c r="D191" s="75"/>
      <c r="E191" s="76" t="s">
        <v>139</v>
      </c>
      <c r="F191" s="76" t="s">
        <v>135</v>
      </c>
      <c r="G191" s="74" t="s">
        <v>182</v>
      </c>
      <c r="H191" s="61">
        <v>43961</v>
      </c>
      <c r="I191" s="62"/>
      <c r="J191" s="77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75">
        <f>IF(G192&lt;&gt;"",SUBTOTAL(3,$G$5:G192),"")</f>
        <v>59</v>
      </c>
      <c r="C192" s="75"/>
      <c r="D192" s="75"/>
      <c r="E192" s="76" t="s">
        <v>139</v>
      </c>
      <c r="F192" s="76" t="s">
        <v>135</v>
      </c>
      <c r="G192" s="74" t="s">
        <v>183</v>
      </c>
      <c r="H192" s="61">
        <v>43961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75">
        <f>IF(G193&lt;&gt;"",SUBTOTAL(3,$G$5:G193),"")</f>
        <v>60</v>
      </c>
      <c r="C193" s="75"/>
      <c r="D193" s="75"/>
      <c r="E193" s="76" t="s">
        <v>139</v>
      </c>
      <c r="F193" s="76" t="s">
        <v>135</v>
      </c>
      <c r="G193" s="74" t="s">
        <v>184</v>
      </c>
      <c r="H193" s="61">
        <v>43995</v>
      </c>
      <c r="I193" s="62"/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IF(G194&lt;&gt;"",SUBTOTAL(3,$G$5:G194),"")</f>
        <v>61</v>
      </c>
      <c r="C194" s="75"/>
      <c r="D194" s="75"/>
      <c r="E194" s="76" t="s">
        <v>139</v>
      </c>
      <c r="F194" s="76" t="s">
        <v>135</v>
      </c>
      <c r="G194" s="74" t="s">
        <v>185</v>
      </c>
      <c r="H194" s="61">
        <v>44006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82" t="s">
        <v>13</v>
      </c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62</v>
      </c>
      <c r="C195" s="75"/>
      <c r="D195" s="75"/>
      <c r="E195" s="76" t="s">
        <v>139</v>
      </c>
      <c r="F195" s="76" t="s">
        <v>135</v>
      </c>
      <c r="G195" s="74" t="s">
        <v>15</v>
      </c>
      <c r="H195" s="61">
        <v>43995</v>
      </c>
      <c r="I195" s="62">
        <v>1</v>
      </c>
      <c r="J195" s="77" t="s">
        <v>428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82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102" t="str">
        <f>IF(G196&lt;&gt;"",SUBTOTAL(3,$G$5:G196),"")</f>
        <v/>
      </c>
      <c r="C196" s="75"/>
      <c r="D196" s="75"/>
      <c r="E196" s="76"/>
      <c r="F196" s="76"/>
      <c r="G196" s="74"/>
      <c r="H196" s="61"/>
      <c r="I196" s="70">
        <v>1</v>
      </c>
      <c r="J196" s="77" t="s">
        <v>429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82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102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82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63</v>
      </c>
      <c r="C198" s="75"/>
      <c r="D198" s="75"/>
      <c r="E198" s="76" t="s">
        <v>139</v>
      </c>
      <c r="F198" s="76" t="s">
        <v>135</v>
      </c>
      <c r="G198" s="74" t="s">
        <v>186</v>
      </c>
      <c r="H198" s="61">
        <v>43871</v>
      </c>
      <c r="I198" s="62">
        <v>1</v>
      </c>
      <c r="J198" s="77" t="s">
        <v>436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82" t="s">
        <v>13</v>
      </c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102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437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82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102" t="str">
        <f>IF(G200&lt;&gt;"",SUBTOTAL(3,$G$5:G200),"")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82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64</v>
      </c>
      <c r="C201" s="75"/>
      <c r="D201" s="75"/>
      <c r="E201" s="76" t="s">
        <v>139</v>
      </c>
      <c r="F201" s="76" t="s">
        <v>135</v>
      </c>
      <c r="G201" s="74" t="s">
        <v>187</v>
      </c>
      <c r="H201" s="61">
        <v>43936</v>
      </c>
      <c r="I201" s="62">
        <v>1</v>
      </c>
      <c r="J201" s="77" t="s">
        <v>432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102" t="str">
        <f>IF(G202&lt;&gt;"",SUBTOTAL(3,$G$5:G202),"")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433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102" t="str">
        <f>IF(G203&lt;&gt;"",SUBTOTAL(3,$G$5:G203),"")</f>
        <v/>
      </c>
      <c r="C203" s="75"/>
      <c r="D203" s="75"/>
      <c r="E203" s="76"/>
      <c r="F203" s="76"/>
      <c r="G203" s="74"/>
      <c r="H203" s="61"/>
      <c r="I203" s="70">
        <v>1</v>
      </c>
      <c r="J203" s="77" t="s">
        <v>434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102" t="str">
        <f>IF(G204&lt;&gt;"",SUBTOTAL(3,$G$5:G204),"")</f>
        <v/>
      </c>
      <c r="C204" s="75"/>
      <c r="D204" s="75"/>
      <c r="E204" s="76"/>
      <c r="F204" s="76"/>
      <c r="G204" s="74"/>
      <c r="H204" s="61"/>
      <c r="I204" s="70">
        <v>1</v>
      </c>
      <c r="J204" s="77" t="s">
        <v>435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IF(G206&lt;&gt;"",SUBTOTAL(3,$G$5:G206),"")</f>
        <v>65</v>
      </c>
      <c r="C206" s="75"/>
      <c r="D206" s="75"/>
      <c r="E206" s="76" t="s">
        <v>139</v>
      </c>
      <c r="F206" s="76" t="s">
        <v>135</v>
      </c>
      <c r="G206" s="74" t="s">
        <v>188</v>
      </c>
      <c r="H206" s="61">
        <v>43935</v>
      </c>
      <c r="I206" s="62">
        <v>1</v>
      </c>
      <c r="J206" s="77" t="s">
        <v>431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102" t="str">
        <f>IF(G207&lt;&gt;"",SUBTOTAL(3,$G$5:G207),"")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430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IF(G209&lt;&gt;"",SUBTOTAL(3,$G$5:G209),"")</f>
        <v>66</v>
      </c>
      <c r="C209" s="75"/>
      <c r="D209" s="75"/>
      <c r="E209" s="76" t="s">
        <v>139</v>
      </c>
      <c r="F209" s="76" t="s">
        <v>135</v>
      </c>
      <c r="G209" s="74" t="s">
        <v>189</v>
      </c>
      <c r="H209" s="61">
        <v>43919</v>
      </c>
      <c r="I209" s="62"/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67</v>
      </c>
      <c r="C210" s="75"/>
      <c r="D210" s="75"/>
      <c r="E210" s="76" t="s">
        <v>139</v>
      </c>
      <c r="F210" s="76" t="s">
        <v>135</v>
      </c>
      <c r="G210" s="74" t="s">
        <v>190</v>
      </c>
      <c r="H210" s="61">
        <v>43995</v>
      </c>
      <c r="I210" s="62"/>
      <c r="J210" s="77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75">
        <f>IF(G211&lt;&gt;"",SUBTOTAL(3,$G$5:G211),"")</f>
        <v>68</v>
      </c>
      <c r="C211" s="75"/>
      <c r="D211" s="75"/>
      <c r="E211" s="76" t="s">
        <v>139</v>
      </c>
      <c r="F211" s="76" t="s">
        <v>135</v>
      </c>
      <c r="G211" s="74" t="s">
        <v>191</v>
      </c>
      <c r="H211" s="61">
        <v>43975</v>
      </c>
      <c r="I211" s="62"/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IF(G212&lt;&gt;"",SUBTOTAL(3,$G$5:G212),"")</f>
        <v>69</v>
      </c>
      <c r="C212" s="75"/>
      <c r="D212" s="75"/>
      <c r="E212" s="76" t="s">
        <v>139</v>
      </c>
      <c r="F212" s="76" t="s">
        <v>135</v>
      </c>
      <c r="G212" s="74" t="s">
        <v>192</v>
      </c>
      <c r="H212" s="61">
        <v>43975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IF(G213&lt;&gt;"",SUBTOTAL(3,$G$5:G213),"")</f>
        <v>70</v>
      </c>
      <c r="C213" s="75"/>
      <c r="D213" s="75"/>
      <c r="E213" s="76" t="s">
        <v>139</v>
      </c>
      <c r="F213" s="76" t="s">
        <v>135</v>
      </c>
      <c r="G213" s="74" t="s">
        <v>193</v>
      </c>
      <c r="H213" s="61">
        <v>43975</v>
      </c>
      <c r="I213" s="62"/>
      <c r="J213" s="77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75">
        <f>IF(G214&lt;&gt;"",SUBTOTAL(3,$G$5:G214),"")</f>
        <v>71</v>
      </c>
      <c r="C214" s="75"/>
      <c r="D214" s="75"/>
      <c r="E214" s="76" t="s">
        <v>139</v>
      </c>
      <c r="F214" s="76" t="s">
        <v>135</v>
      </c>
      <c r="G214" s="74" t="s">
        <v>194</v>
      </c>
      <c r="H214" s="61">
        <v>43975</v>
      </c>
      <c r="I214" s="62"/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72</v>
      </c>
      <c r="C215" s="75"/>
      <c r="D215" s="75"/>
      <c r="E215" s="76" t="s">
        <v>139</v>
      </c>
      <c r="F215" s="76" t="s">
        <v>135</v>
      </c>
      <c r="G215" s="74" t="s">
        <v>195</v>
      </c>
      <c r="H215" s="61">
        <v>43977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73</v>
      </c>
      <c r="C216" s="75"/>
      <c r="D216" s="75"/>
      <c r="E216" s="76" t="s">
        <v>139</v>
      </c>
      <c r="F216" s="76" t="s">
        <v>135</v>
      </c>
      <c r="G216" s="74" t="s">
        <v>196</v>
      </c>
      <c r="H216" s="61">
        <v>43977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IF(G217&lt;&gt;"",SUBTOTAL(3,$G$5:G217),"")</f>
        <v>74</v>
      </c>
      <c r="C217" s="75"/>
      <c r="D217" s="75"/>
      <c r="E217" s="76" t="s">
        <v>139</v>
      </c>
      <c r="F217" s="76" t="s">
        <v>135</v>
      </c>
      <c r="G217" s="74" t="s">
        <v>197</v>
      </c>
      <c r="H217" s="61">
        <v>43977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75</v>
      </c>
      <c r="C218" s="75"/>
      <c r="D218" s="75"/>
      <c r="E218" s="76" t="s">
        <v>139</v>
      </c>
      <c r="F218" s="76" t="s">
        <v>135</v>
      </c>
      <c r="G218" s="74" t="s">
        <v>198</v>
      </c>
      <c r="H218" s="61">
        <v>43995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76</v>
      </c>
      <c r="C219" s="75"/>
      <c r="D219" s="75"/>
      <c r="E219" s="76" t="s">
        <v>139</v>
      </c>
      <c r="F219" s="76" t="s">
        <v>135</v>
      </c>
      <c r="G219" s="74" t="s">
        <v>199</v>
      </c>
      <c r="H219" s="61">
        <v>43982</v>
      </c>
      <c r="I219" s="62"/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IF(G220&lt;&gt;"",SUBTOTAL(3,$G$5:G220),"")</f>
        <v>77</v>
      </c>
      <c r="C220" s="75"/>
      <c r="D220" s="75"/>
      <c r="E220" s="76" t="s">
        <v>139</v>
      </c>
      <c r="F220" s="76" t="s">
        <v>135</v>
      </c>
      <c r="G220" s="74" t="s">
        <v>200</v>
      </c>
      <c r="H220" s="61">
        <v>43989</v>
      </c>
      <c r="I220" s="62"/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78</v>
      </c>
      <c r="C221" s="75"/>
      <c r="D221" s="75"/>
      <c r="E221" s="76" t="s">
        <v>139</v>
      </c>
      <c r="F221" s="76" t="s">
        <v>135</v>
      </c>
      <c r="G221" s="74" t="s">
        <v>201</v>
      </c>
      <c r="H221" s="61">
        <v>43989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79</v>
      </c>
      <c r="C222" s="75"/>
      <c r="D222" s="75"/>
      <c r="E222" s="76" t="s">
        <v>139</v>
      </c>
      <c r="F222" s="76" t="s">
        <v>135</v>
      </c>
      <c r="G222" s="74" t="s">
        <v>202</v>
      </c>
      <c r="H222" s="61">
        <v>43991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80</v>
      </c>
      <c r="C223" s="75"/>
      <c r="D223" s="75"/>
      <c r="E223" s="76" t="s">
        <v>139</v>
      </c>
      <c r="F223" s="76" t="s">
        <v>135</v>
      </c>
      <c r="G223" s="74" t="s">
        <v>203</v>
      </c>
      <c r="H223" s="61">
        <v>43991</v>
      </c>
      <c r="I223" s="62"/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81</v>
      </c>
      <c r="C224" s="75"/>
      <c r="D224" s="75"/>
      <c r="E224" s="76" t="s">
        <v>139</v>
      </c>
      <c r="F224" s="76" t="s">
        <v>135</v>
      </c>
      <c r="G224" s="74" t="s">
        <v>204</v>
      </c>
      <c r="H224" s="61">
        <v>43992</v>
      </c>
      <c r="I224" s="62"/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x14ac:dyDescent="0.15">
      <c r="B225" s="75">
        <f>IF(G225&lt;&gt;"",SUBTOTAL(3,$G$5:G225),"")</f>
        <v>82</v>
      </c>
      <c r="C225" s="75"/>
      <c r="D225" s="75"/>
      <c r="E225" s="76" t="s">
        <v>139</v>
      </c>
      <c r="F225" s="76" t="s">
        <v>135</v>
      </c>
      <c r="G225" s="74" t="s">
        <v>205</v>
      </c>
      <c r="H225" s="61">
        <v>43994</v>
      </c>
      <c r="I225" s="62">
        <v>0.8</v>
      </c>
      <c r="J225" s="77" t="s">
        <v>331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x14ac:dyDescent="0.15">
      <c r="B226" s="75" t="str">
        <f>IF(G226&lt;&gt;"",SUBTOTAL(3,$G$5:G226),"")</f>
        <v/>
      </c>
      <c r="C226" s="75"/>
      <c r="D226" s="75"/>
      <c r="E226" s="76"/>
      <c r="F226" s="76"/>
      <c r="G226" s="74"/>
      <c r="H226" s="61"/>
      <c r="I226" s="68">
        <v>0.8</v>
      </c>
      <c r="J226" s="77" t="s">
        <v>332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x14ac:dyDescent="0.15">
      <c r="B227" s="75" t="str">
        <f>IF(G227&lt;&gt;"",SUBTOTAL(3,$G$5:G227),"")</f>
        <v/>
      </c>
      <c r="C227" s="75"/>
      <c r="D227" s="75"/>
      <c r="E227" s="76"/>
      <c r="F227" s="76"/>
      <c r="G227" s="74"/>
      <c r="H227" s="61"/>
      <c r="I227" s="68">
        <v>0.8</v>
      </c>
      <c r="J227" s="77" t="s">
        <v>333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x14ac:dyDescent="0.15">
      <c r="B228" s="75" t="str">
        <f>IF(G228&lt;&gt;"",SUBTOTAL(3,$G$5:G228),"")</f>
        <v/>
      </c>
      <c r="C228" s="75"/>
      <c r="D228" s="75"/>
      <c r="E228" s="76"/>
      <c r="F228" s="76"/>
      <c r="G228" s="74"/>
      <c r="H228" s="61"/>
      <c r="I228" s="68">
        <v>0.8</v>
      </c>
      <c r="J228" s="77" t="s">
        <v>334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x14ac:dyDescent="0.15">
      <c r="B229" s="75" t="str">
        <f>IF(G229&lt;&gt;"",SUBTOTAL(3,$G$5:G229),"")</f>
        <v/>
      </c>
      <c r="C229" s="75"/>
      <c r="D229" s="75"/>
      <c r="E229" s="76"/>
      <c r="F229" s="76"/>
      <c r="G229" s="74"/>
      <c r="H229" s="61"/>
      <c r="I229" s="68">
        <v>0.8</v>
      </c>
      <c r="J229" s="77" t="s">
        <v>335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x14ac:dyDescent="0.15">
      <c r="B230" s="75" t="str">
        <f>IF(G230&lt;&gt;"",SUBTOTAL(3,$G$5:G230),"")</f>
        <v/>
      </c>
      <c r="C230" s="75"/>
      <c r="D230" s="75"/>
      <c r="E230" s="76"/>
      <c r="F230" s="76"/>
      <c r="G230" s="74"/>
      <c r="H230" s="61"/>
      <c r="I230" s="68">
        <v>0.8</v>
      </c>
      <c r="J230" s="77" t="s">
        <v>336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x14ac:dyDescent="0.15">
      <c r="B231" s="75" t="str">
        <f>IF(G231&lt;&gt;"",SUBTOTAL(3,$G$5:G231),"")</f>
        <v/>
      </c>
      <c r="C231" s="75"/>
      <c r="D231" s="75"/>
      <c r="E231" s="76"/>
      <c r="F231" s="76"/>
      <c r="G231" s="74"/>
      <c r="H231" s="61"/>
      <c r="I231" s="68">
        <v>0.8</v>
      </c>
      <c r="J231" s="77" t="s">
        <v>337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x14ac:dyDescent="0.15">
      <c r="B232" s="75" t="str">
        <f>IF(G232&lt;&gt;"",SUBTOTAL(3,$G$5:G232),"")</f>
        <v/>
      </c>
      <c r="C232" s="75"/>
      <c r="D232" s="75"/>
      <c r="E232" s="76"/>
      <c r="F232" s="76"/>
      <c r="G232" s="74"/>
      <c r="H232" s="61"/>
      <c r="I232" s="68">
        <v>0.8</v>
      </c>
      <c r="J232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x14ac:dyDescent="0.15">
      <c r="B233" s="75" t="str">
        <f>IF(G233&lt;&gt;"",SUBTOTAL(3,$G$5:G233),"")</f>
        <v/>
      </c>
      <c r="C233" s="75"/>
      <c r="D233" s="75"/>
      <c r="E233" s="76"/>
      <c r="F233" s="76"/>
      <c r="G233" s="74"/>
      <c r="H233" s="61"/>
      <c r="I233" s="68">
        <v>0.8</v>
      </c>
      <c r="J233" s="37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9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IF(G234&lt;&gt;"",SUBTOTAL(3,$G$5:G234),"")</f>
        <v>83</v>
      </c>
      <c r="C234" s="75"/>
      <c r="D234" s="75"/>
      <c r="E234" s="76" t="s">
        <v>139</v>
      </c>
      <c r="F234" s="76" t="s">
        <v>135</v>
      </c>
      <c r="G234" s="74" t="s">
        <v>206</v>
      </c>
      <c r="H234" s="61">
        <v>43995</v>
      </c>
      <c r="I234" s="62"/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x14ac:dyDescent="0.15">
      <c r="B235" s="75">
        <f>IF(G235&lt;&gt;"",SUBTOTAL(3,$G$5:G235),"")</f>
        <v>84</v>
      </c>
      <c r="C235" s="75"/>
      <c r="D235" s="75"/>
      <c r="E235" s="76" t="s">
        <v>139</v>
      </c>
      <c r="F235" s="76" t="s">
        <v>135</v>
      </c>
      <c r="G235" s="74" t="s">
        <v>207</v>
      </c>
      <c r="H235" s="61">
        <v>43997</v>
      </c>
      <c r="I235" s="62">
        <v>1</v>
      </c>
      <c r="J235" s="77" t="s">
        <v>404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 t="s">
        <v>339</v>
      </c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x14ac:dyDescent="0.15">
      <c r="B236" s="75" t="str">
        <f>IF(G236&lt;&gt;"",SUBTOTAL(3,$G$5:G236),"")</f>
        <v/>
      </c>
      <c r="C236" s="75"/>
      <c r="D236" s="75"/>
      <c r="E236" s="76"/>
      <c r="F236" s="76"/>
      <c r="G236" s="74"/>
      <c r="H236" s="61"/>
      <c r="I236" s="70">
        <v>1</v>
      </c>
      <c r="J236" s="77" t="s">
        <v>403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 t="s">
        <v>405</v>
      </c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x14ac:dyDescent="0.15">
      <c r="B237" s="75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 t="s">
        <v>338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 t="s">
        <v>406</v>
      </c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85</v>
      </c>
      <c r="C238" s="75"/>
      <c r="D238" s="75"/>
      <c r="E238" s="76" t="s">
        <v>139</v>
      </c>
      <c r="F238" s="76" t="s">
        <v>135</v>
      </c>
      <c r="G238" s="74" t="s">
        <v>208</v>
      </c>
      <c r="H238" s="61">
        <v>44004</v>
      </c>
      <c r="I238" s="62"/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x14ac:dyDescent="0.15">
      <c r="B239" s="75">
        <f>IF(G239&lt;&gt;"",SUBTOTAL(3,$G$5:G239),"")</f>
        <v>86</v>
      </c>
      <c r="C239" s="75"/>
      <c r="D239" s="75"/>
      <c r="E239" s="76" t="s">
        <v>139</v>
      </c>
      <c r="F239" s="76" t="s">
        <v>142</v>
      </c>
      <c r="G239" s="76" t="s">
        <v>209</v>
      </c>
      <c r="H239" s="61">
        <v>44030</v>
      </c>
      <c r="I239" s="62">
        <v>1</v>
      </c>
      <c r="J239" s="77" t="s">
        <v>340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 t="s">
        <v>407</v>
      </c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x14ac:dyDescent="0.15">
      <c r="B240" s="75" t="str">
        <f>IF(G240&lt;&gt;"",SUBTOTAL(3,$G$5:G240),"")</f>
        <v/>
      </c>
      <c r="C240" s="75"/>
      <c r="D240" s="75"/>
      <c r="E240" s="76"/>
      <c r="F240" s="76"/>
      <c r="G240" s="76"/>
      <c r="H240" s="61"/>
      <c r="I240" s="70">
        <v>1</v>
      </c>
      <c r="J240" s="77" t="s">
        <v>341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75" t="str">
        <f>IF(G241&lt;&gt;"",SUBTOTAL(3,$G$5:G241),"")</f>
        <v/>
      </c>
      <c r="C241" s="75"/>
      <c r="D241" s="75"/>
      <c r="E241" s="76"/>
      <c r="F241" s="76"/>
      <c r="G241" s="76"/>
      <c r="H241" s="61"/>
      <c r="I241" s="70">
        <v>1</v>
      </c>
      <c r="J241" s="77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 t="s">
        <v>408</v>
      </c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x14ac:dyDescent="0.15">
      <c r="B242" s="75" t="str">
        <f>IF(G242&lt;&gt;"",SUBTOTAL(3,$G$5:G242),"")</f>
        <v/>
      </c>
      <c r="C242" s="75"/>
      <c r="D242" s="75"/>
      <c r="E242" s="76"/>
      <c r="F242" s="76"/>
      <c r="G242" s="76"/>
      <c r="H242" s="61"/>
      <c r="I242" s="70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 t="s">
        <v>342</v>
      </c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5.75" x14ac:dyDescent="0.15">
      <c r="B243" s="75" t="str">
        <f>IF(G243&lt;&gt;"",SUBTOTAL(3,$G$5:G243),"")</f>
        <v/>
      </c>
      <c r="C243" s="75"/>
      <c r="D243" s="75"/>
      <c r="E243" s="76"/>
      <c r="F243" s="76"/>
      <c r="G243" s="76"/>
      <c r="H243" s="61"/>
      <c r="I243" s="70">
        <v>1</v>
      </c>
      <c r="J243" s="77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 t="s">
        <v>370</v>
      </c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75" t="str">
        <f>IF(G244&lt;&gt;"",SUBTOTAL(3,$G$5:G244),"")</f>
        <v/>
      </c>
      <c r="C244" s="75"/>
      <c r="D244" s="75"/>
      <c r="E244" s="76"/>
      <c r="F244" s="76"/>
      <c r="G244" s="76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 t="s">
        <v>409</v>
      </c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6"/>
      <c r="H245" s="61"/>
      <c r="I245" s="70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 t="s">
        <v>410</v>
      </c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6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>
        <f>IF(G247&lt;&gt;"",SUBTOTAL(3,$G$5:G247),"")</f>
        <v>87</v>
      </c>
      <c r="C247" s="75"/>
      <c r="D247" s="75"/>
      <c r="E247" s="76" t="s">
        <v>139</v>
      </c>
      <c r="F247" s="76" t="s">
        <v>142</v>
      </c>
      <c r="G247" s="76" t="s">
        <v>216</v>
      </c>
      <c r="H247" s="61">
        <v>44052</v>
      </c>
      <c r="I247" s="62">
        <v>0.5</v>
      </c>
      <c r="J247" s="77" t="s">
        <v>343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 t="s">
        <v>412</v>
      </c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102" t="str">
        <f>IF(G248&lt;&gt;"",SUBTOTAL(3,$G$5:G248),"")</f>
        <v/>
      </c>
      <c r="C248" s="75"/>
      <c r="D248" s="75"/>
      <c r="E248" s="76"/>
      <c r="F248" s="76"/>
      <c r="G248" s="76"/>
      <c r="H248" s="61"/>
      <c r="I248" s="68">
        <v>0.5</v>
      </c>
      <c r="J248" s="77" t="s">
        <v>371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 t="s">
        <v>411</v>
      </c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102" t="str">
        <f>IF(G249&lt;&gt;"",SUBTOTAL(3,$G$5:G249),"")</f>
        <v/>
      </c>
      <c r="C249" s="75"/>
      <c r="D249" s="75"/>
      <c r="E249" s="76"/>
      <c r="F249" s="76"/>
      <c r="G249" s="76"/>
      <c r="H249" s="61"/>
      <c r="I249" s="68">
        <v>0.5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 t="s">
        <v>413</v>
      </c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102" t="str">
        <f>IF(G250&lt;&gt;"",SUBTOTAL(3,$G$5:G250),"")</f>
        <v/>
      </c>
      <c r="C250" s="75"/>
      <c r="D250" s="75"/>
      <c r="E250" s="76"/>
      <c r="F250" s="76"/>
      <c r="G250" s="76"/>
      <c r="H250" s="61"/>
      <c r="I250" s="68">
        <v>0.5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 t="s">
        <v>414</v>
      </c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102" t="str">
        <f>IF(G251&lt;&gt;"",SUBTOTAL(3,$G$5:G251),"")</f>
        <v/>
      </c>
      <c r="C251" s="75"/>
      <c r="D251" s="75"/>
      <c r="E251" s="76"/>
      <c r="F251" s="76"/>
      <c r="G251" s="76"/>
      <c r="H251" s="61"/>
      <c r="I251" s="68">
        <v>0.5</v>
      </c>
      <c r="J251" s="77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 t="s">
        <v>416</v>
      </c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6"/>
      <c r="H252" s="61"/>
      <c r="I252" s="68">
        <v>0.5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 t="s">
        <v>415</v>
      </c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6"/>
      <c r="H253" s="61"/>
      <c r="I253" s="68">
        <v>0.5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 t="s">
        <v>417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6"/>
      <c r="H254" s="61"/>
      <c r="I254" s="68">
        <v>0.5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68">
        <v>0.5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75">
        <f>IF(G256&lt;&gt;"",SUBTOTAL(3,$G$5:G256),"")</f>
        <v>88</v>
      </c>
      <c r="C256" s="75"/>
      <c r="D256" s="75"/>
      <c r="E256" s="76" t="s">
        <v>139</v>
      </c>
      <c r="F256" s="76" t="s">
        <v>142</v>
      </c>
      <c r="G256" s="76" t="s">
        <v>223</v>
      </c>
      <c r="H256" s="61">
        <v>44062</v>
      </c>
      <c r="I256" s="62">
        <v>1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75">
        <f>IF(G257&lt;&gt;"",SUBTOTAL(3,$G$5:G257),"")</f>
        <v>89</v>
      </c>
      <c r="C257" s="75"/>
      <c r="D257" s="75"/>
      <c r="E257" s="76" t="s">
        <v>139</v>
      </c>
      <c r="F257" s="76" t="s">
        <v>142</v>
      </c>
      <c r="G257" s="76" t="s">
        <v>224</v>
      </c>
      <c r="H257" s="61">
        <v>44071</v>
      </c>
      <c r="I257" s="62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>
        <f>IF(G258&lt;&gt;"",SUBTOTAL(3,$G$5:G258),"")</f>
        <v>90</v>
      </c>
      <c r="C258" s="75"/>
      <c r="D258" s="75"/>
      <c r="E258" s="76" t="s">
        <v>139</v>
      </c>
      <c r="F258" s="76" t="s">
        <v>142</v>
      </c>
      <c r="G258" s="76" t="s">
        <v>228</v>
      </c>
      <c r="H258" s="61">
        <v>44073</v>
      </c>
      <c r="I258" s="62">
        <v>1</v>
      </c>
      <c r="J258" s="98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98" t="s">
        <v>354</v>
      </c>
      <c r="AT258" s="43" t="s">
        <v>355</v>
      </c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99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99" t="s">
        <v>344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99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99" t="s">
        <v>345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70">
        <v>1</v>
      </c>
      <c r="J261" s="99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99" t="s">
        <v>346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6"/>
      <c r="H262" s="61"/>
      <c r="I262" s="70">
        <v>1</v>
      </c>
      <c r="J262" s="99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99" t="s">
        <v>347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99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99" t="s">
        <v>359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99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99" t="s">
        <v>348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99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99" t="s">
        <v>349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98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98" t="s">
        <v>354</v>
      </c>
      <c r="AT266" s="43" t="s">
        <v>356</v>
      </c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360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361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99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99" t="s">
        <v>344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99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99" t="s">
        <v>345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99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99" t="s">
        <v>346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99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99" t="s">
        <v>347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99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99" t="s">
        <v>362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99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99" t="s">
        <v>350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99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99" t="s">
        <v>348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99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99" t="s">
        <v>349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98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98" t="s">
        <v>357</v>
      </c>
      <c r="AT277" s="43" t="s">
        <v>358</v>
      </c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 t="s">
        <v>363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99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99" t="s">
        <v>344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99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99" t="s">
        <v>345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99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99" t="s">
        <v>346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99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99" t="s">
        <v>347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99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99" t="s">
        <v>351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99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9" t="s">
        <v>348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9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9" t="s">
        <v>349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4.25" customHeight="1" x14ac:dyDescent="0.15">
      <c r="B287" s="75">
        <f>IF(G287&lt;&gt;"",SUBTOTAL(3,$G$5:G287),"")</f>
        <v>91</v>
      </c>
      <c r="C287" s="75"/>
      <c r="D287" s="75"/>
      <c r="E287" s="76" t="s">
        <v>139</v>
      </c>
      <c r="F287" s="76" t="s">
        <v>142</v>
      </c>
      <c r="G287" s="76" t="s">
        <v>239</v>
      </c>
      <c r="H287" s="61">
        <v>44108</v>
      </c>
      <c r="I287" s="62">
        <v>0.5</v>
      </c>
      <c r="J287" s="77" t="s">
        <v>1</v>
      </c>
      <c r="K287" s="43" t="s">
        <v>353</v>
      </c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4.25" customHeigh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68">
        <v>0.5</v>
      </c>
      <c r="J288" s="83"/>
      <c r="K288" s="84"/>
      <c r="L288" s="84"/>
      <c r="M288" s="84"/>
      <c r="N288" s="84"/>
      <c r="O288" s="84"/>
      <c r="P288" s="84"/>
      <c r="Q288" s="84"/>
      <c r="R288" s="85" t="s">
        <v>352</v>
      </c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6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4.25" customHeigh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68">
        <v>0.5</v>
      </c>
      <c r="J289" s="87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6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4.25" customHeigh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68">
        <v>0.5</v>
      </c>
      <c r="J290" s="83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6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4.25" customHeigh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68">
        <v>0.5</v>
      </c>
      <c r="J291" s="83" t="s">
        <v>240</v>
      </c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6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4.25" customHeigh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68">
        <v>0.5</v>
      </c>
      <c r="J292" s="83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  <c r="AA292" s="84"/>
      <c r="AB292" s="84"/>
      <c r="AC292" s="84"/>
      <c r="AD292" s="84"/>
      <c r="AE292" s="84"/>
      <c r="AF292" s="84"/>
      <c r="AG292" s="84"/>
      <c r="AH292" s="84"/>
      <c r="AI292" s="84"/>
      <c r="AJ292" s="84"/>
      <c r="AK292" s="84"/>
      <c r="AL292" s="84"/>
      <c r="AM292" s="84"/>
      <c r="AN292" s="84"/>
      <c r="AO292" s="84"/>
      <c r="AP292" s="84"/>
      <c r="AQ292" s="84"/>
      <c r="AR292" s="86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4.25" customHeigh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68">
        <v>0.5</v>
      </c>
      <c r="J293" s="83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6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4.25" customHeigh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68">
        <v>0.5</v>
      </c>
      <c r="J294" s="83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6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4.25" customHeigh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68">
        <v>0.5</v>
      </c>
      <c r="J295" s="83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6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62"/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ht="13.5" customHeight="1" x14ac:dyDescent="0.15">
      <c r="B297" s="58" t="str">
        <f>IF(G297&lt;&gt;"",SUBTOTAL(3,$G$5:G297),"")</f>
        <v/>
      </c>
      <c r="C297" s="58"/>
      <c r="D297" s="58"/>
      <c r="E297" s="59"/>
      <c r="F297" s="59"/>
      <c r="G297" s="59"/>
      <c r="H297" s="61"/>
      <c r="I297" s="62"/>
      <c r="J297" s="40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2"/>
      <c r="AS297" s="63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5"/>
      <c r="CB297" s="60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</row>
    <row r="298" spans="2:130" ht="13.5" customHeight="1" x14ac:dyDescent="0.15">
      <c r="B298" s="58" t="str">
        <f>IF(G298&lt;&gt;"",SUBTOTAL(3,$G$5:G298),"")</f>
        <v/>
      </c>
      <c r="C298" s="58"/>
      <c r="D298" s="58"/>
      <c r="E298" s="59"/>
      <c r="F298" s="59"/>
      <c r="G298" s="59"/>
      <c r="H298" s="61"/>
      <c r="I298" s="62"/>
      <c r="J298" s="63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5"/>
      <c r="AS298" s="63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5"/>
      <c r="CB298" s="60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</row>
    <row r="299" spans="2:130" x14ac:dyDescent="0.15">
      <c r="B299" s="58" t="str">
        <f>IF(G299&lt;&gt;"",SUBTOTAL(3,$G$5:G299),"")</f>
        <v/>
      </c>
      <c r="C299" s="58"/>
      <c r="D299" s="58"/>
      <c r="E299" s="59"/>
      <c r="F299" s="59"/>
      <c r="G299" s="59"/>
      <c r="H299" s="61"/>
      <c r="I299" s="62"/>
      <c r="J299" s="63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5"/>
      <c r="AS299" s="63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5"/>
      <c r="CB299" s="60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</row>
    <row r="300" spans="2:130" x14ac:dyDescent="0.15">
      <c r="B300" s="58" t="str">
        <f>IF(G300&lt;&gt;"",SUBTOTAL(3,$G$5:G300),"")</f>
        <v/>
      </c>
      <c r="C300" s="58"/>
      <c r="D300" s="58"/>
      <c r="E300" s="59"/>
      <c r="F300" s="59"/>
      <c r="G300" s="59"/>
      <c r="H300" s="61"/>
      <c r="I300" s="62"/>
      <c r="J300" s="63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5"/>
      <c r="AS300" s="63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5"/>
      <c r="CB300" s="60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</row>
    <row r="301" spans="2:130" x14ac:dyDescent="0.15">
      <c r="B301" s="58" t="str">
        <f>IF(G301&lt;&gt;"",SUBTOTAL(3,$G$5:G301),"")</f>
        <v/>
      </c>
      <c r="C301" s="58"/>
      <c r="D301" s="58"/>
      <c r="E301" s="59"/>
      <c r="F301" s="59"/>
      <c r="G301" s="59"/>
      <c r="H301" s="61"/>
      <c r="I301" s="62"/>
      <c r="J301" s="63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5"/>
      <c r="AS301" s="63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5"/>
      <c r="CB301" s="60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</row>
    <row r="302" spans="2:130" x14ac:dyDescent="0.15">
      <c r="B302" s="58" t="str">
        <f>IF(G302&lt;&gt;"",SUBTOTAL(3,$G$5:G302),"")</f>
        <v/>
      </c>
      <c r="C302" s="58"/>
      <c r="D302" s="58"/>
      <c r="E302" s="59"/>
      <c r="F302" s="59"/>
      <c r="G302" s="59"/>
      <c r="H302" s="61"/>
      <c r="I302" s="62"/>
      <c r="J302" s="63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5"/>
      <c r="AS302" s="63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5"/>
      <c r="CB302" s="60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</row>
    <row r="303" spans="2:130" ht="15.75" x14ac:dyDescent="0.15">
      <c r="B303" s="58" t="str">
        <f>IF(G303&lt;&gt;"",SUBTOTAL(3,$G$5:G303),"")</f>
        <v/>
      </c>
      <c r="C303" s="58"/>
      <c r="D303" s="58"/>
      <c r="E303" s="59"/>
      <c r="F303" s="59"/>
      <c r="G303" s="59"/>
      <c r="H303" s="61"/>
      <c r="I303" s="62"/>
      <c r="J303" s="40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2"/>
      <c r="AS303" s="63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5"/>
      <c r="CB303" s="60"/>
      <c r="CH303" s="64"/>
      <c r="CI303" s="69"/>
      <c r="CJ303" s="69"/>
      <c r="CK303" s="69"/>
      <c r="CL303" s="69"/>
      <c r="CM303" s="69"/>
      <c r="CN303" s="69"/>
      <c r="CO303" s="69"/>
      <c r="CP303" s="69"/>
      <c r="CQ303" s="69"/>
      <c r="CR303" s="69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9"/>
      <c r="DH303" s="69"/>
      <c r="DI303" s="69"/>
      <c r="DJ303" s="69"/>
      <c r="DK303" s="69"/>
      <c r="DL303" s="69"/>
      <c r="DM303" s="69"/>
      <c r="DN303" s="69"/>
      <c r="DO303" s="69"/>
      <c r="DP303" s="69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</row>
    <row r="304" spans="2:130" x14ac:dyDescent="0.15">
      <c r="B304" s="58" t="str">
        <f>IF(G304&lt;&gt;"",SUBTOTAL(3,$G$5:G304),"")</f>
        <v/>
      </c>
      <c r="C304" s="58"/>
      <c r="D304" s="58"/>
      <c r="E304" s="59"/>
      <c r="F304" s="59"/>
      <c r="G304" s="59"/>
      <c r="H304" s="61"/>
      <c r="I304" s="62"/>
      <c r="J304" s="63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5"/>
      <c r="AS304" s="63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5"/>
      <c r="CB304" s="60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</row>
    <row r="305" spans="2:130" x14ac:dyDescent="0.15">
      <c r="B305" s="58" t="str">
        <f>IF(G305&lt;&gt;"",SUBTOTAL(3,$G$5:G305),"")</f>
        <v/>
      </c>
      <c r="C305" s="58"/>
      <c r="D305" s="58"/>
      <c r="E305" s="59"/>
      <c r="F305" s="59"/>
      <c r="G305" s="59"/>
      <c r="H305" s="61"/>
      <c r="I305" s="62"/>
      <c r="J305" s="63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5"/>
      <c r="AS305" s="63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5"/>
      <c r="CB305" s="60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</row>
    <row r="306" spans="2:130" x14ac:dyDescent="0.15">
      <c r="B306" s="58" t="str">
        <f>IF(G306&lt;&gt;"",SUBTOTAL(3,$G$5:G306),"")</f>
        <v/>
      </c>
      <c r="C306" s="58"/>
      <c r="D306" s="58"/>
      <c r="E306" s="59"/>
      <c r="F306" s="59"/>
      <c r="G306" s="59"/>
      <c r="H306" s="61"/>
      <c r="I306" s="62"/>
      <c r="J306" s="63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5"/>
      <c r="AS306" s="63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5"/>
      <c r="CB306" s="60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</row>
    <row r="307" spans="2:130" x14ac:dyDescent="0.15">
      <c r="B307" s="58" t="str">
        <f>IF(G307&lt;&gt;"",SUBTOTAL(3,$G$5:G307),"")</f>
        <v/>
      </c>
      <c r="C307" s="58"/>
      <c r="D307" s="58"/>
      <c r="E307" s="59"/>
      <c r="F307" s="59"/>
      <c r="G307" s="59"/>
      <c r="H307" s="61"/>
      <c r="I307" s="62"/>
      <c r="J307" s="63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5"/>
      <c r="AS307" s="63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5"/>
      <c r="CB307" s="60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</row>
    <row r="308" spans="2:130" x14ac:dyDescent="0.15">
      <c r="B308" s="58" t="str">
        <f>IF(G308&lt;&gt;"",SUBTOTAL(3,$G$5:G308),"")</f>
        <v/>
      </c>
      <c r="C308" s="58"/>
      <c r="D308" s="58"/>
      <c r="E308" s="59"/>
      <c r="F308" s="59"/>
      <c r="G308" s="59"/>
      <c r="H308" s="61"/>
      <c r="I308" s="62"/>
      <c r="J308" s="63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5"/>
      <c r="AS308" s="63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5"/>
      <c r="CB308" s="60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</row>
    <row r="309" spans="2:130" x14ac:dyDescent="0.15">
      <c r="B309" s="58" t="str">
        <f>IF(G309&lt;&gt;"",SUBTOTAL(3,$G$5:G309),"")</f>
        <v/>
      </c>
      <c r="C309" s="58"/>
      <c r="D309" s="58"/>
      <c r="E309" s="59"/>
      <c r="F309" s="59"/>
      <c r="G309" s="59"/>
      <c r="H309" s="61"/>
      <c r="I309" s="62"/>
      <c r="J309" s="63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5"/>
      <c r="AS309" s="63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5"/>
      <c r="CB309" s="60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</row>
    <row r="310" spans="2:130" x14ac:dyDescent="0.15">
      <c r="B310" s="58" t="str">
        <f>IF(G310&lt;&gt;"",SUBTOTAL(3,$G$5:G310),"")</f>
        <v/>
      </c>
      <c r="C310" s="58"/>
      <c r="D310" s="58"/>
      <c r="E310" s="59"/>
      <c r="F310" s="59"/>
      <c r="G310" s="59"/>
      <c r="H310" s="61"/>
      <c r="I310" s="62"/>
      <c r="J310" s="63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5"/>
      <c r="AS310" s="63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5"/>
      <c r="CB310" s="60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</row>
    <row r="311" spans="2:130" ht="15.75" x14ac:dyDescent="0.15">
      <c r="B311" s="58" t="str">
        <f>IF(G311&lt;&gt;"",SUBTOTAL(3,$G$5:G311),"")</f>
        <v/>
      </c>
      <c r="C311" s="58"/>
      <c r="D311" s="58"/>
      <c r="E311" s="59"/>
      <c r="F311" s="59"/>
      <c r="G311" s="59"/>
      <c r="H311" s="61"/>
      <c r="I311" s="62"/>
      <c r="J311" s="40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2"/>
      <c r="AS311" s="63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5"/>
      <c r="CB311" s="60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</row>
    <row r="312" spans="2:130" x14ac:dyDescent="0.15">
      <c r="B312" s="58" t="str">
        <f>IF(G312&lt;&gt;"",SUBTOTAL(3,$G$5:G312),"")</f>
        <v/>
      </c>
      <c r="C312" s="58"/>
      <c r="D312" s="58"/>
      <c r="E312" s="59"/>
      <c r="F312" s="59"/>
      <c r="G312" s="59"/>
      <c r="H312" s="61"/>
      <c r="I312" s="62"/>
      <c r="J312" s="63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5"/>
      <c r="AS312" s="63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5"/>
      <c r="CB312" s="60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</row>
    <row r="313" spans="2:130" x14ac:dyDescent="0.15">
      <c r="B313" s="58" t="str">
        <f>IF(G313&lt;&gt;"",SUBTOTAL(3,$G$5:G313),"")</f>
        <v/>
      </c>
      <c r="C313" s="58"/>
      <c r="D313" s="58"/>
      <c r="E313" s="59"/>
      <c r="F313" s="59"/>
      <c r="G313" s="59"/>
      <c r="H313" s="61"/>
      <c r="I313" s="62"/>
      <c r="J313" s="63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5"/>
      <c r="AS313" s="63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5"/>
      <c r="CB313" s="60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</row>
    <row r="314" spans="2:130" x14ac:dyDescent="0.15">
      <c r="B314" s="58" t="str">
        <f>IF(G314&lt;&gt;"",SUBTOTAL(3,$G$5:G314),"")</f>
        <v/>
      </c>
      <c r="C314" s="58"/>
      <c r="D314" s="58"/>
      <c r="E314" s="59"/>
      <c r="F314" s="59"/>
      <c r="G314" s="59"/>
      <c r="H314" s="61"/>
      <c r="I314" s="62"/>
      <c r="J314" s="63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5"/>
      <c r="AS314" s="63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5"/>
      <c r="CB314" s="60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</row>
    <row r="315" spans="2:130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63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5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63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5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63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5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63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5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63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5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63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5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63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5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x14ac:dyDescent="0.15">
      <c r="B326" s="88" t="str">
        <f>IF(G326&lt;&gt;"",SUBTOTAL(3,$G$5:G326),"")</f>
        <v/>
      </c>
      <c r="C326" s="88"/>
      <c r="D326" s="88"/>
      <c r="E326" s="89"/>
      <c r="F326" s="89"/>
      <c r="G326" s="89"/>
      <c r="H326" s="90"/>
      <c r="I326" s="91"/>
      <c r="J326" s="92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3"/>
      <c r="AF326" s="93"/>
      <c r="AG326" s="93"/>
      <c r="AH326" s="93"/>
      <c r="AI326" s="93"/>
      <c r="AJ326" s="93"/>
      <c r="AK326" s="93"/>
      <c r="AL326" s="93"/>
      <c r="AM326" s="93"/>
      <c r="AN326" s="93"/>
      <c r="AO326" s="93"/>
      <c r="AP326" s="93"/>
      <c r="AQ326" s="93"/>
      <c r="AR326" s="94"/>
      <c r="AS326" s="92"/>
      <c r="AT326" s="93"/>
      <c r="AU326" s="93"/>
      <c r="AV326" s="93"/>
      <c r="AW326" s="93"/>
      <c r="AX326" s="93"/>
      <c r="AY326" s="93"/>
      <c r="AZ326" s="93"/>
      <c r="BA326" s="93"/>
      <c r="BB326" s="93"/>
      <c r="BC326" s="93"/>
      <c r="BD326" s="93"/>
      <c r="BE326" s="93"/>
      <c r="BF326" s="93"/>
      <c r="BG326" s="93"/>
      <c r="BH326" s="93"/>
      <c r="BI326" s="93"/>
      <c r="BJ326" s="93"/>
      <c r="BK326" s="93"/>
      <c r="BL326" s="93"/>
      <c r="BM326" s="93"/>
      <c r="BN326" s="93"/>
      <c r="BO326" s="93"/>
      <c r="BP326" s="93"/>
      <c r="BQ326" s="93"/>
      <c r="BR326" s="93"/>
      <c r="BS326" s="93"/>
      <c r="BT326" s="93"/>
      <c r="BU326" s="93"/>
      <c r="BV326" s="93"/>
      <c r="BW326" s="93"/>
      <c r="BX326" s="93"/>
      <c r="BY326" s="93"/>
      <c r="BZ326" s="93"/>
      <c r="CA326" s="94"/>
      <c r="CB326" s="95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297:I297 B311:I311 B303:I303 B42:D42 B49:H49 B58:H58 I144:I157 B144:H158 CB144:CB158 J144:AR158 B298:AR302 B312:AR326 B5:CB39 B292:AR296 B304:AR310 AS292:CB326 F42:CB42 B43:CB47 J48:CB49 B59:CB59 AS144:CA157 B159:CB170 B179:CB231 K40:CB40 B41:CB41 K60:CB60 K232:CB232 B290:CB290 K289:CB289 K291:CB291 I158:CA158 K101:CB101 J57:CB58 B50:CB56 J61:CB63 B64:CB100 B102:CB143 B233:CB288 I171:I177 B171:H178 J171:CB178">
    <cfRule type="expression" dxfId="25" priority="96">
      <formula>AND($I5&lt;&gt;1,$I5&lt;&gt;"")</formula>
    </cfRule>
  </conditionalFormatting>
  <conditionalFormatting sqref="I178:AR178">
    <cfRule type="expression" dxfId="24" priority="82">
      <formula>AND($I178&lt;&gt;1,$I178&lt;&gt;"")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32:I232">
    <cfRule type="expression" dxfId="8" priority="18">
      <formula>AND($I232&lt;&gt;1,$I232&lt;&gt;"")</formula>
    </cfRule>
  </conditionalFormatting>
  <conditionalFormatting sqref="J232">
    <cfRule type="expression" dxfId="7" priority="17">
      <formula>AND($I232&lt;&gt;1,$I232&lt;&gt;"")</formula>
    </cfRule>
  </conditionalFormatting>
  <conditionalFormatting sqref="B289:I289 B291:I291">
    <cfRule type="expression" dxfId="6" priority="10">
      <formula>AND($I289&lt;&gt;1,$I289&lt;&gt;"")</formula>
    </cfRule>
  </conditionalFormatting>
  <conditionalFormatting sqref="J291">
    <cfRule type="expression" dxfId="5" priority="9">
      <formula>AND($I291&lt;&gt;1,$I291&lt;&gt;"")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26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89" location="toABC143_C_Slimes" display="(→)" xr:uid="{D0A14FDC-339D-483C-A7FB-42784F1DB2F9}"/>
    <hyperlink ref="CB194" location="toABC147_C_Honest_or_Unkind2" display="(→)" xr:uid="{5E89EE6B-F278-4D19-9890-D06616736879}"/>
    <hyperlink ref="CB198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291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2020-10-11T08:39:28Z</dcterms:modified>
</cp:coreProperties>
</file>
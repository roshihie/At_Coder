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FC13905-AFFC-4D77-9718-6BEFED72CEA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At_Coder_C問題!$B$4:$CB$560</definedName>
    <definedName name="fromABC114_C_755">At_Coder_C問題!$J$99</definedName>
    <definedName name="fromABC143_C_Slimes">At_Coder_C問題!$J$263</definedName>
    <definedName name="fromABC147_C_Honest_or_Unkind2">At_Coder_C問題!$J$275</definedName>
    <definedName name="fromABC149_C_NextPrime">At_Coder_C問題!$J$281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2" i="3" l="1"/>
  <c r="B467" i="3"/>
  <c r="B468" i="3"/>
  <c r="B471" i="3"/>
  <c r="B472" i="3"/>
  <c r="B473" i="3"/>
  <c r="B474" i="3"/>
  <c r="B475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0" i="3"/>
  <c r="B469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6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3" i="3" l="1"/>
  <c r="B200" i="3" l="1"/>
  <c r="B201" i="3"/>
  <c r="B204" i="3"/>
  <c r="B206" i="3" l="1"/>
  <c r="B207" i="3"/>
  <c r="B208" i="3"/>
  <c r="B210" i="3" l="1"/>
  <c r="B211" i="3"/>
  <c r="B217" i="3"/>
  <c r="B215" i="3"/>
  <c r="B213" i="3"/>
  <c r="B214" i="3"/>
  <c r="B216" i="3"/>
  <c r="B219" i="3" l="1"/>
  <c r="B220" i="3"/>
  <c r="B221" i="3"/>
  <c r="B225" i="3"/>
  <c r="B223" i="3" l="1"/>
  <c r="B224" i="3"/>
  <c r="B226" i="3"/>
  <c r="B228" i="3" l="1"/>
  <c r="B229" i="3"/>
  <c r="B230" i="3"/>
  <c r="B231" i="3"/>
  <c r="B234" i="3" l="1"/>
  <c r="B233" i="3"/>
  <c r="B235" i="3" l="1"/>
  <c r="B236" i="3"/>
  <c r="B295" i="3"/>
  <c r="B293" i="3"/>
  <c r="B294" i="3"/>
  <c r="B296" i="3"/>
  <c r="B300" i="3"/>
  <c r="B301" i="3"/>
  <c r="J361" i="3"/>
  <c r="J305" i="3"/>
  <c r="B303" i="3" l="1"/>
  <c r="B304" i="3"/>
  <c r="B306" i="3"/>
  <c r="B309" i="3"/>
  <c r="B313" i="3"/>
  <c r="B308" i="3"/>
  <c r="B310" i="3"/>
  <c r="B311" i="3"/>
  <c r="B312" i="3"/>
  <c r="B314" i="3"/>
  <c r="B315" i="3" l="1"/>
  <c r="B316" i="3"/>
  <c r="B317" i="3"/>
  <c r="B346" i="3" l="1"/>
  <c r="B347" i="3"/>
  <c r="B348" i="3"/>
  <c r="B349" i="3"/>
  <c r="B364" i="3"/>
  <c r="B365" i="3"/>
  <c r="B366" i="3"/>
  <c r="B380" i="3"/>
  <c r="B373" i="3"/>
  <c r="B375" i="3"/>
  <c r="B376" i="3"/>
  <c r="B381" i="3"/>
  <c r="B377" i="3"/>
  <c r="B378" i="3"/>
  <c r="B379" i="3"/>
  <c r="B374" i="3"/>
  <c r="B382" i="3"/>
  <c r="B371" i="3" l="1"/>
  <c r="B372" i="3"/>
  <c r="B383" i="3"/>
  <c r="B405" i="3"/>
  <c r="B403" i="3"/>
  <c r="B404" i="3"/>
  <c r="B402" i="3"/>
  <c r="B406" i="3"/>
  <c r="B408" i="3" l="1"/>
  <c r="B9" i="3" l="1"/>
  <c r="B8" i="3"/>
  <c r="B10" i="3"/>
  <c r="B326" i="3"/>
  <c r="B276" i="3"/>
  <c r="B277" i="3"/>
  <c r="B272" i="3"/>
  <c r="B273" i="3"/>
  <c r="B265" i="3" l="1"/>
  <c r="B264" i="3"/>
  <c r="B266" i="3"/>
  <c r="B244" i="3" l="1"/>
  <c r="B245" i="3"/>
  <c r="B243" i="3"/>
  <c r="B242" i="3"/>
  <c r="B352" i="3" l="1"/>
  <c r="B351" i="3"/>
  <c r="B353" i="3"/>
  <c r="B344" i="3"/>
  <c r="B341" i="3"/>
  <c r="B342" i="3"/>
  <c r="B343" i="3"/>
  <c r="B338" i="3" l="1"/>
  <c r="B339" i="3"/>
  <c r="B337" i="3"/>
  <c r="B334" i="3" l="1"/>
  <c r="B332" i="3" l="1"/>
  <c r="B329" i="3"/>
  <c r="B328" i="3"/>
  <c r="B330" i="3" l="1"/>
  <c r="B240" i="3" l="1"/>
  <c r="B238" i="3"/>
  <c r="B239" i="3"/>
  <c r="B324" i="3" l="1"/>
  <c r="B322" i="3" l="1"/>
  <c r="B320" i="3"/>
  <c r="B319" i="3"/>
  <c r="B298" i="3"/>
  <c r="B270" i="3" l="1"/>
  <c r="B269" i="3"/>
  <c r="B268" i="3" l="1"/>
  <c r="B259" i="3"/>
  <c r="B247" i="3"/>
  <c r="B248" i="3"/>
  <c r="B282" i="3" l="1"/>
  <c r="B283" i="3"/>
  <c r="B288" i="3"/>
  <c r="B287" i="3"/>
  <c r="B286" i="3"/>
  <c r="B285" i="3"/>
  <c r="B291" i="3" l="1"/>
  <c r="B290" i="3"/>
  <c r="B280" i="3"/>
  <c r="B279" i="3"/>
  <c r="B253" i="3" l="1"/>
  <c r="B256" i="3"/>
  <c r="B257" i="3"/>
  <c r="B255" i="3"/>
  <c r="B62" i="3"/>
  <c r="B61" i="3"/>
  <c r="B60" i="3"/>
  <c r="B59" i="3"/>
  <c r="B177" i="3" l="1"/>
  <c r="B394" i="3"/>
  <c r="B395" i="3"/>
  <c r="B393" i="3"/>
  <c r="B396" i="3"/>
  <c r="B37" i="3" l="1"/>
  <c r="B15" i="3"/>
  <c r="B6" i="3" l="1"/>
  <c r="B94" i="3" l="1"/>
  <c r="B95" i="3"/>
  <c r="B442" i="3" l="1"/>
  <c r="B441" i="3"/>
  <c r="B440" i="3"/>
  <c r="B439" i="3"/>
  <c r="B436" i="3"/>
  <c r="B434" i="3"/>
  <c r="B433" i="3"/>
  <c r="B432" i="3"/>
  <c r="B431" i="3"/>
  <c r="B430" i="3"/>
  <c r="B429" i="3"/>
  <c r="B437" i="3"/>
  <c r="B435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0" i="3"/>
  <c r="B399" i="3"/>
  <c r="B398" i="3"/>
  <c r="B397" i="3"/>
  <c r="B391" i="3"/>
  <c r="B390" i="3"/>
  <c r="B389" i="3"/>
  <c r="B388" i="3"/>
  <c r="B387" i="3"/>
  <c r="B386" i="3"/>
  <c r="B385" i="3"/>
  <c r="B369" i="3"/>
  <c r="B368" i="3"/>
  <c r="B361" i="3"/>
  <c r="B360" i="3"/>
  <c r="B359" i="3"/>
  <c r="B358" i="3"/>
  <c r="B357" i="3"/>
  <c r="B356" i="3"/>
  <c r="B355" i="3"/>
  <c r="B262" i="3"/>
  <c r="B261" i="3"/>
  <c r="B251" i="3"/>
  <c r="B250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2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60" i="3" l="1"/>
  <c r="B559" i="3"/>
  <c r="B558" i="3"/>
  <c r="B557" i="3"/>
  <c r="B556" i="3"/>
  <c r="B555" i="3"/>
  <c r="B554" i="3"/>
  <c r="B553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38" i="3"/>
  <c r="B409" i="3"/>
  <c r="B407" i="3"/>
  <c r="B401" i="3"/>
  <c r="B392" i="3"/>
  <c r="B384" i="3"/>
  <c r="B370" i="3"/>
  <c r="B367" i="3"/>
  <c r="B363" i="3"/>
  <c r="B354" i="3"/>
  <c r="B350" i="3"/>
  <c r="B345" i="3"/>
  <c r="B340" i="3"/>
  <c r="B335" i="3"/>
  <c r="B333" i="3"/>
  <c r="B331" i="3"/>
  <c r="B327" i="3"/>
  <c r="B325" i="3"/>
  <c r="B323" i="3"/>
  <c r="B321" i="3"/>
  <c r="B318" i="3"/>
  <c r="B307" i="3"/>
  <c r="B302" i="3"/>
  <c r="B299" i="3"/>
  <c r="B297" i="3"/>
  <c r="B292" i="3"/>
  <c r="B289" i="3"/>
  <c r="B284" i="3"/>
  <c r="B281" i="3"/>
  <c r="B278" i="3"/>
  <c r="B275" i="3"/>
  <c r="B274" i="3"/>
  <c r="B271" i="3"/>
  <c r="B267" i="3"/>
  <c r="B263" i="3"/>
  <c r="B260" i="3"/>
  <c r="B258" i="3"/>
  <c r="B254" i="3"/>
  <c r="B252" i="3"/>
  <c r="B249" i="3"/>
  <c r="B246" i="3"/>
  <c r="B241" i="3"/>
  <c r="B237" i="3"/>
  <c r="B232" i="3"/>
  <c r="B227" i="3"/>
  <c r="B222" i="3"/>
  <c r="B218" i="3"/>
  <c r="B212" i="3"/>
  <c r="B209" i="3"/>
  <c r="B205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<sst xmlns="http://schemas.openxmlformats.org/spreadsheetml/2006/main" count="953" uniqueCount="640">
  <si>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</si>
  <si>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</si>
  <si>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</si>
  <si>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</si>
  <si>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</si>
  <si>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</si>
  <si>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</si>
  <si>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</si>
  <si>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</si>
  <si>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</si>
  <si>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</si>
  <si>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</si>
  <si>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</si>
  <si>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</si>
  <si>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</si>
  <si>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</si>
  <si>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</si>
  <si>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</si>
  <si>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</si>
  <si>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</si>
  <si>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</si>
  <si>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</si>
  <si>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</si>
  <si>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</si>
  <si>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</si>
  <si>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</si>
  <si>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</si>
  <si>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</si>
  <si>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</si>
  <si>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</si>
  <si>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</si>
  <si>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</si>
  <si>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</si>
  <si>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</si>
  <si>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</si>
  <si>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</si>
  <si>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</si>
  <si>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</si>
  <si>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</si>
  <si>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</si>
  <si>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</si>
  <si>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</si>
  <si>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</si>
  <si>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</si>
  <si>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</si>
  <si>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</si>
  <si>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</si>
  <si>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</si>
  <si>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</si>
  <si>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</si>
  <si>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</si>
  <si>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</si>
  <si>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</si>
  <si>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</si>
  <si>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</si>
  <si>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</si>
  <si>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</si>
  <si>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</si>
  <si>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</si>
  <si>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</si>
  <si>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</si>
  <si>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</si>
  <si>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</si>
  <si>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</si>
  <si>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</si>
  <si>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</si>
  <si>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</si>
  <si>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</si>
  <si>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</si>
  <si>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</si>
  <si>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</si>
  <si>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</si>
  <si>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</si>
  <si>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</si>
  <si>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</si>
  <si>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</si>
  <si>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</si>
  <si>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</si>
  <si>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</si>
  <si>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</si>
  <si>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</si>
  <si>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</si>
  <si>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</si>
  <si>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</si>
  <si>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</si>
  <si>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</si>
  <si>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</si>
  <si>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</si>
  <si>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</si>
  <si>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</si>
  <si>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</si>
  <si>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</si>
  <si>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</si>
  <si>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</si>
  <si>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</si>
  <si>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</si>
  <si>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</si>
  <si>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</si>
  <si>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</si>
  <si>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</si>
  <si>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</si>
  <si>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</si>
  <si>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</si>
  <si>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</si>
  <si>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</si>
  <si>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</si>
  <si>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</si>
  <si>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</si>
  <si>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</si>
  <si>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</si>
  <si>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</si>
  <si>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</si>
  <si>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</si>
  <si>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</si>
  <si>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</si>
  <si>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</si>
  <si>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</si>
  <si>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</si>
  <si>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</si>
  <si>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</si>
  <si>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</si>
  <si>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</si>
  <si>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</si>
  <si>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</si>
  <si>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</si>
  <si>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</si>
  <si>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</si>
  <si>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</si>
  <si>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</si>
  <si>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</si>
  <si>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</si>
  <si>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</si>
  <si>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</si>
  <si>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</si>
  <si>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</si>
  <si>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</si>
  <si>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</si>
  <si>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</si>
  <si>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</si>
  <si>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</si>
  <si>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</si>
  <si>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</si>
  <si>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</si>
  <si>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</si>
  <si>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</si>
  <si>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</si>
  <si>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</si>
  <si>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</si>
  <si>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</si>
  <si>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</si>
  <si>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</si>
  <si>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</si>
  <si>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</si>
  <si>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</si>
  <si>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</si>
  <si>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</si>
  <si>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</si>
  <si>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</si>
  <si>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</si>
  <si>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</si>
  <si>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</si>
  <si>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</si>
  <si>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</si>
  <si>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</si>
  <si>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</si>
  <si>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</si>
  <si>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</si>
  <si>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</si>
  <si>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</si>
  <si>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</si>
  <si>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</si>
  <si>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</si>
  <si>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</si>
  <si>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</si>
  <si>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</si>
  <si>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</si>
  <si>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</si>
  <si>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</si>
  <si>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</si>
  <si>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</si>
  <si>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</si>
  <si>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</si>
  <si>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</si>
  <si>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</si>
  <si>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</si>
  <si>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</si>
  <si>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</si>
  <si>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</si>
  <si>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</si>
  <si>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</si>
  <si>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</si>
  <si>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</si>
  <si>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</si>
  <si>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</si>
  <si>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</si>
  <si>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</si>
  <si>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</si>
  <si>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</si>
  <si>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</si>
  <si>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</si>
  <si>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</si>
  <si>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</si>
  <si>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</si>
  <si>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</si>
  <si>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</si>
  <si>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</si>
  <si>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</si>
  <si>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</si>
  <si>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</si>
  <si>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</si>
  <si>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</si>
  <si>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</si>
  <si>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</si>
  <si>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</si>
  <si>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</si>
  <si>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</si>
  <si>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</si>
  <si>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</si>
  <si>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</si>
  <si>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</si>
  <si>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</si>
  <si>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</si>
  <si>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</si>
  <si>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</si>
  <si>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</si>
  <si>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</si>
  <si>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</si>
  <si>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</si>
  <si>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</si>
  <si>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</si>
  <si>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</si>
  <si>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</si>
  <si>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</si>
  <si>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</si>
  <si>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</si>
  <si>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</si>
  <si>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</si>
  <si>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</si>
  <si>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</si>
  <si>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</si>
  <si>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</si>
  <si>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</si>
  <si>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</si>
  <si>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</si>
  <si>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</si>
  <si>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</si>
  <si>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</si>
  <si>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</si>
  <si>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</si>
  <si>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</si>
  <si>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</si>
  <si>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</si>
  <si>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</si>
  <si>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</si>
  <si>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</si>
  <si>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</si>
  <si>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</si>
  <si>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</si>
  <si>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</si>
  <si>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</si>
  <si>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</si>
  <si>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</si>
  <si>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</si>
  <si>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</si>
  <si>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</si>
  <si>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</si>
  <si>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</si>
  <si>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</si>
  <si>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</si>
  <si>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</si>
  <si>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</si>
  <si>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</si>
  <si>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</si>
  <si>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</si>
  <si>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</si>
  <si>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</si>
  <si>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</si>
  <si>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</si>
  <si>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</si>
  <si>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</si>
  <si>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</si>
  <si>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</si>
  <si>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</si>
  <si>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</si>
  <si>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</si>
  <si>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</si>
  <si>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</si>
  <si>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</si>
  <si>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</si>
  <si>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</si>
  <si>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</si>
  <si>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</si>
  <si>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</si>
  <si>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</si>
  <si>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</si>
  <si>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</si>
  <si>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</si>
  <si>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</si>
  <si>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</si>
  <si>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</si>
  <si>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</si>
  <si>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</si>
  <si>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</si>
  <si>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</si>
  <si>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</si>
  <si>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</si>
  <si>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</si>
  <si>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</si>
  <si>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</si>
  <si>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</si>
  <si>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</si>
  <si>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</si>
  <si>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</si>
  <si>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</si>
  <si>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</si>
  <si>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</si>
  <si>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</si>
  <si>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</si>
  <si>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</si>
  <si>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</si>
  <si>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</si>
  <si>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</si>
  <si>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</si>
  <si>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</si>
  <si>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</si>
  <si>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</si>
  <si>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</si>
  <si>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</si>
  <si>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</si>
  <si>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</si>
  <si>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</si>
  <si>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</si>
  <si>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</si>
  <si>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</si>
  <si>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</si>
  <si>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</si>
  <si>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</si>
  <si>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</si>
  <si>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</si>
  <si>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</si>
  <si>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</si>
  <si>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</si>
  <si>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</si>
  <si>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</si>
  <si>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</si>
  <si>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</si>
  <si>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</si>
  <si>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</si>
  <si>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</si>
  <si>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</si>
  <si>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</si>
  <si>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</si>
  <si>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</si>
  <si>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</si>
  <si>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</si>
  <si>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</si>
  <si>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</si>
  <si>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</si>
  <si>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</si>
  <si>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</si>
  <si>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</si>
  <si>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</si>
  <si>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</si>
  <si>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</si>
  <si>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</si>
  <si>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</si>
  <si>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</si>
  <si>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</si>
  <si>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</si>
  <si>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</si>
  <si>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</si>
  <si>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</si>
  <si>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</si>
  <si>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</si>
  <si>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</si>
  <si>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</si>
  <si>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</si>
  <si>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</si>
  <si>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</si>
  <si>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</si>
  <si>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</si>
  <si>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</si>
  <si>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</si>
  <si>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</si>
  <si>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</si>
  <si>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</si>
  <si>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</si>
  <si>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</si>
  <si>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</si>
  <si>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</si>
  <si>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</si>
  <si>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</si>
  <si>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</si>
  <si>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</si>
  <si>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</si>
  <si>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</si>
  <si>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</si>
  <si>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</si>
  <si>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</si>
  <si>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</si>
  <si>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</si>
  <si>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</si>
  <si>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</si>
  <si>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</si>
  <si>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</si>
  <si>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</si>
  <si>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</si>
  <si>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</si>
  <si>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</si>
  <si>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</si>
  <si>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</si>
  <si>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</si>
  <si>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</si>
  <si>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</si>
  <si>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</si>
  <si>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</si>
  <si>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</si>
  <si>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</si>
  <si>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</si>
  <si>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</si>
  <si>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</si>
  <si>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</si>
  <si>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</si>
  <si>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</si>
  <si>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</si>
  <si>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</si>
  <si>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</si>
  <si>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</si>
  <si>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</si>
  <si>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</si>
  <si>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</si>
  <si>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</si>
  <si>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</si>
  <si>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</si>
  <si>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</si>
  <si>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</si>
  <si>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</si>
  <si>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</si>
  <si>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</si>
  <si>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</si>
  <si>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</si>
  <si>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</si>
  <si>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</si>
  <si>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</si>
  <si>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</si>
  <si>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</si>
  <si>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</si>
  <si>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</si>
  <si>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</si>
  <si>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</si>
  <si>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</si>
  <si>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</si>
  <si>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</si>
  <si>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</si>
  <si>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</si>
  <si>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</si>
  <si>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</si>
  <si>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</si>
  <si>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</si>
  <si>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</si>
  <si>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</si>
  <si>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</si>
  <si>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</si>
  <si>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</si>
  <si>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</si>
  <si>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</si>
  <si>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</si>
  <si>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</si>
  <si>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</si>
  <si>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</si>
  <si>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</si>
  <si>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</si>
  <si>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</si>
  <si>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</si>
  <si>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</si>
  <si>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</si>
  <si>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</si>
  <si>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</si>
  <si>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</si>
  <si>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</si>
  <si>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</si>
  <si>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</si>
  <si>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</si>
  <si>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</si>
  <si>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</si>
  <si>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</si>
  <si>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</si>
  <si>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</si>
  <si>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</si>
  <si>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</si>
  <si>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</si>
  <si>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</si>
  <si>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</si>
  <si>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</si>
  <si>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</si>
  <si>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</si>
  <si>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</si>
  <si>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</si>
  <si>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</si>
  <si>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</si>
  <si>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</si>
  <si>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</si>
  <si>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</si>
  <si>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</si>
  <si>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</si>
  <si>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</si>
  <si>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</si>
  <si>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</si>
  <si>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</si>
  <si>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</si>
  <si>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</si>
  <si>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</si>
  <si>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</si>
  <si>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</si>
  <si>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</si>
  <si>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</si>
  <si>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</si>
  <si>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</si>
  <si>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</si>
  <si>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</si>
  <si>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</si>
  <si>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</si>
  <si>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</si>
  <si>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</si>
  <si>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</si>
  <si>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</si>
  <si>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</si>
  <si>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</si>
  <si>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</si>
  <si>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</si>
  <si>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</si>
  <si>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</si>
  <si>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</si>
  <si>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</si>
  <si>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</si>
  <si>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</si>
  <si>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</si>
  <si>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</si>
  <si>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</si>
  <si>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</si>
  <si>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</si>
  <si>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</si>
  <si>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</si>
  <si>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</si>
  <si>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</si>
  <si>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</si>
  <si>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</si>
  <si>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</si>
  <si>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</si>
  <si>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</si>
  <si>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</si>
  <si>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</si>
  <si>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</si>
  <si>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</si>
  <si>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</si>
  <si>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</si>
  <si>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</si>
  <si>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</si>
  <si>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</si>
  <si>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</si>
  <si>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</si>
  <si>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</si>
  <si>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</si>
  <si>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</si>
  <si>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</si>
  <si>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</si>
  <si>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</si>
  <si>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</si>
  <si>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</si>
  <si>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</si>
  <si>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</si>
  <si>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</si>
  <si>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</si>
  <si>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</si>
  <si>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</si>
  <si>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</si>
  <si>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</si>
  <si>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</si>
  <si>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</si>
  <si>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</si>
  <si>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</si>
  <si>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</si>
  <si>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</si>
  <si>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</si>
  <si>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</si>
  <si>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</si>
  <si>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</si>
  <si>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</si>
  <si>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</si>
  <si>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</si>
  <si>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</si>
  <si>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</si>
  <si>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</si>
  <si>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</si>
  <si>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</si>
  <si>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</si>
  <si>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</si>
  <si>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</si>
  <si>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</si>
  <si>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</si>
  <si>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</si>
  <si>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</si>
  <si>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</si>
  <si>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</si>
  <si>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</si>
  <si>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</si>
  <si>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</si>
  <si>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</si>
  <si>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</si>
  <si>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</si>
  <si>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</si>
  <si>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</si>
  <si>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</si>
  <si>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</si>
  <si>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</si>
  <si>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</si>
  <si>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</si>
  <si>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</si>
  <si>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</si>
  <si>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</si>
  <si>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</si>
  <si>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</si>
  <si>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</si>
  <si>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</si>
  <si>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</si>
  <si>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</si>
  <si>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</si>
  <si>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</si>
  <si>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</si>
  <si>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</si>
  <si>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</si>
  <si>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</si>
  <si>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</si>
  <si>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</si>
  <si>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・各桁数値の選択・排除を表した 桁数値選択・排除配列を定義 (bit1:選択、bit0;排除)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27" eb="29">
      <t>テイギ</t>
    </rPh>
    <rPh sb="36" eb="38">
      <t>センタク</t>
    </rPh>
    <rPh sb="44" eb="46">
      <t>ハイジョ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</si>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</sst>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438</xdr:row>
      <xdr:rowOff>33337</xdr:rowOff>
    </xdr:from>
    <xdr:to>
      <xdr:col>16</xdr:col>
      <xdr:colOff>38100</xdr:colOff>
      <xdr:row>438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439</xdr:row>
      <xdr:rowOff>35719</xdr:rowOff>
    </xdr:from>
    <xdr:to>
      <xdr:col>21</xdr:col>
      <xdr:colOff>133351</xdr:colOff>
      <xdr:row>440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60"/>
  <sheetViews>
    <sheetView tabSelected="1" zoomScale="115" zoomScaleNormal="115" workbookViewId="0">
      <pane ySplit="4" topLeftCell="A5" activePane="bottomLeft" state="frozen"/>
      <selection pane="bottomLeft" activeCell="A5" sqref="A5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hidden="1" customWidth="1" outlineLevel="1"/>
    <col min="7" max="7" width="40.375" style="63" bestFit="1" customWidth="1"/>
    <col min="8" max="8" width="14.625" style="91" hidden="1" customWidth="1"/>
    <col min="9" max="9" width="6.125" style="90" hidden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585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586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588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587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589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590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564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565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566</v>
      </c>
      <c r="H19" s="58">
        <v>44185</v>
      </c>
      <c r="I19" s="97">
        <v>1</v>
      </c>
      <c r="J19" s="60" t="s">
        <v>583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584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567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569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570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568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571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572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573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574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575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581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582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540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539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541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543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542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545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544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556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557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558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563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576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578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577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579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559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560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561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562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536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535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537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553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554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555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538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534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546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547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580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532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529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533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531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525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522</v>
      </c>
      <c r="H188" s="58">
        <v>44013</v>
      </c>
      <c r="I188" s="59">
        <v>1</v>
      </c>
      <c r="J188" s="60" t="s">
        <v>526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523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530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527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528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524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525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520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521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637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638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IF(G202&lt;&gt;"",SUBTOTAL(3,$G$5:G202),"")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639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 t="s">
        <v>519</v>
      </c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96" t="str">
        <f>IF(G204&lt;&gt;"",SUBTOTAL(3,$G$4:G204),"")</f>
        <v/>
      </c>
      <c r="C204" s="55"/>
      <c r="D204" s="55"/>
      <c r="E204" s="56"/>
      <c r="F204" s="56"/>
      <c r="G204" s="57"/>
      <c r="H204" s="58"/>
      <c r="I204" s="67">
        <v>1</v>
      </c>
      <c r="J204" s="60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55">
        <f>IF(G205&lt;&gt;"",SUBTOTAL(3,$G$5:G205),"")</f>
        <v>42</v>
      </c>
      <c r="C205" s="55"/>
      <c r="D205" s="55"/>
      <c r="E205" s="56" t="s">
        <v>139</v>
      </c>
      <c r="F205" s="56" t="s">
        <v>135</v>
      </c>
      <c r="G205" s="57" t="s">
        <v>165</v>
      </c>
      <c r="H205" s="58">
        <v>44006</v>
      </c>
      <c r="I205" s="59">
        <v>0.5</v>
      </c>
      <c r="J205" s="60" t="s">
        <v>517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515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 t="s">
        <v>516</v>
      </c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96" t="str">
        <f>IF(G208&lt;&gt;"",SUBTOTAL(3,$G$4:G208),"")</f>
        <v/>
      </c>
      <c r="C208" s="55"/>
      <c r="D208" s="55"/>
      <c r="E208" s="56"/>
      <c r="F208" s="56"/>
      <c r="G208" s="57"/>
      <c r="H208" s="58"/>
      <c r="I208" s="65">
        <v>0.5</v>
      </c>
      <c r="J208" s="60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x14ac:dyDescent="0.15">
      <c r="B209" s="55">
        <f>IF(G209&lt;&gt;"",SUBTOTAL(3,$G$5:G209),"")</f>
        <v>43</v>
      </c>
      <c r="C209" s="55"/>
      <c r="D209" s="55"/>
      <c r="E209" s="56" t="s">
        <v>139</v>
      </c>
      <c r="F209" s="56" t="s">
        <v>135</v>
      </c>
      <c r="G209" s="57" t="s">
        <v>166</v>
      </c>
      <c r="H209" s="58">
        <v>44003</v>
      </c>
      <c r="I209" s="59">
        <v>1</v>
      </c>
      <c r="J209" s="60" t="s">
        <v>513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ht="17.25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 t="s">
        <v>514</v>
      </c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96" t="str">
        <f>IF(G211&lt;&gt;"",SUBTOTAL(3,$G$4:G211),"")</f>
        <v/>
      </c>
      <c r="C211" s="55"/>
      <c r="D211" s="55"/>
      <c r="E211" s="56"/>
      <c r="F211" s="56"/>
      <c r="G211" s="57"/>
      <c r="H211" s="58"/>
      <c r="I211" s="67">
        <v>1</v>
      </c>
      <c r="J211" s="60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55">
        <f>IF(G212&lt;&gt;"",SUBTOTAL(3,$G$5:G212),"")</f>
        <v>44</v>
      </c>
      <c r="C212" s="55"/>
      <c r="D212" s="55"/>
      <c r="E212" s="56" t="s">
        <v>139</v>
      </c>
      <c r="F212" s="56" t="s">
        <v>135</v>
      </c>
      <c r="G212" s="57" t="s">
        <v>167</v>
      </c>
      <c r="H212" s="58">
        <v>44000</v>
      </c>
      <c r="I212" s="59">
        <v>1</v>
      </c>
      <c r="J212" s="60" t="s">
        <v>508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509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510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511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 t="s">
        <v>512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96" t="str">
        <f>IF(G217&lt;&gt;"",SUBTOTAL(3,$G$4:G217),"")</f>
        <v/>
      </c>
      <c r="C217" s="55"/>
      <c r="D217" s="55"/>
      <c r="E217" s="56"/>
      <c r="F217" s="56"/>
      <c r="G217" s="57"/>
      <c r="H217" s="58"/>
      <c r="I217" s="67">
        <v>1</v>
      </c>
      <c r="J217" s="60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55">
        <f>IF(G218&lt;&gt;"",SUBTOTAL(3,$G$5:G218),"")</f>
        <v>45</v>
      </c>
      <c r="C218" s="55"/>
      <c r="D218" s="55"/>
      <c r="E218" s="56" t="s">
        <v>139</v>
      </c>
      <c r="F218" s="56" t="s">
        <v>135</v>
      </c>
      <c r="G218" s="57" t="s">
        <v>168</v>
      </c>
      <c r="H218" s="58">
        <v>43996</v>
      </c>
      <c r="I218" s="59">
        <v>1</v>
      </c>
      <c r="J218" s="60" t="s">
        <v>505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506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 t="s">
        <v>507</v>
      </c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96" t="str">
        <f>IF(G221&lt;&gt;"",SUBTOTAL(3,$G$4:G221),"")</f>
        <v/>
      </c>
      <c r="C221" s="55"/>
      <c r="D221" s="55"/>
      <c r="E221" s="56"/>
      <c r="F221" s="56"/>
      <c r="G221" s="57"/>
      <c r="H221" s="58"/>
      <c r="I221" s="67">
        <v>1</v>
      </c>
      <c r="J221" s="60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55">
        <f>IF(G222&lt;&gt;"",SUBTOTAL(3,$G$5:G222),"")</f>
        <v>46</v>
      </c>
      <c r="C222" s="55"/>
      <c r="D222" s="55"/>
      <c r="E222" s="56" t="s">
        <v>139</v>
      </c>
      <c r="F222" s="56" t="s">
        <v>135</v>
      </c>
      <c r="G222" s="57" t="s">
        <v>169</v>
      </c>
      <c r="H222" s="58">
        <v>43996</v>
      </c>
      <c r="I222" s="59">
        <v>1</v>
      </c>
      <c r="J222" s="60" t="s">
        <v>501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502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ht="15.75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503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 t="s">
        <v>504</v>
      </c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96" t="str">
        <f>IF(G226&lt;&gt;"",SUBTOTAL(3,$G$4:G226),"")</f>
        <v/>
      </c>
      <c r="C226" s="55"/>
      <c r="D226" s="55"/>
      <c r="E226" s="56"/>
      <c r="F226" s="56"/>
      <c r="G226" s="57"/>
      <c r="H226" s="58"/>
      <c r="I226" s="67">
        <v>1</v>
      </c>
      <c r="J226" s="60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55">
        <f>IF(G227&lt;&gt;"",SUBTOTAL(3,$G$5:G227),"")</f>
        <v>47</v>
      </c>
      <c r="C227" s="55"/>
      <c r="D227" s="55"/>
      <c r="E227" s="56" t="s">
        <v>139</v>
      </c>
      <c r="F227" s="56" t="s">
        <v>135</v>
      </c>
      <c r="G227" s="57" t="s">
        <v>170</v>
      </c>
      <c r="H227" s="58">
        <v>43996</v>
      </c>
      <c r="I227" s="59">
        <v>1</v>
      </c>
      <c r="J227" s="60" t="s">
        <v>497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500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499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 t="s">
        <v>498</v>
      </c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96" t="str">
        <f>IF(G231&lt;&gt;"",SUBTOTAL(3,$G$4:G231),"")</f>
        <v/>
      </c>
      <c r="C231" s="55"/>
      <c r="D231" s="55"/>
      <c r="E231" s="56"/>
      <c r="F231" s="56"/>
      <c r="G231" s="57"/>
      <c r="H231" s="58"/>
      <c r="I231" s="67">
        <v>1</v>
      </c>
      <c r="J231" s="60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55">
        <f>IF(G232&lt;&gt;"",SUBTOTAL(3,$G$5:G232),"")</f>
        <v>48</v>
      </c>
      <c r="C232" s="55"/>
      <c r="D232" s="55"/>
      <c r="E232" s="56" t="s">
        <v>139</v>
      </c>
      <c r="F232" s="56" t="s">
        <v>135</v>
      </c>
      <c r="G232" s="57" t="s">
        <v>171</v>
      </c>
      <c r="H232" s="58">
        <v>43995</v>
      </c>
      <c r="I232" s="59">
        <v>1</v>
      </c>
      <c r="J232" s="60" t="s">
        <v>493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494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495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 t="s">
        <v>496</v>
      </c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96" t="str">
        <f>IF(G236&lt;&gt;"",SUBTOTAL(3,$G$4:G236),"")</f>
        <v/>
      </c>
      <c r="C236" s="55"/>
      <c r="D236" s="55"/>
      <c r="E236" s="56"/>
      <c r="F236" s="56"/>
      <c r="G236" s="57"/>
      <c r="H236" s="58"/>
      <c r="I236" s="67">
        <v>1</v>
      </c>
      <c r="J236" s="60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55">
        <f>IF(G237&lt;&gt;"",SUBTOTAL(3,$G$5:G237),"")</f>
        <v>49</v>
      </c>
      <c r="C237" s="55"/>
      <c r="D237" s="55"/>
      <c r="E237" s="56" t="s">
        <v>139</v>
      </c>
      <c r="F237" s="56" t="s">
        <v>135</v>
      </c>
      <c r="G237" s="57" t="s">
        <v>172</v>
      </c>
      <c r="H237" s="58">
        <v>43995</v>
      </c>
      <c r="I237" s="59">
        <v>1</v>
      </c>
      <c r="J237" s="60" t="s">
        <v>413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411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 t="s">
        <v>412</v>
      </c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96" t="str">
        <f>IF(G240&lt;&gt;"",SUBTOTAL(3,$G$5:G240),"")</f>
        <v/>
      </c>
      <c r="C240" s="55"/>
      <c r="D240" s="55"/>
      <c r="E240" s="56"/>
      <c r="F240" s="56"/>
      <c r="G240" s="57"/>
      <c r="H240" s="58"/>
      <c r="I240" s="67">
        <v>1</v>
      </c>
      <c r="J240" s="60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55">
        <f>IF(G241&lt;&gt;"",SUBTOTAL(3,$G$5:G241),"")</f>
        <v>50</v>
      </c>
      <c r="C241" s="55"/>
      <c r="D241" s="55"/>
      <c r="E241" s="56" t="s">
        <v>139</v>
      </c>
      <c r="F241" s="56" t="s">
        <v>135</v>
      </c>
      <c r="G241" s="71" t="s">
        <v>173</v>
      </c>
      <c r="H241" s="58">
        <v>43982</v>
      </c>
      <c r="I241" s="59">
        <v>1</v>
      </c>
      <c r="J241" s="60" t="s">
        <v>428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429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430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 t="s">
        <v>431</v>
      </c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x14ac:dyDescent="0.15">
      <c r="B245" s="96" t="str">
        <f>IF(G245&lt;&gt;"",SUBTOTAL(3,$G$5:G245),"")</f>
        <v/>
      </c>
      <c r="C245" s="55"/>
      <c r="D245" s="55"/>
      <c r="E245" s="56"/>
      <c r="F245" s="56"/>
      <c r="G245" s="71"/>
      <c r="H245" s="58"/>
      <c r="I245" s="67">
        <v>1</v>
      </c>
      <c r="J245" s="60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2"/>
      <c r="AS245" s="60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2"/>
      <c r="CB245" s="57"/>
      <c r="CH245" s="61"/>
      <c r="CI245" s="61"/>
      <c r="CJ245" s="61"/>
      <c r="CK245" s="61"/>
      <c r="CL245" s="61"/>
      <c r="CM245" s="61"/>
      <c r="CN245" s="61"/>
      <c r="CO245" s="61"/>
      <c r="CP245" s="61"/>
      <c r="CQ245" s="61"/>
      <c r="CR245" s="61"/>
      <c r="CS245" s="61"/>
      <c r="CT245" s="61"/>
      <c r="CU245" s="61"/>
      <c r="CV245" s="61"/>
      <c r="CW245" s="61"/>
      <c r="CX245" s="61"/>
      <c r="CY245" s="61"/>
      <c r="CZ245" s="61"/>
      <c r="DA245" s="61"/>
      <c r="DB245" s="61"/>
      <c r="DC245" s="61"/>
      <c r="DD245" s="61"/>
      <c r="DE245" s="61"/>
      <c r="DF245" s="61"/>
      <c r="DG245" s="61"/>
      <c r="DH245" s="61"/>
      <c r="DI245" s="61"/>
      <c r="DJ245" s="61"/>
      <c r="DK245" s="61"/>
      <c r="DL245" s="61"/>
      <c r="DM245" s="61"/>
      <c r="DN245" s="61"/>
      <c r="DO245" s="61"/>
      <c r="DP245" s="61"/>
      <c r="DQ245" s="61"/>
      <c r="DR245" s="61"/>
      <c r="DS245" s="61"/>
      <c r="DT245" s="61"/>
      <c r="DU245" s="61"/>
      <c r="DV245" s="61"/>
      <c r="DW245" s="61"/>
      <c r="DX245" s="61"/>
      <c r="DY245" s="61"/>
      <c r="DZ245" s="61"/>
    </row>
    <row r="246" spans="2:130" s="44" customFormat="1" ht="13.5" customHeight="1" x14ac:dyDescent="0.15">
      <c r="B246" s="72">
        <f>IF(G246&lt;&gt;"",SUBTOTAL(3,$G$5:G246),"")</f>
        <v>51</v>
      </c>
      <c r="C246" s="72"/>
      <c r="D246" s="72"/>
      <c r="E246" s="73" t="s">
        <v>139</v>
      </c>
      <c r="F246" s="73" t="s">
        <v>135</v>
      </c>
      <c r="G246" s="71" t="s">
        <v>174</v>
      </c>
      <c r="H246" s="58">
        <v>43995</v>
      </c>
      <c r="I246" s="59">
        <v>1</v>
      </c>
      <c r="J246" s="74" t="s">
        <v>401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 t="s">
        <v>402</v>
      </c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ht="13.5" customHeight="1" x14ac:dyDescent="0.15">
      <c r="B248" s="96" t="str">
        <f>IF(G248&lt;&gt;"",SUBTOTAL(3,$G$5:G248),"")</f>
        <v/>
      </c>
      <c r="C248" s="72"/>
      <c r="D248" s="72"/>
      <c r="E248" s="73"/>
      <c r="F248" s="73"/>
      <c r="G248" s="71"/>
      <c r="H248" s="58"/>
      <c r="I248" s="67">
        <v>1</v>
      </c>
      <c r="J248" s="74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75"/>
      <c r="AS248" s="74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75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>
        <f>IF(G249&lt;&gt;"",SUBTOTAL(3,$G$5:G249),"")</f>
        <v>52</v>
      </c>
      <c r="C249" s="72"/>
      <c r="D249" s="72"/>
      <c r="E249" s="73" t="s">
        <v>139</v>
      </c>
      <c r="F249" s="73" t="s">
        <v>135</v>
      </c>
      <c r="G249" s="71" t="s">
        <v>175</v>
      </c>
      <c r="H249" s="58">
        <v>43955</v>
      </c>
      <c r="I249" s="59">
        <v>1</v>
      </c>
      <c r="J249" s="60" t="s">
        <v>445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 t="s">
        <v>446</v>
      </c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x14ac:dyDescent="0.15">
      <c r="B251" s="72" t="str">
        <f>IF(G251&lt;&gt;"",SUBTOTAL(3,$G$5:G251),"")</f>
        <v/>
      </c>
      <c r="C251" s="72"/>
      <c r="D251" s="72"/>
      <c r="E251" s="73"/>
      <c r="F251" s="73"/>
      <c r="G251" s="71"/>
      <c r="H251" s="58"/>
      <c r="I251" s="67">
        <v>1</v>
      </c>
      <c r="J251" s="60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  <c r="AL251" s="61"/>
      <c r="AM251" s="61"/>
      <c r="AN251" s="61"/>
      <c r="AO251" s="61"/>
      <c r="AP251" s="61"/>
      <c r="AQ251" s="61"/>
      <c r="AR251" s="62"/>
      <c r="AS251" s="60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2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72">
        <f>IF(G252&lt;&gt;"",SUBTOTAL(3,$G$5:G252),"")</f>
        <v>53</v>
      </c>
      <c r="C252" s="72"/>
      <c r="D252" s="72"/>
      <c r="E252" s="73" t="s">
        <v>139</v>
      </c>
      <c r="F252" s="73" t="s">
        <v>135</v>
      </c>
      <c r="G252" s="71" t="s">
        <v>176</v>
      </c>
      <c r="H252" s="58">
        <v>43967</v>
      </c>
      <c r="I252" s="97">
        <v>1</v>
      </c>
      <c r="J252" s="74" t="s">
        <v>389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96" t="str">
        <f>IF(G253&lt;&gt;"",SUBTOTAL(3,$G$5:G253),"")</f>
        <v/>
      </c>
      <c r="C253" s="72"/>
      <c r="D253" s="72"/>
      <c r="E253" s="73"/>
      <c r="F253" s="73"/>
      <c r="G253" s="71"/>
      <c r="H253" s="58"/>
      <c r="I253" s="67">
        <v>1</v>
      </c>
      <c r="J253" s="74" t="s">
        <v>390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72">
        <f>IF(G254&lt;&gt;"",SUBTOTAL(3,$G$5:G254),"")</f>
        <v>54</v>
      </c>
      <c r="C254" s="72"/>
      <c r="D254" s="72"/>
      <c r="E254" s="73" t="s">
        <v>139</v>
      </c>
      <c r="F254" s="73" t="s">
        <v>135</v>
      </c>
      <c r="G254" s="71" t="s">
        <v>177</v>
      </c>
      <c r="H254" s="58">
        <v>43870</v>
      </c>
      <c r="I254" s="59">
        <v>1</v>
      </c>
      <c r="J254" s="74" t="s">
        <v>386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387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 t="s">
        <v>388</v>
      </c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ht="13.5" customHeight="1" x14ac:dyDescent="0.15">
      <c r="B257" s="96" t="str">
        <f>IF(G257&lt;&gt;"",SUBTOTAL(3,$G$5:G257),"")</f>
        <v/>
      </c>
      <c r="C257" s="72"/>
      <c r="D257" s="72"/>
      <c r="E257" s="73"/>
      <c r="F257" s="73"/>
      <c r="G257" s="71"/>
      <c r="H257" s="58"/>
      <c r="I257" s="65"/>
      <c r="J257" s="74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72">
        <f>IF(G258&lt;&gt;"",SUBTOTAL(3,$G$5:G258),"")</f>
        <v>55</v>
      </c>
      <c r="C258" s="72"/>
      <c r="D258" s="72"/>
      <c r="E258" s="73" t="s">
        <v>139</v>
      </c>
      <c r="F258" s="73" t="s">
        <v>135</v>
      </c>
      <c r="G258" s="71" t="s">
        <v>178</v>
      </c>
      <c r="H258" s="58">
        <v>43869</v>
      </c>
      <c r="I258" s="59">
        <v>1</v>
      </c>
      <c r="J258" s="74" t="s">
        <v>453</v>
      </c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96" t="str">
        <f>IF(G259&lt;&gt;"",SUBTOTAL(3,$G$5:G259),"")</f>
        <v/>
      </c>
      <c r="C259" s="72"/>
      <c r="D259" s="72"/>
      <c r="E259" s="73"/>
      <c r="F259" s="73"/>
      <c r="G259" s="71"/>
      <c r="H259" s="58"/>
      <c r="I259" s="67">
        <v>1</v>
      </c>
      <c r="J259" s="74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75"/>
      <c r="AS259" s="74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75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>
        <f>IF(G260&lt;&gt;"",SUBTOTAL(3,$G$5:G260),"")</f>
        <v>56</v>
      </c>
      <c r="C260" s="72"/>
      <c r="D260" s="72"/>
      <c r="E260" s="73" t="s">
        <v>139</v>
      </c>
      <c r="F260" s="73" t="s">
        <v>135</v>
      </c>
      <c r="G260" s="71" t="s">
        <v>89</v>
      </c>
      <c r="H260" s="58">
        <v>43961</v>
      </c>
      <c r="I260" s="59">
        <v>1</v>
      </c>
      <c r="J260" s="102" t="s">
        <v>443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 t="s">
        <v>444</v>
      </c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x14ac:dyDescent="0.15">
      <c r="B262" s="72" t="str">
        <f>IF(G262&lt;&gt;"",SUBTOTAL(3,$G$5:G262),"")</f>
        <v/>
      </c>
      <c r="C262" s="72"/>
      <c r="D262" s="72"/>
      <c r="E262" s="73"/>
      <c r="F262" s="73"/>
      <c r="G262" s="71"/>
      <c r="H262" s="58"/>
      <c r="I262" s="67">
        <v>1</v>
      </c>
      <c r="J262" s="102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4"/>
      <c r="AS262" s="60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2"/>
      <c r="CB262" s="71"/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72">
        <f>IF(G263&lt;&gt;"",SUBTOTAL(3,$G$5:G263),"")</f>
        <v>57</v>
      </c>
      <c r="C263" s="72"/>
      <c r="D263" s="72"/>
      <c r="E263" s="73" t="s">
        <v>139</v>
      </c>
      <c r="F263" s="73" t="s">
        <v>135</v>
      </c>
      <c r="G263" s="71" t="s">
        <v>179</v>
      </c>
      <c r="H263" s="58">
        <v>43961</v>
      </c>
      <c r="I263" s="59">
        <v>1</v>
      </c>
      <c r="J263" s="74" t="s">
        <v>432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 t="s">
        <v>13</v>
      </c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433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 t="s">
        <v>434</v>
      </c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96" t="str">
        <f>IF(G266&lt;&gt;"",SUBTOTAL(3,$G$5:G266),"")</f>
        <v/>
      </c>
      <c r="C266" s="72"/>
      <c r="D266" s="72"/>
      <c r="E266" s="73"/>
      <c r="F266" s="73"/>
      <c r="G266" s="71"/>
      <c r="H266" s="58"/>
      <c r="I266" s="67">
        <v>1</v>
      </c>
      <c r="J266" s="74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6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72">
        <f>IF(G267&lt;&gt;"",SUBTOTAL(3,$G$5:G267),"")</f>
        <v>58</v>
      </c>
      <c r="C267" s="72"/>
      <c r="D267" s="72"/>
      <c r="E267" s="73" t="s">
        <v>139</v>
      </c>
      <c r="F267" s="73" t="s">
        <v>135</v>
      </c>
      <c r="G267" s="71" t="s">
        <v>180</v>
      </c>
      <c r="H267" s="58">
        <v>43995</v>
      </c>
      <c r="I267" s="59">
        <v>1</v>
      </c>
      <c r="J267" s="74" t="s">
        <v>403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404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 t="s">
        <v>405</v>
      </c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96" t="str">
        <f>IF(G270&lt;&gt;"",SUBTOTAL(3,$G$5:G270),"")</f>
        <v/>
      </c>
      <c r="C270" s="72"/>
      <c r="D270" s="72"/>
      <c r="E270" s="73"/>
      <c r="F270" s="73"/>
      <c r="G270" s="71"/>
      <c r="H270" s="58"/>
      <c r="I270" s="67">
        <v>1</v>
      </c>
      <c r="J270" s="74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72">
        <f>IF(G271&lt;&gt;"",SUBTOTAL(3,$G$5:G271),"")</f>
        <v>59</v>
      </c>
      <c r="C271" s="72"/>
      <c r="D271" s="72"/>
      <c r="E271" s="73" t="s">
        <v>139</v>
      </c>
      <c r="F271" s="73" t="s">
        <v>135</v>
      </c>
      <c r="G271" s="71" t="s">
        <v>181</v>
      </c>
      <c r="H271" s="58">
        <v>43961</v>
      </c>
      <c r="I271" s="59">
        <v>1</v>
      </c>
      <c r="J271" s="74" t="s">
        <v>435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 t="s">
        <v>436</v>
      </c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96" t="str">
        <f>IF(G273&lt;&gt;"",SUBTOTAL(3,$G$5:G273),"")</f>
        <v/>
      </c>
      <c r="C273" s="72"/>
      <c r="D273" s="72"/>
      <c r="E273" s="73"/>
      <c r="F273" s="73"/>
      <c r="G273" s="71"/>
      <c r="H273" s="58"/>
      <c r="I273" s="67">
        <v>1</v>
      </c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60</v>
      </c>
      <c r="C274" s="72"/>
      <c r="D274" s="72"/>
      <c r="E274" s="73" t="s">
        <v>139</v>
      </c>
      <c r="F274" s="73" t="s">
        <v>135</v>
      </c>
      <c r="G274" s="71" t="s">
        <v>182</v>
      </c>
      <c r="H274" s="58">
        <v>43995</v>
      </c>
      <c r="I274" s="59"/>
      <c r="J274" s="74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72">
        <f>IF(G275&lt;&gt;"",SUBTOTAL(3,$G$5:G275),"")</f>
        <v>61</v>
      </c>
      <c r="C275" s="72"/>
      <c r="D275" s="72"/>
      <c r="E275" s="73" t="s">
        <v>139</v>
      </c>
      <c r="F275" s="73" t="s">
        <v>135</v>
      </c>
      <c r="G275" s="71" t="s">
        <v>183</v>
      </c>
      <c r="H275" s="58">
        <v>44006</v>
      </c>
      <c r="I275" s="59"/>
      <c r="J275" s="74" t="s">
        <v>437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 t="s">
        <v>13</v>
      </c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 t="s">
        <v>438</v>
      </c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96" t="str">
        <f>IF(G277&lt;&gt;"",SUBTOTAL(3,$G$5:G277),"")</f>
        <v/>
      </c>
      <c r="C277" s="72"/>
      <c r="D277" s="72"/>
      <c r="E277" s="73"/>
      <c r="F277" s="73"/>
      <c r="G277" s="71"/>
      <c r="H277" s="58"/>
      <c r="I277" s="65"/>
      <c r="J277" s="74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72">
        <f>IF(G278&lt;&gt;"",SUBTOTAL(3,$G$5:G278),"")</f>
        <v>62</v>
      </c>
      <c r="C278" s="72"/>
      <c r="D278" s="72"/>
      <c r="E278" s="73" t="s">
        <v>139</v>
      </c>
      <c r="F278" s="73" t="s">
        <v>135</v>
      </c>
      <c r="G278" s="71" t="s">
        <v>15</v>
      </c>
      <c r="H278" s="58">
        <v>43995</v>
      </c>
      <c r="I278" s="59">
        <v>1</v>
      </c>
      <c r="J278" s="74" t="s">
        <v>391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 t="s">
        <v>392</v>
      </c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96" t="str">
        <f>IF(G280&lt;&gt;"",SUBTOTAL(3,$G$5:G280),"")</f>
        <v/>
      </c>
      <c r="C280" s="72"/>
      <c r="D280" s="72"/>
      <c r="E280" s="73"/>
      <c r="F280" s="73"/>
      <c r="G280" s="71"/>
      <c r="H280" s="58"/>
      <c r="I280" s="67">
        <v>1</v>
      </c>
      <c r="J280" s="74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72">
        <f>IF(G281&lt;&gt;"",SUBTOTAL(3,$G$5:G281),"")</f>
        <v>63</v>
      </c>
      <c r="C281" s="72"/>
      <c r="D281" s="72"/>
      <c r="E281" s="73" t="s">
        <v>139</v>
      </c>
      <c r="F281" s="73" t="s">
        <v>135</v>
      </c>
      <c r="G281" s="71" t="s">
        <v>184</v>
      </c>
      <c r="H281" s="58">
        <v>43871</v>
      </c>
      <c r="I281" s="59">
        <v>1</v>
      </c>
      <c r="J281" s="74" t="s">
        <v>399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 t="s">
        <v>13</v>
      </c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 t="s">
        <v>400</v>
      </c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96" t="str">
        <f>IF(G283&lt;&gt;"",SUBTOTAL(3,$G$5:G283),"")</f>
        <v/>
      </c>
      <c r="C283" s="72"/>
      <c r="D283" s="72"/>
      <c r="E283" s="73"/>
      <c r="F283" s="73"/>
      <c r="G283" s="71"/>
      <c r="H283" s="58"/>
      <c r="I283" s="67">
        <v>1</v>
      </c>
      <c r="J283" s="74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6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72">
        <f>IF(G284&lt;&gt;"",SUBTOTAL(3,$G$5:G284),"")</f>
        <v>64</v>
      </c>
      <c r="C284" s="72"/>
      <c r="D284" s="72"/>
      <c r="E284" s="73" t="s">
        <v>139</v>
      </c>
      <c r="F284" s="73" t="s">
        <v>135</v>
      </c>
      <c r="G284" s="71" t="s">
        <v>185</v>
      </c>
      <c r="H284" s="58">
        <v>43936</v>
      </c>
      <c r="I284" s="59">
        <v>1</v>
      </c>
      <c r="J284" s="74" t="s">
        <v>395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396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397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 t="s">
        <v>398</v>
      </c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96" t="str">
        <f>IF(G288&lt;&gt;"",SUBTOTAL(3,$G$5:G288),"")</f>
        <v/>
      </c>
      <c r="C288" s="72"/>
      <c r="D288" s="72"/>
      <c r="E288" s="73"/>
      <c r="F288" s="73"/>
      <c r="G288" s="71"/>
      <c r="H288" s="58"/>
      <c r="I288" s="67">
        <v>1</v>
      </c>
      <c r="J288" s="74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72">
        <f>IF(G289&lt;&gt;"",SUBTOTAL(3,$G$5:G289),"")</f>
        <v>65</v>
      </c>
      <c r="C289" s="72"/>
      <c r="D289" s="72"/>
      <c r="E289" s="73" t="s">
        <v>139</v>
      </c>
      <c r="F289" s="73" t="s">
        <v>135</v>
      </c>
      <c r="G289" s="71" t="s">
        <v>186</v>
      </c>
      <c r="H289" s="58">
        <v>43935</v>
      </c>
      <c r="I289" s="59">
        <v>1</v>
      </c>
      <c r="J289" s="74" t="s">
        <v>394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 t="s">
        <v>393</v>
      </c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96" t="str">
        <f>IF(G291&lt;&gt;"",SUBTOTAL(3,$G$5:G291),"")</f>
        <v/>
      </c>
      <c r="C291" s="72"/>
      <c r="D291" s="72"/>
      <c r="E291" s="73"/>
      <c r="F291" s="73"/>
      <c r="G291" s="71"/>
      <c r="H291" s="58"/>
      <c r="I291" s="67">
        <v>1</v>
      </c>
      <c r="J291" s="74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72">
        <f>IF(G292&lt;&gt;"",SUBTOTAL(3,$G$5:G292),"")</f>
        <v>66</v>
      </c>
      <c r="C292" s="72"/>
      <c r="D292" s="72"/>
      <c r="E292" s="73" t="s">
        <v>139</v>
      </c>
      <c r="F292" s="73" t="s">
        <v>135</v>
      </c>
      <c r="G292" s="71" t="s">
        <v>187</v>
      </c>
      <c r="H292" s="58">
        <v>43919</v>
      </c>
      <c r="I292" s="59">
        <v>1</v>
      </c>
      <c r="J292" s="74" t="s">
        <v>489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491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490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 t="s">
        <v>492</v>
      </c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96" t="str">
        <f>IF(G296&lt;&gt;"",SUBTOTAL(3,$G$4:G296),"")</f>
        <v/>
      </c>
      <c r="C296" s="72"/>
      <c r="D296" s="72"/>
      <c r="E296" s="73"/>
      <c r="F296" s="73"/>
      <c r="G296" s="71"/>
      <c r="H296" s="58"/>
      <c r="I296" s="67">
        <v>1</v>
      </c>
      <c r="J296" s="74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72">
        <f>IF(G297&lt;&gt;"",SUBTOTAL(3,$G$5:G297),"")</f>
        <v>67</v>
      </c>
      <c r="C297" s="72"/>
      <c r="D297" s="72"/>
      <c r="E297" s="73" t="s">
        <v>139</v>
      </c>
      <c r="F297" s="73" t="s">
        <v>135</v>
      </c>
      <c r="G297" s="71" t="s">
        <v>188</v>
      </c>
      <c r="H297" s="58">
        <v>43995</v>
      </c>
      <c r="I297" s="59">
        <v>1</v>
      </c>
      <c r="J297" s="74" t="s">
        <v>406</v>
      </c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96" t="str">
        <f>IF(G298&lt;&gt;"",SUBTOTAL(3,$G$5:G298),"")</f>
        <v/>
      </c>
      <c r="C298" s="72"/>
      <c r="D298" s="72"/>
      <c r="E298" s="73"/>
      <c r="F298" s="73"/>
      <c r="G298" s="71"/>
      <c r="H298" s="58"/>
      <c r="I298" s="67">
        <v>1</v>
      </c>
      <c r="J298" s="74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72">
        <f>IF(G299&lt;&gt;"",SUBTOTAL(3,$G$5:G299),"")</f>
        <v>68</v>
      </c>
      <c r="C299" s="72"/>
      <c r="D299" s="72"/>
      <c r="E299" s="73" t="s">
        <v>139</v>
      </c>
      <c r="F299" s="73" t="s">
        <v>135</v>
      </c>
      <c r="G299" s="71" t="s">
        <v>189</v>
      </c>
      <c r="H299" s="58">
        <v>43975</v>
      </c>
      <c r="I299" s="59">
        <v>1</v>
      </c>
      <c r="J299" s="74" t="s">
        <v>487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 t="s">
        <v>488</v>
      </c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96" t="str">
        <f>IF(G301&lt;&gt;"",SUBTOTAL(3,$G$4:G301),"")</f>
        <v/>
      </c>
      <c r="C301" s="72"/>
      <c r="D301" s="72"/>
      <c r="E301" s="73"/>
      <c r="F301" s="73"/>
      <c r="G301" s="71"/>
      <c r="H301" s="58"/>
      <c r="I301" s="67">
        <v>1</v>
      </c>
      <c r="J301" s="74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72">
        <f>IF(G302&lt;&gt;"",SUBTOTAL(3,$G$5:G302),"")</f>
        <v>69</v>
      </c>
      <c r="C302" s="72"/>
      <c r="D302" s="72"/>
      <c r="E302" s="73" t="s">
        <v>139</v>
      </c>
      <c r="F302" s="73" t="s">
        <v>135</v>
      </c>
      <c r="G302" s="71" t="s">
        <v>190</v>
      </c>
      <c r="H302" s="58">
        <v>43975</v>
      </c>
      <c r="I302" s="59">
        <v>1</v>
      </c>
      <c r="J302" s="74" t="s">
        <v>486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485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 t="str">
        <f>IF(G304&lt;&gt;"",SUBTOTAL(3,$G$4:G304),"")</f>
        <v/>
      </c>
      <c r="C304" s="72"/>
      <c r="D304" s="72"/>
      <c r="E304" s="73"/>
      <c r="F304" s="73"/>
      <c r="G304" s="71"/>
      <c r="H304" s="58"/>
      <c r="I304" s="67">
        <v>1</v>
      </c>
      <c r="J304" s="74" t="s">
        <v>484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/>
      <c r="C305" s="72"/>
      <c r="D305" s="72"/>
      <c r="E305" s="73"/>
      <c r="F305" s="73"/>
      <c r="G305" s="71"/>
      <c r="H305" s="58"/>
      <c r="I305" s="67"/>
      <c r="J305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96" t="str">
        <f>IF(G306&lt;&gt;"",SUBTOTAL(3,$G$4:G306),"")</f>
        <v/>
      </c>
      <c r="C306" s="72"/>
      <c r="D306" s="72"/>
      <c r="E306" s="73"/>
      <c r="F306" s="73"/>
      <c r="G306" s="71"/>
      <c r="H306" s="58"/>
      <c r="I306" s="67">
        <v>1</v>
      </c>
      <c r="J306" s="74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72">
        <f>IF(G307&lt;&gt;"",SUBTOTAL(3,$G$5:G307),"")</f>
        <v>70</v>
      </c>
      <c r="C307" s="72"/>
      <c r="D307" s="72"/>
      <c r="E307" s="73" t="s">
        <v>139</v>
      </c>
      <c r="F307" s="73" t="s">
        <v>135</v>
      </c>
      <c r="G307" s="71" t="s">
        <v>191</v>
      </c>
      <c r="H307" s="58">
        <v>43975</v>
      </c>
      <c r="I307" s="59">
        <v>1</v>
      </c>
      <c r="J307" s="74" t="s">
        <v>474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482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483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476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477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475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478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480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481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 t="s">
        <v>479</v>
      </c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96" t="str">
        <f>IF(G317&lt;&gt;"",SUBTOTAL(3,$G$4:G317),"")</f>
        <v/>
      </c>
      <c r="C317" s="72"/>
      <c r="D317" s="72"/>
      <c r="E317" s="73"/>
      <c r="F317" s="73"/>
      <c r="G317" s="71"/>
      <c r="H317" s="58"/>
      <c r="I317" s="67">
        <v>1</v>
      </c>
      <c r="J317" s="74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72">
        <f>IF(G318&lt;&gt;"",SUBTOTAL(3,$G$5:G318),"")</f>
        <v>71</v>
      </c>
      <c r="C318" s="72"/>
      <c r="D318" s="72"/>
      <c r="E318" s="73" t="s">
        <v>139</v>
      </c>
      <c r="F318" s="73" t="s">
        <v>135</v>
      </c>
      <c r="G318" s="71" t="s">
        <v>192</v>
      </c>
      <c r="H318" s="58">
        <v>43975</v>
      </c>
      <c r="I318" s="59">
        <v>1</v>
      </c>
      <c r="J318" s="74" t="s">
        <v>407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 t="s">
        <v>408</v>
      </c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96" t="str">
        <f>IF(G320&lt;&gt;"",SUBTOTAL(3,$G$5:G320),"")</f>
        <v/>
      </c>
      <c r="C320" s="72"/>
      <c r="D320" s="72"/>
      <c r="E320" s="73"/>
      <c r="F320" s="73"/>
      <c r="G320" s="71"/>
      <c r="H320" s="58"/>
      <c r="I320" s="67">
        <v>1</v>
      </c>
      <c r="J320" s="74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72">
        <f>IF(G321&lt;&gt;"",SUBTOTAL(3,$G$5:G321),"")</f>
        <v>72</v>
      </c>
      <c r="C321" s="72"/>
      <c r="D321" s="72"/>
      <c r="E321" s="73" t="s">
        <v>139</v>
      </c>
      <c r="F321" s="73" t="s">
        <v>135</v>
      </c>
      <c r="G321" s="71" t="s">
        <v>193</v>
      </c>
      <c r="H321" s="58">
        <v>43977</v>
      </c>
      <c r="I321" s="59">
        <v>1</v>
      </c>
      <c r="J321" s="74" t="s">
        <v>409</v>
      </c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96" t="str">
        <f>IF(G322&lt;&gt;"",SUBTOTAL(3,$G$5:G322),"")</f>
        <v/>
      </c>
      <c r="C322" s="72"/>
      <c r="D322" s="72"/>
      <c r="E322" s="73"/>
      <c r="F322" s="73"/>
      <c r="G322" s="71"/>
      <c r="H322" s="58"/>
      <c r="I322" s="67">
        <v>1</v>
      </c>
      <c r="J322" s="74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72">
        <f>IF(G323&lt;&gt;"",SUBTOTAL(3,$G$5:G323),"")</f>
        <v>73</v>
      </c>
      <c r="C323" s="72"/>
      <c r="D323" s="72"/>
      <c r="E323" s="73" t="s">
        <v>139</v>
      </c>
      <c r="F323" s="73" t="s">
        <v>135</v>
      </c>
      <c r="G323" s="71" t="s">
        <v>194</v>
      </c>
      <c r="H323" s="58">
        <v>43977</v>
      </c>
      <c r="I323" s="59">
        <v>1</v>
      </c>
      <c r="J323" s="74" t="s">
        <v>410</v>
      </c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96" t="str">
        <f>IF(G324&lt;&gt;"",SUBTOTAL(3,$G$5:G324),"")</f>
        <v/>
      </c>
      <c r="C324" s="72"/>
      <c r="D324" s="72"/>
      <c r="E324" s="73"/>
      <c r="F324" s="73"/>
      <c r="G324" s="71"/>
      <c r="H324" s="58"/>
      <c r="I324" s="67">
        <v>1</v>
      </c>
      <c r="J324" s="74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72">
        <f>IF(G325&lt;&gt;"",SUBTOTAL(3,$G$5:G325),"")</f>
        <v>74</v>
      </c>
      <c r="C325" s="72"/>
      <c r="D325" s="72"/>
      <c r="E325" s="73" t="s">
        <v>139</v>
      </c>
      <c r="F325" s="73" t="s">
        <v>135</v>
      </c>
      <c r="G325" s="71" t="s">
        <v>195</v>
      </c>
      <c r="H325" s="58">
        <v>43977</v>
      </c>
      <c r="I325" s="59">
        <v>1</v>
      </c>
      <c r="J325" s="74" t="s">
        <v>439</v>
      </c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96" t="str">
        <f>IF(G326&lt;&gt;"",SUBTOTAL(3,$G$5:G326),"")</f>
        <v/>
      </c>
      <c r="C326" s="72"/>
      <c r="D326" s="72"/>
      <c r="E326" s="73"/>
      <c r="F326" s="73"/>
      <c r="G326" s="71"/>
      <c r="H326" s="58"/>
      <c r="I326" s="67">
        <v>1</v>
      </c>
      <c r="J326" s="74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72">
        <f>IF(G327&lt;&gt;"",SUBTOTAL(3,$G$5:G327),"")</f>
        <v>75</v>
      </c>
      <c r="C327" s="72"/>
      <c r="D327" s="72"/>
      <c r="E327" s="73" t="s">
        <v>139</v>
      </c>
      <c r="F327" s="73" t="s">
        <v>135</v>
      </c>
      <c r="G327" s="71" t="s">
        <v>196</v>
      </c>
      <c r="H327" s="58">
        <v>43995</v>
      </c>
      <c r="I327" s="59">
        <v>1</v>
      </c>
      <c r="J327" s="74" t="s">
        <v>414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415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 t="s">
        <v>416</v>
      </c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96" t="str">
        <f>IF(G330&lt;&gt;"",SUBTOTAL(3,$G$5:G330),"")</f>
        <v/>
      </c>
      <c r="C330" s="72"/>
      <c r="D330" s="72"/>
      <c r="E330" s="73"/>
      <c r="F330" s="73"/>
      <c r="G330" s="71"/>
      <c r="H330" s="58"/>
      <c r="I330" s="67">
        <v>1</v>
      </c>
      <c r="J330" s="74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72">
        <f>IF(G331&lt;&gt;"",SUBTOTAL(3,$G$5:G331),"")</f>
        <v>76</v>
      </c>
      <c r="C331" s="72"/>
      <c r="D331" s="72"/>
      <c r="E331" s="73" t="s">
        <v>139</v>
      </c>
      <c r="F331" s="73" t="s">
        <v>135</v>
      </c>
      <c r="G331" s="71" t="s">
        <v>197</v>
      </c>
      <c r="H331" s="58">
        <v>43982</v>
      </c>
      <c r="I331" s="59">
        <v>1</v>
      </c>
      <c r="J331" s="74" t="s">
        <v>417</v>
      </c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96" t="str">
        <f>IF(G332&lt;&gt;"",SUBTOTAL(3,$G$5:G332),"")</f>
        <v/>
      </c>
      <c r="C332" s="72"/>
      <c r="D332" s="72"/>
      <c r="E332" s="73"/>
      <c r="F332" s="73"/>
      <c r="G332" s="71"/>
      <c r="H332" s="58"/>
      <c r="I332" s="67">
        <v>1</v>
      </c>
      <c r="J332" s="74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72">
        <f>IF(G333&lt;&gt;"",SUBTOTAL(3,$G$5:G333),"")</f>
        <v>77</v>
      </c>
      <c r="C333" s="72"/>
      <c r="D333" s="72"/>
      <c r="E333" s="73" t="s">
        <v>139</v>
      </c>
      <c r="F333" s="73" t="s">
        <v>135</v>
      </c>
      <c r="G333" s="71" t="s">
        <v>198</v>
      </c>
      <c r="H333" s="58">
        <v>43989</v>
      </c>
      <c r="I333" s="59">
        <v>1</v>
      </c>
      <c r="J333" s="74" t="s">
        <v>418</v>
      </c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96" t="str">
        <f>IF(G334&lt;&gt;"",SUBTOTAL(3,$G$5:G334),"")</f>
        <v/>
      </c>
      <c r="C334" s="72"/>
      <c r="D334" s="72"/>
      <c r="E334" s="73"/>
      <c r="F334" s="73"/>
      <c r="G334" s="71"/>
      <c r="H334" s="58"/>
      <c r="I334" s="67">
        <v>1</v>
      </c>
      <c r="J334" s="74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72">
        <f>IF(G335&lt;&gt;"",SUBTOTAL(3,$G$5:G335),"")</f>
        <v>78</v>
      </c>
      <c r="C335" s="72"/>
      <c r="D335" s="72"/>
      <c r="E335" s="73" t="s">
        <v>139</v>
      </c>
      <c r="F335" s="73" t="s">
        <v>135</v>
      </c>
      <c r="G335" s="71" t="s">
        <v>199</v>
      </c>
      <c r="H335" s="58">
        <v>43989</v>
      </c>
      <c r="I335" s="59">
        <v>0.5</v>
      </c>
      <c r="J335" s="74" t="s">
        <v>548</v>
      </c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549</v>
      </c>
      <c r="K336" s="98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550</v>
      </c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 t="s">
        <v>419</v>
      </c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96" t="str">
        <f>IF(G339&lt;&gt;"",SUBTOTAL(3,$G$5:G339),"")</f>
        <v/>
      </c>
      <c r="C339" s="72"/>
      <c r="D339" s="72"/>
      <c r="E339" s="73"/>
      <c r="F339" s="73"/>
      <c r="G339" s="71"/>
      <c r="H339" s="58"/>
      <c r="I339" s="65">
        <v>0.5</v>
      </c>
      <c r="J339" s="74"/>
      <c r="K339" s="98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72">
        <f>IF(G340&lt;&gt;"",SUBTOTAL(3,$G$5:G340),"")</f>
        <v>79</v>
      </c>
      <c r="C340" s="72"/>
      <c r="D340" s="72"/>
      <c r="E340" s="73" t="s">
        <v>139</v>
      </c>
      <c r="F340" s="73" t="s">
        <v>135</v>
      </c>
      <c r="G340" s="71" t="s">
        <v>200</v>
      </c>
      <c r="H340" s="58">
        <v>43991</v>
      </c>
      <c r="I340" s="59">
        <v>1</v>
      </c>
      <c r="J340" s="74" t="s">
        <v>420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421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422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 t="s">
        <v>423</v>
      </c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96" t="str">
        <f>IF(G344&lt;&gt;"",SUBTOTAL(3,$G$5:G344),"")</f>
        <v/>
      </c>
      <c r="C344" s="72"/>
      <c r="D344" s="72"/>
      <c r="E344" s="73"/>
      <c r="F344" s="73"/>
      <c r="G344" s="71"/>
      <c r="H344" s="58"/>
      <c r="I344" s="67">
        <v>1</v>
      </c>
      <c r="J344" s="74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72">
        <f>IF(G345&lt;&gt;"",SUBTOTAL(3,$G$5:G345),"")</f>
        <v>80</v>
      </c>
      <c r="C345" s="72"/>
      <c r="D345" s="72"/>
      <c r="E345" s="73" t="s">
        <v>139</v>
      </c>
      <c r="F345" s="73" t="s">
        <v>135</v>
      </c>
      <c r="G345" s="71" t="s">
        <v>201</v>
      </c>
      <c r="H345" s="58">
        <v>43991</v>
      </c>
      <c r="I345" s="59">
        <v>1</v>
      </c>
      <c r="J345" s="74" t="s">
        <v>471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472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473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 t="s">
        <v>470</v>
      </c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96" t="str">
        <f>IF(G349&lt;&gt;"",SUBTOTAL(3,$G$4:G349),"")</f>
        <v/>
      </c>
      <c r="C349" s="72"/>
      <c r="D349" s="72"/>
      <c r="E349" s="73"/>
      <c r="F349" s="73"/>
      <c r="G349" s="71"/>
      <c r="H349" s="58"/>
      <c r="I349" s="67">
        <v>1</v>
      </c>
      <c r="J349" s="74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72">
        <f>IF(G350&lt;&gt;"",SUBTOTAL(3,$G$5:G350),"")</f>
        <v>81</v>
      </c>
      <c r="C350" s="72"/>
      <c r="D350" s="72"/>
      <c r="E350" s="73" t="s">
        <v>139</v>
      </c>
      <c r="F350" s="73" t="s">
        <v>135</v>
      </c>
      <c r="G350" s="71" t="s">
        <v>424</v>
      </c>
      <c r="H350" s="58">
        <v>43992</v>
      </c>
      <c r="I350" s="59">
        <v>0.8</v>
      </c>
      <c r="J350" s="74" t="s">
        <v>426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425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 t="s">
        <v>427</v>
      </c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ht="13.5" customHeight="1" x14ac:dyDescent="0.15">
      <c r="B353" s="96" t="str">
        <f>IF(G353&lt;&gt;"",SUBTOTAL(3,$G$5:G353),"")</f>
        <v/>
      </c>
      <c r="C353" s="72"/>
      <c r="D353" s="72"/>
      <c r="E353" s="73"/>
      <c r="F353" s="73"/>
      <c r="G353" s="71"/>
      <c r="H353" s="58"/>
      <c r="I353" s="65">
        <v>0.8</v>
      </c>
      <c r="J353" s="74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>
        <f>IF(G354&lt;&gt;"",SUBTOTAL(3,$G$5:G354),"")</f>
        <v>82</v>
      </c>
      <c r="C354" s="72"/>
      <c r="D354" s="72"/>
      <c r="E354" s="73" t="s">
        <v>139</v>
      </c>
      <c r="F354" s="73" t="s">
        <v>135</v>
      </c>
      <c r="G354" s="71" t="s">
        <v>202</v>
      </c>
      <c r="H354" s="58">
        <v>43994</v>
      </c>
      <c r="I354" s="59">
        <v>0.8</v>
      </c>
      <c r="J354" s="74" t="s">
        <v>304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305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306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307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308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309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74" t="s">
        <v>310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75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x14ac:dyDescent="0.15">
      <c r="B362" s="72" t="str">
        <f>IF(G362&lt;&gt;"",SUBTOTAL(3,$G$5:G362),"")</f>
        <v/>
      </c>
      <c r="C362" s="72"/>
      <c r="D362" s="72"/>
      <c r="E362" s="73"/>
      <c r="F362" s="73"/>
      <c r="G362" s="71"/>
      <c r="H362" s="58"/>
      <c r="I362" s="65">
        <v>0.8</v>
      </c>
      <c r="J362" s="36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8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72">
        <f>IF(G363&lt;&gt;"",SUBTOTAL(3,$G$5:G363),"")</f>
        <v>83</v>
      </c>
      <c r="C363" s="72"/>
      <c r="D363" s="72"/>
      <c r="E363" s="73" t="s">
        <v>139</v>
      </c>
      <c r="F363" s="73" t="s">
        <v>135</v>
      </c>
      <c r="G363" s="71" t="s">
        <v>203</v>
      </c>
      <c r="H363" s="58">
        <v>43995</v>
      </c>
      <c r="I363" s="59">
        <v>1</v>
      </c>
      <c r="J363" s="74" t="s">
        <v>467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IF(G364&lt;&gt;"",SUBTOTAL(3,$G$4:G364),"")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468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 t="s">
        <v>469</v>
      </c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ht="13.5" customHeight="1" x14ac:dyDescent="0.15">
      <c r="B366" s="96" t="str">
        <f>IF(G366&lt;&gt;"",SUBTOTAL(3,$G$5:G366),"")</f>
        <v/>
      </c>
      <c r="C366" s="72"/>
      <c r="D366" s="72"/>
      <c r="E366" s="73"/>
      <c r="F366" s="73"/>
      <c r="G366" s="71"/>
      <c r="H366" s="58"/>
      <c r="I366" s="67">
        <v>1</v>
      </c>
      <c r="J366" s="74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>
        <f>IF(G367&lt;&gt;"",SUBTOTAL(3,$G$5:G367),"")</f>
        <v>84</v>
      </c>
      <c r="C367" s="72"/>
      <c r="D367" s="72"/>
      <c r="E367" s="73" t="s">
        <v>139</v>
      </c>
      <c r="F367" s="73" t="s">
        <v>135</v>
      </c>
      <c r="G367" s="71" t="s">
        <v>204</v>
      </c>
      <c r="H367" s="58">
        <v>43997</v>
      </c>
      <c r="I367" s="59">
        <v>1</v>
      </c>
      <c r="J367" s="74" t="s">
        <v>371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312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370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372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x14ac:dyDescent="0.15">
      <c r="B369" s="72" t="str">
        <f>IF(G369&lt;&gt;"",SUBTOTAL(3,$G$5:G369),"")</f>
        <v/>
      </c>
      <c r="C369" s="72"/>
      <c r="D369" s="72"/>
      <c r="E369" s="73"/>
      <c r="F369" s="73"/>
      <c r="G369" s="71"/>
      <c r="H369" s="58"/>
      <c r="I369" s="67">
        <v>1</v>
      </c>
      <c r="J369" s="74" t="s">
        <v>311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 t="s">
        <v>373</v>
      </c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72">
        <f>IF(G370&lt;&gt;"",SUBTOTAL(3,$G$5:G370),"")</f>
        <v>85</v>
      </c>
      <c r="C370" s="72"/>
      <c r="D370" s="72"/>
      <c r="E370" s="73" t="s">
        <v>139</v>
      </c>
      <c r="F370" s="73" t="s">
        <v>135</v>
      </c>
      <c r="G370" s="71" t="s">
        <v>205</v>
      </c>
      <c r="H370" s="58">
        <v>44004</v>
      </c>
      <c r="I370" s="59">
        <v>0.5</v>
      </c>
      <c r="J370" s="74" t="s">
        <v>456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457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 t="s">
        <v>454</v>
      </c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463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464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 t="s">
        <v>460</v>
      </c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461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462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 t="s">
        <v>455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458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 t="s">
        <v>459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ht="13.5" customHeight="1" x14ac:dyDescent="0.15">
      <c r="B383" s="96" t="str">
        <f>IF(G383&lt;&gt;"",SUBTOTAL(3,$G$5:G383),"")</f>
        <v/>
      </c>
      <c r="C383" s="72"/>
      <c r="D383" s="72"/>
      <c r="E383" s="73"/>
      <c r="F383" s="73"/>
      <c r="G383" s="71"/>
      <c r="H383" s="58"/>
      <c r="I383" s="65">
        <v>0.5</v>
      </c>
      <c r="J383" s="74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>
        <f>IF(G384&lt;&gt;"",SUBTOTAL(3,$G$5:G384),"")</f>
        <v>86</v>
      </c>
      <c r="C384" s="72"/>
      <c r="D384" s="72"/>
      <c r="E384" s="73" t="s">
        <v>139</v>
      </c>
      <c r="F384" s="73" t="s">
        <v>142</v>
      </c>
      <c r="G384" s="73" t="s">
        <v>206</v>
      </c>
      <c r="H384" s="58">
        <v>44030</v>
      </c>
      <c r="I384" s="59">
        <v>1</v>
      </c>
      <c r="J384" s="74" t="s">
        <v>313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 t="s">
        <v>374</v>
      </c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 t="s">
        <v>314</v>
      </c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375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315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ht="15.75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341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376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 t="s">
        <v>377</v>
      </c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 t="str">
        <f>IF(G391&lt;&gt;"",SUBTOTAL(3,$G$5:G391),"")</f>
        <v/>
      </c>
      <c r="C391" s="72"/>
      <c r="D391" s="72"/>
      <c r="E391" s="73"/>
      <c r="F391" s="73"/>
      <c r="G391" s="73"/>
      <c r="H391" s="58"/>
      <c r="I391" s="67">
        <v>1</v>
      </c>
      <c r="J391" s="74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72">
        <f>IF(G392&lt;&gt;"",SUBTOTAL(3,$G$5:G392),"")</f>
        <v>87</v>
      </c>
      <c r="C392" s="72"/>
      <c r="D392" s="72"/>
      <c r="E392" s="73" t="s">
        <v>139</v>
      </c>
      <c r="F392" s="73" t="s">
        <v>142</v>
      </c>
      <c r="G392" s="73" t="s">
        <v>213</v>
      </c>
      <c r="H392" s="58">
        <v>44052</v>
      </c>
      <c r="I392" s="59">
        <v>0.5</v>
      </c>
      <c r="J392" s="74" t="s">
        <v>551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379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 t="s">
        <v>552</v>
      </c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378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380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381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96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383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382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 t="s">
        <v>384</v>
      </c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x14ac:dyDescent="0.15">
      <c r="B400" s="72" t="str">
        <f>IF(G400&lt;&gt;"",SUBTOTAL(3,$G$5:G400),"")</f>
        <v/>
      </c>
      <c r="C400" s="72"/>
      <c r="D400" s="72"/>
      <c r="E400" s="73"/>
      <c r="F400" s="73"/>
      <c r="G400" s="73"/>
      <c r="H400" s="58"/>
      <c r="I400" s="65">
        <v>0.5</v>
      </c>
      <c r="J400" s="74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72">
        <f>IF(G401&lt;&gt;"",SUBTOTAL(3,$G$5:G401),"")</f>
        <v>88</v>
      </c>
      <c r="C401" s="72"/>
      <c r="D401" s="72"/>
      <c r="E401" s="73" t="s">
        <v>139</v>
      </c>
      <c r="F401" s="73" t="s">
        <v>142</v>
      </c>
      <c r="G401" s="73" t="s">
        <v>220</v>
      </c>
      <c r="H401" s="58">
        <v>44062</v>
      </c>
      <c r="I401" s="59">
        <v>1</v>
      </c>
      <c r="J401" s="74" t="s">
        <v>448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449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450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451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 t="s">
        <v>452</v>
      </c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96" t="str">
        <f>IF(G406&lt;&gt;"",SUBTOTAL(3,$G$5:G406),"")</f>
        <v/>
      </c>
      <c r="C406" s="72"/>
      <c r="D406" s="72"/>
      <c r="E406" s="73"/>
      <c r="F406" s="73"/>
      <c r="G406" s="73"/>
      <c r="H406" s="58"/>
      <c r="I406" s="67">
        <v>1</v>
      </c>
      <c r="J406" s="74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72">
        <f>IF(G407&lt;&gt;"",SUBTOTAL(3,$G$5:G407),"")</f>
        <v>89</v>
      </c>
      <c r="C407" s="72"/>
      <c r="D407" s="72"/>
      <c r="E407" s="73" t="s">
        <v>139</v>
      </c>
      <c r="F407" s="73" t="s">
        <v>142</v>
      </c>
      <c r="G407" s="73" t="s">
        <v>221</v>
      </c>
      <c r="H407" s="58">
        <v>44071</v>
      </c>
      <c r="I407" s="59">
        <v>1</v>
      </c>
      <c r="J407" s="74" t="s">
        <v>447</v>
      </c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ht="13.5" customHeight="1" x14ac:dyDescent="0.15">
      <c r="B408" s="96" t="str">
        <f>IF(G408&lt;&gt;"",SUBTOTAL(3,$G$5:G408),"")</f>
        <v/>
      </c>
      <c r="C408" s="72"/>
      <c r="D408" s="72"/>
      <c r="E408" s="73"/>
      <c r="F408" s="73"/>
      <c r="G408" s="73"/>
      <c r="H408" s="58"/>
      <c r="I408" s="67">
        <v>1</v>
      </c>
      <c r="J408" s="74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74"/>
      <c r="AT408" s="41"/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>
        <f>IF(G409&lt;&gt;"",SUBTOTAL(3,$G$5:G409),"")</f>
        <v>90</v>
      </c>
      <c r="C409" s="72"/>
      <c r="D409" s="72"/>
      <c r="E409" s="73" t="s">
        <v>139</v>
      </c>
      <c r="F409" s="73" t="s">
        <v>142</v>
      </c>
      <c r="G409" s="73" t="s">
        <v>225</v>
      </c>
      <c r="H409" s="58">
        <v>44073</v>
      </c>
      <c r="I409" s="59">
        <v>1</v>
      </c>
      <c r="J409" s="92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2" t="s">
        <v>326</v>
      </c>
      <c r="AT409" s="41" t="s">
        <v>327</v>
      </c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316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317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318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319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331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320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3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3" t="s">
        <v>321</v>
      </c>
      <c r="AT416" s="41"/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92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92" t="s">
        <v>326</v>
      </c>
      <c r="AT417" s="41" t="s">
        <v>328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332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74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74" t="s">
        <v>333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316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317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318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319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334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322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320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3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3" t="s">
        <v>321</v>
      </c>
      <c r="AT427" s="41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92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92" t="s">
        <v>329</v>
      </c>
      <c r="AT428" s="41" t="s">
        <v>330</v>
      </c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74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74" t="s">
        <v>335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316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317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318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319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323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320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93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93" t="s">
        <v>321</v>
      </c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x14ac:dyDescent="0.15">
      <c r="B437" s="72" t="str">
        <f>IF(G437&lt;&gt;"",SUBTOTAL(3,$G$5:G437),"")</f>
        <v/>
      </c>
      <c r="C437" s="72"/>
      <c r="D437" s="72"/>
      <c r="E437" s="73"/>
      <c r="F437" s="73"/>
      <c r="G437" s="73"/>
      <c r="H437" s="58"/>
      <c r="I437" s="67">
        <v>1</v>
      </c>
      <c r="J437" s="74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>
        <f>IF(G438&lt;&gt;"",SUBTOTAL(3,$G$5:G438),"")</f>
        <v>91</v>
      </c>
      <c r="C438" s="72"/>
      <c r="D438" s="72"/>
      <c r="E438" s="73" t="s">
        <v>139</v>
      </c>
      <c r="F438" s="73" t="s">
        <v>142</v>
      </c>
      <c r="G438" s="73" t="s">
        <v>236</v>
      </c>
      <c r="H438" s="58">
        <v>44108</v>
      </c>
      <c r="I438" s="59">
        <v>0.5</v>
      </c>
      <c r="J438" s="74" t="s">
        <v>1</v>
      </c>
      <c r="K438" s="41" t="s">
        <v>325</v>
      </c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75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77"/>
      <c r="K439" s="78"/>
      <c r="L439" s="78"/>
      <c r="M439" s="78"/>
      <c r="N439" s="78"/>
      <c r="O439" s="78"/>
      <c r="P439" s="78"/>
      <c r="Q439" s="78"/>
      <c r="R439" s="79" t="s">
        <v>324</v>
      </c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81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 t="s">
        <v>237</v>
      </c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4.25" customHeight="1" x14ac:dyDescent="0.15">
      <c r="B443" s="72" t="str">
        <f>IF(G443&lt;&gt;"",SUBTOTAL(3,$G$5:G443),"")</f>
        <v/>
      </c>
      <c r="C443" s="72"/>
      <c r="D443" s="72"/>
      <c r="E443" s="73"/>
      <c r="F443" s="73"/>
      <c r="G443" s="73"/>
      <c r="H443" s="58"/>
      <c r="I443" s="65">
        <v>0.5</v>
      </c>
      <c r="J443" s="77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78"/>
      <c r="AG443" s="78"/>
      <c r="AH443" s="78"/>
      <c r="AI443" s="78"/>
      <c r="AJ443" s="78"/>
      <c r="AK443" s="78"/>
      <c r="AL443" s="78"/>
      <c r="AM443" s="78"/>
      <c r="AN443" s="78"/>
      <c r="AO443" s="78"/>
      <c r="AP443" s="78"/>
      <c r="AQ443" s="78"/>
      <c r="AR443" s="80"/>
      <c r="AS443" s="74"/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s="44" customFormat="1" ht="13.5" customHeight="1" x14ac:dyDescent="0.15">
      <c r="B444" s="72">
        <f>IF(G444&lt;&gt;"",SUBTOTAL(3,$G$5:G444),"")</f>
        <v>92</v>
      </c>
      <c r="C444" s="72"/>
      <c r="D444" s="72"/>
      <c r="E444" s="73" t="s">
        <v>139</v>
      </c>
      <c r="F444" s="73" t="s">
        <v>142</v>
      </c>
      <c r="G444" s="73" t="s">
        <v>591</v>
      </c>
      <c r="H444" s="58">
        <v>44192</v>
      </c>
      <c r="I444" s="59">
        <v>1</v>
      </c>
      <c r="J444" s="74" t="s">
        <v>592</v>
      </c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75"/>
      <c r="AS444" s="74" t="s">
        <v>596</v>
      </c>
      <c r="AT444" s="41"/>
      <c r="AU444" s="41"/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75"/>
      <c r="CB444" s="71"/>
      <c r="CC444" s="41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112" t="s">
        <v>594</v>
      </c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40"/>
      <c r="AS445" s="60" t="s">
        <v>597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ht="13.5" customHeight="1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595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 t="s">
        <v>598</v>
      </c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 t="s">
        <v>593</v>
      </c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 t="str">
        <f>IF(G448&lt;&gt;"",SUBTOTAL(3,$G$5:G448),"")</f>
        <v/>
      </c>
      <c r="C448" s="55"/>
      <c r="D448" s="55"/>
      <c r="E448" s="56"/>
      <c r="F448" s="56"/>
      <c r="G448" s="56"/>
      <c r="H448" s="58"/>
      <c r="I448" s="59"/>
      <c r="J448" s="60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>
        <f>IF(G449&lt;&gt;"",SUBTOTAL(3,$G$5:G449),"")</f>
        <v>93</v>
      </c>
      <c r="C449" s="55"/>
      <c r="D449" s="55"/>
      <c r="E449" s="56" t="s">
        <v>139</v>
      </c>
      <c r="F449" s="56" t="s">
        <v>142</v>
      </c>
      <c r="G449" s="56" t="s">
        <v>603</v>
      </c>
      <c r="H449" s="58">
        <v>44192</v>
      </c>
      <c r="I449" s="59">
        <v>1</v>
      </c>
      <c r="J449" s="60" t="s">
        <v>599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60" t="s">
        <v>600</v>
      </c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2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ht="15.75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112" t="s">
        <v>601</v>
      </c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40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 t="s">
        <v>602</v>
      </c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 t="str">
        <f>IF(G453&lt;&gt;"",SUBTOTAL(3,$G$5:G453),"")</f>
        <v/>
      </c>
      <c r="C453" s="55"/>
      <c r="D453" s="55"/>
      <c r="E453" s="56"/>
      <c r="F453" s="56"/>
      <c r="G453" s="56"/>
      <c r="H453" s="58"/>
      <c r="I453" s="59"/>
      <c r="J453" s="60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>
        <f>IF(G454&lt;&gt;"",SUBTOTAL(3,$G$5:G454),"")</f>
        <v>94</v>
      </c>
      <c r="C454" s="55"/>
      <c r="D454" s="55"/>
      <c r="E454" s="56" t="s">
        <v>139</v>
      </c>
      <c r="F454" s="56" t="s">
        <v>142</v>
      </c>
      <c r="G454" s="56" t="s">
        <v>604</v>
      </c>
      <c r="H454" s="58">
        <v>44197</v>
      </c>
      <c r="I454" s="59">
        <v>1</v>
      </c>
      <c r="J454" s="60" t="s">
        <v>608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 t="s">
        <v>606</v>
      </c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612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 t="s">
        <v>1</v>
      </c>
      <c r="AF455" s="61" t="s">
        <v>616</v>
      </c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613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614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615</v>
      </c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2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ht="15.75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609</v>
      </c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40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610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 t="s">
        <v>611</v>
      </c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605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 t="s">
        <v>607</v>
      </c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>
        <f>IF(G466&lt;&gt;"",SUBTOTAL(3,$G$5:G466),"")</f>
        <v>95</v>
      </c>
      <c r="C466" s="55"/>
      <c r="D466" s="55"/>
      <c r="E466" s="56" t="s">
        <v>139</v>
      </c>
      <c r="F466" s="56" t="s">
        <v>142</v>
      </c>
      <c r="G466" s="56" t="s">
        <v>617</v>
      </c>
      <c r="H466" s="58">
        <v>44199</v>
      </c>
      <c r="I466" s="59">
        <v>1</v>
      </c>
      <c r="J466" s="60" t="s">
        <v>634</v>
      </c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96" t="str">
        <f>IF(G467&lt;&gt;"",SUBTOTAL(3,$G$5:G467),"")</f>
        <v/>
      </c>
      <c r="C467" s="55"/>
      <c r="D467" s="55"/>
      <c r="E467" s="56"/>
      <c r="F467" s="56"/>
      <c r="G467" s="56"/>
      <c r="H467" s="58"/>
      <c r="I467" s="67">
        <v>1</v>
      </c>
      <c r="J467" s="60" t="s">
        <v>635</v>
      </c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96" t="str">
        <f>IF(G468&lt;&gt;"",SUBTOTAL(3,$G$5:G468),"")</f>
        <v/>
      </c>
      <c r="C468" s="55"/>
      <c r="D468" s="55"/>
      <c r="E468" s="56"/>
      <c r="F468" s="56"/>
      <c r="G468" s="56"/>
      <c r="H468" s="58"/>
      <c r="I468" s="67">
        <v>1</v>
      </c>
      <c r="J468" s="60" t="s">
        <v>636</v>
      </c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>
        <f>IF(G470&lt;&gt;"",SUBTOTAL(3,$G$5:G470),"")</f>
        <v>96</v>
      </c>
      <c r="C470" s="55"/>
      <c r="D470" s="55"/>
      <c r="E470" s="56" t="s">
        <v>139</v>
      </c>
      <c r="F470" s="56" t="s">
        <v>142</v>
      </c>
      <c r="G470" s="56" t="s">
        <v>618</v>
      </c>
      <c r="H470" s="58">
        <v>44199</v>
      </c>
      <c r="I470" s="59">
        <v>1</v>
      </c>
      <c r="J470" s="60" t="s">
        <v>629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96" t="str">
        <f>IF(G471&lt;&gt;"",SUBTOTAL(3,$G$5:G471),"")</f>
        <v/>
      </c>
      <c r="C471" s="55"/>
      <c r="D471" s="55"/>
      <c r="E471" s="56"/>
      <c r="F471" s="56"/>
      <c r="G471" s="56"/>
      <c r="H471" s="58"/>
      <c r="I471" s="65"/>
      <c r="J471" s="60" t="s">
        <v>630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96" t="str">
        <f>IF(G472&lt;&gt;"",SUBTOTAL(3,$G$5:G472),"")</f>
        <v/>
      </c>
      <c r="C472" s="55"/>
      <c r="D472" s="55"/>
      <c r="E472" s="56"/>
      <c r="F472" s="56"/>
      <c r="G472" s="56"/>
      <c r="H472" s="58"/>
      <c r="I472" s="65"/>
      <c r="J472" s="60" t="s">
        <v>631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96" t="str">
        <f>IF(G473&lt;&gt;"",SUBTOTAL(3,$G$5:G473),"")</f>
        <v/>
      </c>
      <c r="C473" s="55"/>
      <c r="D473" s="55"/>
      <c r="E473" s="56"/>
      <c r="F473" s="56"/>
      <c r="G473" s="56"/>
      <c r="H473" s="58"/>
      <c r="I473" s="65"/>
      <c r="J473" s="60" t="s">
        <v>632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96" t="str">
        <f>IF(G474&lt;&gt;"",SUBTOTAL(3,$G$5:G474),"")</f>
        <v/>
      </c>
      <c r="C474" s="55"/>
      <c r="D474" s="55"/>
      <c r="E474" s="56"/>
      <c r="F474" s="56"/>
      <c r="G474" s="56"/>
      <c r="H474" s="58"/>
      <c r="I474" s="65"/>
      <c r="J474" s="60" t="s">
        <v>633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96" t="str">
        <f>IF(G475&lt;&gt;"",SUBTOTAL(3,$G$5:G475),"")</f>
        <v/>
      </c>
      <c r="C475" s="55"/>
      <c r="D475" s="55"/>
      <c r="E475" s="56"/>
      <c r="F475" s="56"/>
      <c r="G475" s="56"/>
      <c r="H475" s="58"/>
      <c r="I475" s="65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>
        <f>IF(G477&lt;&gt;"",SUBTOTAL(3,$G$5:G477),"")</f>
        <v>97</v>
      </c>
      <c r="C477" s="55"/>
      <c r="D477" s="55"/>
      <c r="E477" s="56" t="s">
        <v>139</v>
      </c>
      <c r="F477" s="56" t="s">
        <v>142</v>
      </c>
      <c r="G477" s="56" t="s">
        <v>619</v>
      </c>
      <c r="H477" s="58">
        <v>44285</v>
      </c>
      <c r="I477" s="59">
        <v>1</v>
      </c>
      <c r="J477" s="60" t="s">
        <v>622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 t="s">
        <v>620</v>
      </c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 t="s">
        <v>621</v>
      </c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 t="s">
        <v>624</v>
      </c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 t="s">
        <v>625</v>
      </c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 t="s">
        <v>628</v>
      </c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 t="s">
        <v>623</v>
      </c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 t="s">
        <v>626</v>
      </c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 t="s">
        <v>627</v>
      </c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55" t="str">
        <f>IF(G552&lt;&gt;"",SUBTOTAL(3,$G$5:G552),"")</f>
        <v/>
      </c>
      <c r="C552" s="55"/>
      <c r="D552" s="55"/>
      <c r="E552" s="56"/>
      <c r="F552" s="56"/>
      <c r="G552" s="56"/>
      <c r="H552" s="58"/>
      <c r="I552" s="59"/>
      <c r="J552" s="60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2"/>
      <c r="AS552" s="60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2"/>
      <c r="CB552" s="57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  <row r="553" spans="2:130" x14ac:dyDescent="0.15">
      <c r="B553" s="55" t="str">
        <f>IF(G553&lt;&gt;"",SUBTOTAL(3,$G$5:G553),"")</f>
        <v/>
      </c>
      <c r="C553" s="55"/>
      <c r="D553" s="55"/>
      <c r="E553" s="56"/>
      <c r="F553" s="56"/>
      <c r="G553" s="56"/>
      <c r="H553" s="58"/>
      <c r="I553" s="59"/>
      <c r="J553" s="60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2"/>
      <c r="AS553" s="60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2"/>
      <c r="CB553" s="57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</row>
    <row r="554" spans="2:130" x14ac:dyDescent="0.15">
      <c r="B554" s="55" t="str">
        <f>IF(G554&lt;&gt;"",SUBTOTAL(3,$G$5:G554),"")</f>
        <v/>
      </c>
      <c r="C554" s="55"/>
      <c r="D554" s="55"/>
      <c r="E554" s="56"/>
      <c r="F554" s="56"/>
      <c r="G554" s="56"/>
      <c r="H554" s="58"/>
      <c r="I554" s="59"/>
      <c r="J554" s="60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2"/>
      <c r="AS554" s="60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2"/>
      <c r="CB554" s="57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</row>
    <row r="555" spans="2:130" x14ac:dyDescent="0.15">
      <c r="B555" s="55" t="str">
        <f>IF(G555&lt;&gt;"",SUBTOTAL(3,$G$5:G555),"")</f>
        <v/>
      </c>
      <c r="C555" s="55"/>
      <c r="D555" s="55"/>
      <c r="E555" s="56"/>
      <c r="F555" s="56"/>
      <c r="G555" s="56"/>
      <c r="H555" s="58"/>
      <c r="I555" s="59"/>
      <c r="J555" s="60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2"/>
      <c r="AS555" s="60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2"/>
      <c r="CB555" s="57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</row>
    <row r="556" spans="2:130" x14ac:dyDescent="0.15">
      <c r="B556" s="55" t="str">
        <f>IF(G556&lt;&gt;"",SUBTOTAL(3,$G$5:G556),"")</f>
        <v/>
      </c>
      <c r="C556" s="55"/>
      <c r="D556" s="55"/>
      <c r="E556" s="56"/>
      <c r="F556" s="56"/>
      <c r="G556" s="56"/>
      <c r="H556" s="58"/>
      <c r="I556" s="59"/>
      <c r="J556" s="60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2"/>
      <c r="AS556" s="60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2"/>
      <c r="CB556" s="57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</row>
    <row r="557" spans="2:130" x14ac:dyDescent="0.15">
      <c r="B557" s="55" t="str">
        <f>IF(G557&lt;&gt;"",SUBTOTAL(3,$G$5:G557),"")</f>
        <v/>
      </c>
      <c r="C557" s="55"/>
      <c r="D557" s="55"/>
      <c r="E557" s="56"/>
      <c r="F557" s="56"/>
      <c r="G557" s="56"/>
      <c r="H557" s="58"/>
      <c r="I557" s="59"/>
      <c r="J557" s="60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2"/>
      <c r="AS557" s="60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2"/>
      <c r="CB557" s="57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</row>
    <row r="558" spans="2:130" x14ac:dyDescent="0.15">
      <c r="B558" s="55" t="str">
        <f>IF(G558&lt;&gt;"",SUBTOTAL(3,$G$5:G558),"")</f>
        <v/>
      </c>
      <c r="C558" s="55"/>
      <c r="D558" s="55"/>
      <c r="E558" s="56"/>
      <c r="F558" s="56"/>
      <c r="G558" s="56"/>
      <c r="H558" s="58"/>
      <c r="I558" s="59"/>
      <c r="J558" s="60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2"/>
      <c r="AS558" s="60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2"/>
      <c r="CB558" s="57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</row>
    <row r="559" spans="2:130" x14ac:dyDescent="0.15">
      <c r="B559" s="55" t="str">
        <f>IF(G559&lt;&gt;"",SUBTOTAL(3,$G$5:G559),"")</f>
        <v/>
      </c>
      <c r="C559" s="55"/>
      <c r="D559" s="55"/>
      <c r="E559" s="56"/>
      <c r="F559" s="56"/>
      <c r="G559" s="56"/>
      <c r="H559" s="58"/>
      <c r="I559" s="59"/>
      <c r="J559" s="60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2"/>
      <c r="AS559" s="60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2"/>
      <c r="CB559" s="57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</row>
    <row r="560" spans="2:130" x14ac:dyDescent="0.15">
      <c r="B560" s="82" t="str">
        <f>IF(G560&lt;&gt;"",SUBTOTAL(3,$G$5:G560),"")</f>
        <v/>
      </c>
      <c r="C560" s="82"/>
      <c r="D560" s="82"/>
      <c r="E560" s="83"/>
      <c r="F560" s="83"/>
      <c r="G560" s="83"/>
      <c r="H560" s="84"/>
      <c r="I560" s="85"/>
      <c r="J560" s="86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  <c r="AA560" s="87"/>
      <c r="AB560" s="87"/>
      <c r="AC560" s="87"/>
      <c r="AD560" s="87"/>
      <c r="AE560" s="87"/>
      <c r="AF560" s="87"/>
      <c r="AG560" s="87"/>
      <c r="AH560" s="87"/>
      <c r="AI560" s="87"/>
      <c r="AJ560" s="87"/>
      <c r="AK560" s="87"/>
      <c r="AL560" s="87"/>
      <c r="AM560" s="87"/>
      <c r="AN560" s="87"/>
      <c r="AO560" s="87"/>
      <c r="AP560" s="87"/>
      <c r="AQ560" s="87"/>
      <c r="AR560" s="88"/>
      <c r="AS560" s="86"/>
      <c r="AT560" s="87"/>
      <c r="AU560" s="87"/>
      <c r="AV560" s="87"/>
      <c r="AW560" s="87"/>
      <c r="AX560" s="87"/>
      <c r="AY560" s="87"/>
      <c r="AZ560" s="87"/>
      <c r="BA560" s="87"/>
      <c r="BB560" s="87"/>
      <c r="BC560" s="87"/>
      <c r="BD560" s="87"/>
      <c r="BE560" s="87"/>
      <c r="BF560" s="87"/>
      <c r="BG560" s="87"/>
      <c r="BH560" s="87"/>
      <c r="BI560" s="87"/>
      <c r="BJ560" s="87"/>
      <c r="BK560" s="87"/>
      <c r="BL560" s="87"/>
      <c r="BM560" s="87"/>
      <c r="BN560" s="87"/>
      <c r="BO560" s="87"/>
      <c r="BP560" s="87"/>
      <c r="BQ560" s="87"/>
      <c r="BR560" s="87"/>
      <c r="BS560" s="87"/>
      <c r="BT560" s="87"/>
      <c r="BU560" s="87"/>
      <c r="BV560" s="87"/>
      <c r="BW560" s="87"/>
      <c r="BX560" s="87"/>
      <c r="BY560" s="87"/>
      <c r="BZ560" s="87"/>
      <c r="CA560" s="88"/>
      <c r="CB560" s="89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</row>
  </sheetData>
  <autoFilter ref="B4:CB56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5:I445 B451:I451 B74:D74 B81:H81 B90:H90 B446:AR450 F74:CB74 B75:CB79 J80:CB81 B91:CB91 K72:CB72 B73:CB73 K92:CB92 K361:CB361 B441:CB441 K440:CB440 K442:CB442 I249:CA249 K140:CB140 J89:CB90 B82:CB88 J93:CB95 I252:I259 B252:H260 J252:CB260 B443:AR444 J260:J262 B250:CB251 J249:J251 B362:CB439 B305:I305 K305:CB305 B261:CB304 J196:AR249 AS196:CA248 CB196:CB249 B196:H249 I196:I248 B141:CB195 B306:CB360 B96:CB139 B5:CB71 B459:I461 K460:AR461 B452:AR454 B458:AR458 B455:I457 K456:AR456 K457:AD457 K455:AD455 AF455:AR455 AG457:AR457 B553:CB560 B462:AR468 AS443:CB468 J458:J468">
    <cfRule type="expression" dxfId="34" priority="105">
      <formula>AND($I5&lt;&gt;1,$I5&lt;&gt;"")</formula>
    </cfRule>
  </conditionalFormatting>
  <conditionalFormatting sqref="I260:AR260">
    <cfRule type="expression" dxfId="33" priority="91">
      <formula>AND($I260&lt;&gt;1,$I260&lt;&gt;"")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1:I361">
    <cfRule type="expression" dxfId="17" priority="27">
      <formula>AND($I361&lt;&gt;1,$I361&lt;&gt;"")</formula>
    </cfRule>
  </conditionalFormatting>
  <conditionalFormatting sqref="B440:I440 B442:I442">
    <cfRule type="expression" dxfId="16" priority="19">
      <formula>AND($I440&lt;&gt;1,$I440&lt;&gt;"")</formula>
    </cfRule>
  </conditionalFormatting>
  <conditionalFormatting sqref="J442">
    <cfRule type="expression" dxfId="15" priority="18">
      <formula>AND($I442&lt;&gt;1,$I442&lt;&gt;"")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1">
    <cfRule type="expression" dxfId="9" priority="9">
      <formula>AND($I261&lt;&gt;1,$I261&lt;&gt;"")</formula>
    </cfRule>
  </conditionalFormatting>
  <conditionalFormatting sqref="J260">
    <cfRule type="expression" dxfId="8" priority="8">
      <formula>AND($I260&lt;&gt;1,$I260&lt;&gt;"")</formula>
    </cfRule>
  </conditionalFormatting>
  <conditionalFormatting sqref="J305">
    <cfRule type="expression" dxfId="7" priority="7">
      <formula>AND($I305&lt;&gt;1,$I305&lt;&gt;"")</formula>
    </cfRule>
  </conditionalFormatting>
  <conditionalFormatting sqref="J361">
    <cfRule type="expression" dxfId="6" priority="6">
      <formula>AND($I361&lt;&gt;1,$I361&lt;&gt;"")</formula>
    </cfRule>
  </conditionalFormatting>
  <conditionalFormatting sqref="J459:J461">
    <cfRule type="expression" dxfId="5" priority="4">
      <formula>AND($I459&lt;&gt;1,$I459&lt;&gt;"")</formula>
    </cfRule>
  </conditionalFormatting>
  <conditionalFormatting sqref="J463:J465">
    <cfRule type="expression" dxfId="4" priority="107">
      <formula>AND($I455&lt;&gt;1,$I455&lt;&gt;"")</formula>
    </cfRule>
  </conditionalFormatting>
  <conditionalFormatting sqref="J455:J457">
    <cfRule type="expression" dxfId="3" priority="2">
      <formula>AND($I455&lt;&gt;1,$I455&lt;&gt;"")</formula>
    </cfRule>
  </conditionalFormatting>
  <conditionalFormatting sqref="J459:J461">
    <cfRule type="expression" dxfId="2" priority="3">
      <formula>AND($I451&lt;&gt;1,$I451&lt;&gt;"")</formula>
    </cfRule>
  </conditionalFormatting>
  <conditionalFormatting sqref="AE455:AF455">
    <cfRule type="expression" dxfId="1" priority="109">
      <formula>AND($I457&lt;&gt;1,$I457&lt;&gt;"")</formula>
    </cfRule>
  </conditionalFormatting>
  <conditionalFormatting sqref="B469:CB552">
    <cfRule type="expression" dxfId="0" priority="1">
      <formula>AND($I469&lt;&gt;1,$I469&lt;&gt;"")</formula>
    </cfRule>
  </conditionalFormatting>
  <dataValidations count="1">
    <dataValidation type="list" allowBlank="1" showInputMessage="1" showErrorMessage="1" sqref="I5:I560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3" location="toABC143_C_Slimes" display="(→)" xr:uid="{D0A14FDC-339D-483C-A7FB-42784F1DB2F9}"/>
    <hyperlink ref="CB275" location="toABC147_C_Honest_or_Unkind2" display="(→)" xr:uid="{5E89EE6B-F278-4D19-9890-D06616736879}"/>
    <hyperlink ref="CB281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2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2021-04-03T04:29:20Z</dcterms:modified>
</cp:coreProperties>
</file>
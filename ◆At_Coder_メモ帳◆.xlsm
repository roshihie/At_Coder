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4A680DE-AA8D-4231-A88C-F8D144383C4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At_Coder_C問題!$B$4:$CB$557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68" i="3" l="1"/>
  <c r="B469" i="3"/>
  <c r="B470" i="3"/>
  <c r="B471" i="3"/>
  <c r="B472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67" i="3"/>
  <c r="B466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57" i="3" l="1"/>
  <c r="B556" i="3"/>
  <c r="B555" i="3"/>
  <c r="B554" i="3"/>
  <c r="B553" i="3"/>
  <c r="B552" i="3"/>
  <c r="B551" i="3"/>
  <c r="B550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<sst xmlns="http://schemas.openxmlformats.org/spreadsheetml/2006/main" count="949" uniqueCount="636">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</sst>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7"/>
  <sheetViews>
    <sheetView tabSelected="1" zoomScale="115" zoomScaleNormal="115" workbookViewId="0">
      <pane ySplit="4" topLeftCell="A457" activePane="bottomLeft" state="frozen"/>
      <selection pane="bottomLeft" activeCell="J472" sqref="J472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customWidth="1" outlineLevel="1"/>
    <col min="7" max="7" width="40.375" style="63" bestFit="1" customWidth="1"/>
    <col min="8" max="8" width="14.625" style="91" bestFit="1" customWidth="1"/>
    <col min="9" max="9" width="6.125" style="90" bestFit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587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588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590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589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591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592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568</v>
      </c>
      <c r="H19" s="58">
        <v>44185</v>
      </c>
      <c r="I19" s="97">
        <v>1</v>
      </c>
      <c r="J19" s="60" t="s">
        <v>585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586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571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570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573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575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576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577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583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584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542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541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545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544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547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560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565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580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579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581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561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563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564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538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539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556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557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540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536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548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549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582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534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533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527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524</v>
      </c>
      <c r="H188" s="58">
        <v>44013</v>
      </c>
      <c r="I188" s="59">
        <v>1</v>
      </c>
      <c r="J188" s="60" t="s">
        <v>528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525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532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529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530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526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527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522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523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519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521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520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55">
        <f>IF(G204&lt;&gt;"",SUBTOTAL(3,$G$5:G204),"")</f>
        <v>42</v>
      </c>
      <c r="C204" s="55"/>
      <c r="D204" s="55"/>
      <c r="E204" s="56" t="s">
        <v>139</v>
      </c>
      <c r="F204" s="56" t="s">
        <v>135</v>
      </c>
      <c r="G204" s="57" t="s">
        <v>165</v>
      </c>
      <c r="H204" s="58">
        <v>44006</v>
      </c>
      <c r="I204" s="59">
        <v>0.5</v>
      </c>
      <c r="J204" s="60" t="s">
        <v>517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515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516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55">
        <f>IF(G208&lt;&gt;"",SUBTOTAL(3,$G$5:G208),"")</f>
        <v>43</v>
      </c>
      <c r="C208" s="55"/>
      <c r="D208" s="55"/>
      <c r="E208" s="56" t="s">
        <v>139</v>
      </c>
      <c r="F208" s="56" t="s">
        <v>135</v>
      </c>
      <c r="G208" s="57" t="s">
        <v>166</v>
      </c>
      <c r="H208" s="58">
        <v>44003</v>
      </c>
      <c r="I208" s="59">
        <v>1</v>
      </c>
      <c r="J208" s="60" t="s">
        <v>513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ht="17.25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 t="s">
        <v>514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55">
        <f>IF(G211&lt;&gt;"",SUBTOTAL(3,$G$5:G211),"")</f>
        <v>44</v>
      </c>
      <c r="C211" s="55"/>
      <c r="D211" s="55"/>
      <c r="E211" s="56" t="s">
        <v>139</v>
      </c>
      <c r="F211" s="56" t="s">
        <v>135</v>
      </c>
      <c r="G211" s="57" t="s">
        <v>167</v>
      </c>
      <c r="H211" s="58">
        <v>44000</v>
      </c>
      <c r="I211" s="59">
        <v>1</v>
      </c>
      <c r="J211" s="60" t="s">
        <v>508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509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510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511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512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55">
        <f>IF(G217&lt;&gt;"",SUBTOTAL(3,$G$5:G217),"")</f>
        <v>45</v>
      </c>
      <c r="C217" s="55"/>
      <c r="D217" s="55"/>
      <c r="E217" s="56" t="s">
        <v>139</v>
      </c>
      <c r="F217" s="56" t="s">
        <v>135</v>
      </c>
      <c r="G217" s="57" t="s">
        <v>168</v>
      </c>
      <c r="H217" s="58">
        <v>43996</v>
      </c>
      <c r="I217" s="59">
        <v>1</v>
      </c>
      <c r="J217" s="60" t="s">
        <v>505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506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507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55">
        <f>IF(G221&lt;&gt;"",SUBTOTAL(3,$G$5:G221),"")</f>
        <v>46</v>
      </c>
      <c r="C221" s="55"/>
      <c r="D221" s="55"/>
      <c r="E221" s="56" t="s">
        <v>139</v>
      </c>
      <c r="F221" s="56" t="s">
        <v>135</v>
      </c>
      <c r="G221" s="57" t="s">
        <v>169</v>
      </c>
      <c r="H221" s="58">
        <v>43996</v>
      </c>
      <c r="I221" s="59">
        <v>1</v>
      </c>
      <c r="J221" s="60" t="s">
        <v>501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502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ht="15.75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503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504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55">
        <f>IF(G226&lt;&gt;"",SUBTOTAL(3,$G$5:G226),"")</f>
        <v>47</v>
      </c>
      <c r="C226" s="55"/>
      <c r="D226" s="55"/>
      <c r="E226" s="56" t="s">
        <v>139</v>
      </c>
      <c r="F226" s="56" t="s">
        <v>135</v>
      </c>
      <c r="G226" s="57" t="s">
        <v>170</v>
      </c>
      <c r="H226" s="58">
        <v>43996</v>
      </c>
      <c r="I226" s="59">
        <v>1</v>
      </c>
      <c r="J226" s="60" t="s">
        <v>497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500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499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498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55">
        <f>IF(G231&lt;&gt;"",SUBTOTAL(3,$G$5:G231),"")</f>
        <v>48</v>
      </c>
      <c r="C231" s="55"/>
      <c r="D231" s="55"/>
      <c r="E231" s="56" t="s">
        <v>139</v>
      </c>
      <c r="F231" s="56" t="s">
        <v>135</v>
      </c>
      <c r="G231" s="57" t="s">
        <v>171</v>
      </c>
      <c r="H231" s="58">
        <v>43995</v>
      </c>
      <c r="I231" s="59">
        <v>1</v>
      </c>
      <c r="J231" s="60" t="s">
        <v>493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494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495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496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55">
        <f>IF(G236&lt;&gt;"",SUBTOTAL(3,$G$5:G236),"")</f>
        <v>49</v>
      </c>
      <c r="C236" s="55"/>
      <c r="D236" s="55"/>
      <c r="E236" s="56" t="s">
        <v>139</v>
      </c>
      <c r="F236" s="56" t="s">
        <v>135</v>
      </c>
      <c r="G236" s="57" t="s">
        <v>172</v>
      </c>
      <c r="H236" s="58">
        <v>43995</v>
      </c>
      <c r="I236" s="59">
        <v>1</v>
      </c>
      <c r="J236" s="60" t="s">
        <v>413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412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55">
        <f>IF(G240&lt;&gt;"",SUBTOTAL(3,$G$5:G240),"")</f>
        <v>50</v>
      </c>
      <c r="C240" s="55"/>
      <c r="D240" s="55"/>
      <c r="E240" s="56" t="s">
        <v>139</v>
      </c>
      <c r="F240" s="56" t="s">
        <v>135</v>
      </c>
      <c r="G240" s="71" t="s">
        <v>173</v>
      </c>
      <c r="H240" s="58">
        <v>43982</v>
      </c>
      <c r="I240" s="59">
        <v>1</v>
      </c>
      <c r="J240" s="60" t="s">
        <v>428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431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s="44" customFormat="1" ht="13.5" customHeight="1" x14ac:dyDescent="0.15">
      <c r="B245" s="72">
        <f>IF(G245&lt;&gt;"",SUBTOTAL(3,$G$5:G245),"")</f>
        <v>51</v>
      </c>
      <c r="C245" s="72"/>
      <c r="D245" s="72"/>
      <c r="E245" s="73" t="s">
        <v>139</v>
      </c>
      <c r="F245" s="73" t="s">
        <v>135</v>
      </c>
      <c r="G245" s="71" t="s">
        <v>174</v>
      </c>
      <c r="H245" s="58">
        <v>43995</v>
      </c>
      <c r="I245" s="59">
        <v>1</v>
      </c>
      <c r="J245" s="74" t="s">
        <v>401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 t="s">
        <v>402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>
        <f>IF(G248&lt;&gt;"",SUBTOTAL(3,$G$5:G248),"")</f>
        <v>52</v>
      </c>
      <c r="C248" s="72"/>
      <c r="D248" s="72"/>
      <c r="E248" s="73" t="s">
        <v>139</v>
      </c>
      <c r="F248" s="73" t="s">
        <v>135</v>
      </c>
      <c r="G248" s="71" t="s">
        <v>175</v>
      </c>
      <c r="H248" s="58">
        <v>43955</v>
      </c>
      <c r="I248" s="59">
        <v>1</v>
      </c>
      <c r="J248" s="60" t="s">
        <v>445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 t="s">
        <v>446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72">
        <f>IF(G251&lt;&gt;"",SUBTOTAL(3,$G$5:G251),"")</f>
        <v>53</v>
      </c>
      <c r="C251" s="72"/>
      <c r="D251" s="72"/>
      <c r="E251" s="73" t="s">
        <v>139</v>
      </c>
      <c r="F251" s="73" t="s">
        <v>135</v>
      </c>
      <c r="G251" s="71" t="s">
        <v>176</v>
      </c>
      <c r="H251" s="58">
        <v>43967</v>
      </c>
      <c r="I251" s="97">
        <v>1</v>
      </c>
      <c r="J251" s="74" t="s">
        <v>389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96" t="str">
        <f>IF(G252&lt;&gt;"",SUBTOTAL(3,$G$5:G252),"")</f>
        <v/>
      </c>
      <c r="C252" s="72"/>
      <c r="D252" s="72"/>
      <c r="E252" s="73"/>
      <c r="F252" s="73"/>
      <c r="G252" s="71"/>
      <c r="H252" s="58"/>
      <c r="I252" s="67">
        <v>1</v>
      </c>
      <c r="J252" s="74" t="s">
        <v>390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72">
        <f>IF(G253&lt;&gt;"",SUBTOTAL(3,$G$5:G253),"")</f>
        <v>54</v>
      </c>
      <c r="C253" s="72"/>
      <c r="D253" s="72"/>
      <c r="E253" s="73" t="s">
        <v>139</v>
      </c>
      <c r="F253" s="73" t="s">
        <v>135</v>
      </c>
      <c r="G253" s="71" t="s">
        <v>177</v>
      </c>
      <c r="H253" s="58">
        <v>43870</v>
      </c>
      <c r="I253" s="59">
        <v>1</v>
      </c>
      <c r="J253" s="74" t="s">
        <v>386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388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72">
        <f>IF(G257&lt;&gt;"",SUBTOTAL(3,$G$5:G257),"")</f>
        <v>55</v>
      </c>
      <c r="C257" s="72"/>
      <c r="D257" s="72"/>
      <c r="E257" s="73" t="s">
        <v>139</v>
      </c>
      <c r="F257" s="73" t="s">
        <v>135</v>
      </c>
      <c r="G257" s="71" t="s">
        <v>178</v>
      </c>
      <c r="H257" s="58">
        <v>43869</v>
      </c>
      <c r="I257" s="59">
        <v>1</v>
      </c>
      <c r="J257" s="74" t="s">
        <v>453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96" t="str">
        <f>IF(G258&lt;&gt;"",SUBTOTAL(3,$G$5:G258),"")</f>
        <v/>
      </c>
      <c r="C258" s="72"/>
      <c r="D258" s="72"/>
      <c r="E258" s="73"/>
      <c r="F258" s="73"/>
      <c r="G258" s="71"/>
      <c r="H258" s="58"/>
      <c r="I258" s="67">
        <v>1</v>
      </c>
      <c r="J258" s="74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>
        <f>IF(G259&lt;&gt;"",SUBTOTAL(3,$G$5:G259),"")</f>
        <v>56</v>
      </c>
      <c r="C259" s="72"/>
      <c r="D259" s="72"/>
      <c r="E259" s="73" t="s">
        <v>139</v>
      </c>
      <c r="F259" s="73" t="s">
        <v>135</v>
      </c>
      <c r="G259" s="71" t="s">
        <v>89</v>
      </c>
      <c r="H259" s="58">
        <v>43961</v>
      </c>
      <c r="I259" s="59">
        <v>1</v>
      </c>
      <c r="J259" s="102" t="s">
        <v>443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 t="s">
        <v>444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72">
        <f>IF(G262&lt;&gt;"",SUBTOTAL(3,$G$5:G262),"")</f>
        <v>57</v>
      </c>
      <c r="C262" s="72"/>
      <c r="D262" s="72"/>
      <c r="E262" s="73" t="s">
        <v>139</v>
      </c>
      <c r="F262" s="73" t="s">
        <v>135</v>
      </c>
      <c r="G262" s="71" t="s">
        <v>179</v>
      </c>
      <c r="H262" s="58">
        <v>43961</v>
      </c>
      <c r="I262" s="59">
        <v>1</v>
      </c>
      <c r="J262" s="74" t="s">
        <v>432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 t="s">
        <v>13</v>
      </c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434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72">
        <f>IF(G266&lt;&gt;"",SUBTOTAL(3,$G$5:G266),"")</f>
        <v>58</v>
      </c>
      <c r="C266" s="72"/>
      <c r="D266" s="72"/>
      <c r="E266" s="73" t="s">
        <v>139</v>
      </c>
      <c r="F266" s="73" t="s">
        <v>135</v>
      </c>
      <c r="G266" s="71" t="s">
        <v>180</v>
      </c>
      <c r="H266" s="58">
        <v>43995</v>
      </c>
      <c r="I266" s="59">
        <v>1</v>
      </c>
      <c r="J266" s="74" t="s">
        <v>403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405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72">
        <f>IF(G270&lt;&gt;"",SUBTOTAL(3,$G$5:G270),"")</f>
        <v>59</v>
      </c>
      <c r="C270" s="72"/>
      <c r="D270" s="72"/>
      <c r="E270" s="73" t="s">
        <v>139</v>
      </c>
      <c r="F270" s="73" t="s">
        <v>135</v>
      </c>
      <c r="G270" s="71" t="s">
        <v>181</v>
      </c>
      <c r="H270" s="58">
        <v>43961</v>
      </c>
      <c r="I270" s="59">
        <v>1</v>
      </c>
      <c r="J270" s="74" t="s">
        <v>435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 t="s">
        <v>436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60</v>
      </c>
      <c r="C273" s="72"/>
      <c r="D273" s="72"/>
      <c r="E273" s="73" t="s">
        <v>139</v>
      </c>
      <c r="F273" s="73" t="s">
        <v>135</v>
      </c>
      <c r="G273" s="71" t="s">
        <v>182</v>
      </c>
      <c r="H273" s="58">
        <v>43995</v>
      </c>
      <c r="I273" s="59"/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61</v>
      </c>
      <c r="C274" s="72"/>
      <c r="D274" s="72"/>
      <c r="E274" s="73" t="s">
        <v>139</v>
      </c>
      <c r="F274" s="73" t="s">
        <v>135</v>
      </c>
      <c r="G274" s="71" t="s">
        <v>183</v>
      </c>
      <c r="H274" s="58">
        <v>44006</v>
      </c>
      <c r="I274" s="59"/>
      <c r="J274" s="74" t="s">
        <v>437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 t="s">
        <v>13</v>
      </c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438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72">
        <f>IF(G277&lt;&gt;"",SUBTOTAL(3,$G$5:G277),"")</f>
        <v>62</v>
      </c>
      <c r="C277" s="72"/>
      <c r="D277" s="72"/>
      <c r="E277" s="73" t="s">
        <v>139</v>
      </c>
      <c r="F277" s="73" t="s">
        <v>135</v>
      </c>
      <c r="G277" s="71" t="s">
        <v>15</v>
      </c>
      <c r="H277" s="58">
        <v>43995</v>
      </c>
      <c r="I277" s="59">
        <v>1</v>
      </c>
      <c r="J277" s="74" t="s">
        <v>391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 t="s">
        <v>392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72">
        <f>IF(G280&lt;&gt;"",SUBTOTAL(3,$G$5:G280),"")</f>
        <v>63</v>
      </c>
      <c r="C280" s="72"/>
      <c r="D280" s="72"/>
      <c r="E280" s="73" t="s">
        <v>139</v>
      </c>
      <c r="F280" s="73" t="s">
        <v>135</v>
      </c>
      <c r="G280" s="71" t="s">
        <v>184</v>
      </c>
      <c r="H280" s="58">
        <v>43871</v>
      </c>
      <c r="I280" s="59">
        <v>1</v>
      </c>
      <c r="J280" s="74" t="s">
        <v>399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 t="s">
        <v>13</v>
      </c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 t="s">
        <v>400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72">
        <f>IF(G283&lt;&gt;"",SUBTOTAL(3,$G$5:G283),"")</f>
        <v>64</v>
      </c>
      <c r="C283" s="72"/>
      <c r="D283" s="72"/>
      <c r="E283" s="73" t="s">
        <v>139</v>
      </c>
      <c r="F283" s="73" t="s">
        <v>135</v>
      </c>
      <c r="G283" s="71" t="s">
        <v>185</v>
      </c>
      <c r="H283" s="58">
        <v>43936</v>
      </c>
      <c r="I283" s="59">
        <v>1</v>
      </c>
      <c r="J283" s="74" t="s">
        <v>395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396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397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398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72">
        <f>IF(G288&lt;&gt;"",SUBTOTAL(3,$G$5:G288),"")</f>
        <v>65</v>
      </c>
      <c r="C288" s="72"/>
      <c r="D288" s="72"/>
      <c r="E288" s="73" t="s">
        <v>139</v>
      </c>
      <c r="F288" s="73" t="s">
        <v>135</v>
      </c>
      <c r="G288" s="71" t="s">
        <v>186</v>
      </c>
      <c r="H288" s="58">
        <v>43935</v>
      </c>
      <c r="I288" s="59">
        <v>1</v>
      </c>
      <c r="J288" s="74" t="s">
        <v>394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72">
        <f>IF(G291&lt;&gt;"",SUBTOTAL(3,$G$5:G291),"")</f>
        <v>66</v>
      </c>
      <c r="C291" s="72"/>
      <c r="D291" s="72"/>
      <c r="E291" s="73" t="s">
        <v>139</v>
      </c>
      <c r="F291" s="73" t="s">
        <v>135</v>
      </c>
      <c r="G291" s="71" t="s">
        <v>187</v>
      </c>
      <c r="H291" s="58">
        <v>43919</v>
      </c>
      <c r="I291" s="59">
        <v>1</v>
      </c>
      <c r="J291" s="74" t="s">
        <v>489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491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490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492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72">
        <f>IF(G296&lt;&gt;"",SUBTOTAL(3,$G$5:G296),"")</f>
        <v>67</v>
      </c>
      <c r="C296" s="72"/>
      <c r="D296" s="72"/>
      <c r="E296" s="73" t="s">
        <v>139</v>
      </c>
      <c r="F296" s="73" t="s">
        <v>135</v>
      </c>
      <c r="G296" s="71" t="s">
        <v>188</v>
      </c>
      <c r="H296" s="58">
        <v>43995</v>
      </c>
      <c r="I296" s="59">
        <v>1</v>
      </c>
      <c r="J296" s="74" t="s">
        <v>406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72">
        <f>IF(G298&lt;&gt;"",SUBTOTAL(3,$G$5:G298),"")</f>
        <v>68</v>
      </c>
      <c r="C298" s="72"/>
      <c r="D298" s="72"/>
      <c r="E298" s="73" t="s">
        <v>139</v>
      </c>
      <c r="F298" s="73" t="s">
        <v>135</v>
      </c>
      <c r="G298" s="71" t="s">
        <v>189</v>
      </c>
      <c r="H298" s="58">
        <v>43975</v>
      </c>
      <c r="I298" s="59">
        <v>1</v>
      </c>
      <c r="J298" s="74" t="s">
        <v>487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 t="s">
        <v>488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72">
        <f>IF(G301&lt;&gt;"",SUBTOTAL(3,$G$5:G301),"")</f>
        <v>69</v>
      </c>
      <c r="C301" s="72"/>
      <c r="D301" s="72"/>
      <c r="E301" s="73" t="s">
        <v>139</v>
      </c>
      <c r="F301" s="73" t="s">
        <v>135</v>
      </c>
      <c r="G301" s="71" t="s">
        <v>190</v>
      </c>
      <c r="H301" s="58">
        <v>43975</v>
      </c>
      <c r="I301" s="59">
        <v>1</v>
      </c>
      <c r="J301" s="74" t="s">
        <v>486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485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/>
      <c r="C304" s="72"/>
      <c r="D304" s="72"/>
      <c r="E304" s="73"/>
      <c r="F304" s="73"/>
      <c r="G304" s="71"/>
      <c r="H304" s="58"/>
      <c r="I304" s="67"/>
      <c r="J304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 t="str">
        <f>IF(G305&lt;&gt;"",SUBTOTAL(3,$G$4:G305),"")</f>
        <v/>
      </c>
      <c r="C305" s="72"/>
      <c r="D305" s="72"/>
      <c r="E305" s="73"/>
      <c r="F305" s="73"/>
      <c r="G305" s="71"/>
      <c r="H305" s="58"/>
      <c r="I305" s="67">
        <v>1</v>
      </c>
      <c r="J305" s="74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72">
        <f>IF(G306&lt;&gt;"",SUBTOTAL(3,$G$5:G306),"")</f>
        <v>70</v>
      </c>
      <c r="C306" s="72"/>
      <c r="D306" s="72"/>
      <c r="E306" s="73" t="s">
        <v>139</v>
      </c>
      <c r="F306" s="73" t="s">
        <v>135</v>
      </c>
      <c r="G306" s="71" t="s">
        <v>191</v>
      </c>
      <c r="H306" s="58">
        <v>43975</v>
      </c>
      <c r="I306" s="59">
        <v>1</v>
      </c>
      <c r="J306" s="74" t="s">
        <v>474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482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483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476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477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475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480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481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479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72">
        <f>IF(G317&lt;&gt;"",SUBTOTAL(3,$G$5:G317),"")</f>
        <v>71</v>
      </c>
      <c r="C317" s="72"/>
      <c r="D317" s="72"/>
      <c r="E317" s="73" t="s">
        <v>139</v>
      </c>
      <c r="F317" s="73" t="s">
        <v>135</v>
      </c>
      <c r="G317" s="71" t="s">
        <v>192</v>
      </c>
      <c r="H317" s="58">
        <v>43975</v>
      </c>
      <c r="I317" s="59">
        <v>1</v>
      </c>
      <c r="J317" s="74" t="s">
        <v>407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408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72">
        <f>IF(G320&lt;&gt;"",SUBTOTAL(3,$G$5:G320),"")</f>
        <v>72</v>
      </c>
      <c r="C320" s="72"/>
      <c r="D320" s="72"/>
      <c r="E320" s="73" t="s">
        <v>139</v>
      </c>
      <c r="F320" s="73" t="s">
        <v>135</v>
      </c>
      <c r="G320" s="71" t="s">
        <v>193</v>
      </c>
      <c r="H320" s="58">
        <v>43977</v>
      </c>
      <c r="I320" s="59">
        <v>1</v>
      </c>
      <c r="J320" s="74" t="s">
        <v>409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96" t="str">
        <f>IF(G321&lt;&gt;"",SUBTOTAL(3,$G$5:G321),"")</f>
        <v/>
      </c>
      <c r="C321" s="72"/>
      <c r="D321" s="72"/>
      <c r="E321" s="73"/>
      <c r="F321" s="73"/>
      <c r="G321" s="71"/>
      <c r="H321" s="58"/>
      <c r="I321" s="67">
        <v>1</v>
      </c>
      <c r="J321" s="74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72">
        <f>IF(G322&lt;&gt;"",SUBTOTAL(3,$G$5:G322),"")</f>
        <v>73</v>
      </c>
      <c r="C322" s="72"/>
      <c r="D322" s="72"/>
      <c r="E322" s="73" t="s">
        <v>139</v>
      </c>
      <c r="F322" s="73" t="s">
        <v>135</v>
      </c>
      <c r="G322" s="71" t="s">
        <v>194</v>
      </c>
      <c r="H322" s="58">
        <v>43977</v>
      </c>
      <c r="I322" s="59">
        <v>1</v>
      </c>
      <c r="J322" s="74" t="s">
        <v>410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74</v>
      </c>
      <c r="C324" s="72"/>
      <c r="D324" s="72"/>
      <c r="E324" s="73" t="s">
        <v>139</v>
      </c>
      <c r="F324" s="73" t="s">
        <v>135</v>
      </c>
      <c r="G324" s="71" t="s">
        <v>195</v>
      </c>
      <c r="H324" s="58">
        <v>43977</v>
      </c>
      <c r="I324" s="59">
        <v>1</v>
      </c>
      <c r="J324" s="74" t="s">
        <v>439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75</v>
      </c>
      <c r="C326" s="72"/>
      <c r="D326" s="72"/>
      <c r="E326" s="73" t="s">
        <v>139</v>
      </c>
      <c r="F326" s="73" t="s">
        <v>135</v>
      </c>
      <c r="G326" s="71" t="s">
        <v>196</v>
      </c>
      <c r="H326" s="58">
        <v>43995</v>
      </c>
      <c r="I326" s="59">
        <v>1</v>
      </c>
      <c r="J326" s="74" t="s">
        <v>414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415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416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76</v>
      </c>
      <c r="C330" s="72"/>
      <c r="D330" s="72"/>
      <c r="E330" s="73" t="s">
        <v>139</v>
      </c>
      <c r="F330" s="73" t="s">
        <v>135</v>
      </c>
      <c r="G330" s="71" t="s">
        <v>197</v>
      </c>
      <c r="H330" s="58">
        <v>43982</v>
      </c>
      <c r="I330" s="59">
        <v>1</v>
      </c>
      <c r="J330" s="74" t="s">
        <v>417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72">
        <f>IF(G332&lt;&gt;"",SUBTOTAL(3,$G$5:G332),"")</f>
        <v>77</v>
      </c>
      <c r="C332" s="72"/>
      <c r="D332" s="72"/>
      <c r="E332" s="73" t="s">
        <v>139</v>
      </c>
      <c r="F332" s="73" t="s">
        <v>135</v>
      </c>
      <c r="G332" s="71" t="s">
        <v>198</v>
      </c>
      <c r="H332" s="58">
        <v>43989</v>
      </c>
      <c r="I332" s="59">
        <v>1</v>
      </c>
      <c r="J332" s="74" t="s">
        <v>418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78</v>
      </c>
      <c r="C334" s="72"/>
      <c r="D334" s="72"/>
      <c r="E334" s="73" t="s">
        <v>139</v>
      </c>
      <c r="F334" s="73" t="s">
        <v>135</v>
      </c>
      <c r="G334" s="71" t="s">
        <v>199</v>
      </c>
      <c r="H334" s="58">
        <v>43989</v>
      </c>
      <c r="I334" s="59">
        <v>0.5</v>
      </c>
      <c r="J334" s="74" t="s">
        <v>550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551</v>
      </c>
      <c r="K335" s="98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552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419</v>
      </c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/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72">
        <f>IF(G339&lt;&gt;"",SUBTOTAL(3,$G$5:G339),"")</f>
        <v>79</v>
      </c>
      <c r="C339" s="72"/>
      <c r="D339" s="72"/>
      <c r="E339" s="73" t="s">
        <v>139</v>
      </c>
      <c r="F339" s="73" t="s">
        <v>135</v>
      </c>
      <c r="G339" s="71" t="s">
        <v>200</v>
      </c>
      <c r="H339" s="58">
        <v>43991</v>
      </c>
      <c r="I339" s="59">
        <v>1</v>
      </c>
      <c r="J339" s="74" t="s">
        <v>420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421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422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423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72">
        <f>IF(G344&lt;&gt;"",SUBTOTAL(3,$G$5:G344),"")</f>
        <v>80</v>
      </c>
      <c r="C344" s="72"/>
      <c r="D344" s="72"/>
      <c r="E344" s="73" t="s">
        <v>139</v>
      </c>
      <c r="F344" s="73" t="s">
        <v>135</v>
      </c>
      <c r="G344" s="71" t="s">
        <v>201</v>
      </c>
      <c r="H344" s="58">
        <v>43991</v>
      </c>
      <c r="I344" s="59">
        <v>1</v>
      </c>
      <c r="J344" s="74" t="s">
        <v>471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470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72">
        <f>IF(G349&lt;&gt;"",SUBTOTAL(3,$G$5:G349),"")</f>
        <v>81</v>
      </c>
      <c r="C349" s="72"/>
      <c r="D349" s="72"/>
      <c r="E349" s="73" t="s">
        <v>139</v>
      </c>
      <c r="F349" s="73" t="s">
        <v>135</v>
      </c>
      <c r="G349" s="71" t="s">
        <v>424</v>
      </c>
      <c r="H349" s="58">
        <v>43992</v>
      </c>
      <c r="I349" s="59">
        <v>0.8</v>
      </c>
      <c r="J349" s="74" t="s">
        <v>426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425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>
        <f>IF(G353&lt;&gt;"",SUBTOTAL(3,$G$5:G353),"")</f>
        <v>82</v>
      </c>
      <c r="C353" s="72"/>
      <c r="D353" s="72"/>
      <c r="E353" s="73" t="s">
        <v>139</v>
      </c>
      <c r="F353" s="73" t="s">
        <v>135</v>
      </c>
      <c r="G353" s="71" t="s">
        <v>202</v>
      </c>
      <c r="H353" s="58">
        <v>43994</v>
      </c>
      <c r="I353" s="59">
        <v>0.8</v>
      </c>
      <c r="J353" s="74" t="s">
        <v>304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305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307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308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309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310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72">
        <f>IF(G362&lt;&gt;"",SUBTOTAL(3,$G$5:G362),"")</f>
        <v>83</v>
      </c>
      <c r="C362" s="72"/>
      <c r="D362" s="72"/>
      <c r="E362" s="73" t="s">
        <v>139</v>
      </c>
      <c r="F362" s="73" t="s">
        <v>135</v>
      </c>
      <c r="G362" s="71" t="s">
        <v>203</v>
      </c>
      <c r="H362" s="58">
        <v>43995</v>
      </c>
      <c r="I362" s="59">
        <v>1</v>
      </c>
      <c r="J362" s="74" t="s">
        <v>467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IF(G363&lt;&gt;"",SUBTOTAL(3,$G$4:G363),"")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>
        <f>IF(G366&lt;&gt;"",SUBTOTAL(3,$G$5:G366),"")</f>
        <v>84</v>
      </c>
      <c r="C366" s="72"/>
      <c r="D366" s="72"/>
      <c r="E366" s="73" t="s">
        <v>139</v>
      </c>
      <c r="F366" s="73" t="s">
        <v>135</v>
      </c>
      <c r="G366" s="71" t="s">
        <v>204</v>
      </c>
      <c r="H366" s="58">
        <v>43997</v>
      </c>
      <c r="I366" s="59">
        <v>1</v>
      </c>
      <c r="J366" s="74" t="s">
        <v>371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312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370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311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373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72">
        <f>IF(G369&lt;&gt;"",SUBTOTAL(3,$G$5:G369),"")</f>
        <v>85</v>
      </c>
      <c r="C369" s="72"/>
      <c r="D369" s="72"/>
      <c r="E369" s="73" t="s">
        <v>139</v>
      </c>
      <c r="F369" s="73" t="s">
        <v>135</v>
      </c>
      <c r="G369" s="71" t="s">
        <v>205</v>
      </c>
      <c r="H369" s="58">
        <v>44004</v>
      </c>
      <c r="I369" s="59">
        <v>0.5</v>
      </c>
      <c r="J369" s="74" t="s">
        <v>456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457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454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463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464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461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462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455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458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459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>
        <f>IF(G383&lt;&gt;"",SUBTOTAL(3,$G$5:G383),"")</f>
        <v>86</v>
      </c>
      <c r="C383" s="72"/>
      <c r="D383" s="72"/>
      <c r="E383" s="73" t="s">
        <v>139</v>
      </c>
      <c r="F383" s="73" t="s">
        <v>142</v>
      </c>
      <c r="G383" s="73" t="s">
        <v>206</v>
      </c>
      <c r="H383" s="58">
        <v>44030</v>
      </c>
      <c r="I383" s="59">
        <v>1</v>
      </c>
      <c r="J383" s="74" t="s">
        <v>313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 t="s">
        <v>374</v>
      </c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 t="s">
        <v>314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375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315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5.75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341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376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377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>
        <f>IF(G391&lt;&gt;"",SUBTOTAL(3,$G$5:G391),"")</f>
        <v>87</v>
      </c>
      <c r="C391" s="72"/>
      <c r="D391" s="72"/>
      <c r="E391" s="73" t="s">
        <v>139</v>
      </c>
      <c r="F391" s="73" t="s">
        <v>142</v>
      </c>
      <c r="G391" s="73" t="s">
        <v>213</v>
      </c>
      <c r="H391" s="58">
        <v>44052</v>
      </c>
      <c r="I391" s="59">
        <v>0.5</v>
      </c>
      <c r="J391" s="74" t="s">
        <v>553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379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 t="s">
        <v>554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378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380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381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383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382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384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72">
        <f>IF(G400&lt;&gt;"",SUBTOTAL(3,$G$5:G400),"")</f>
        <v>88</v>
      </c>
      <c r="C400" s="72"/>
      <c r="D400" s="72"/>
      <c r="E400" s="73" t="s">
        <v>139</v>
      </c>
      <c r="F400" s="73" t="s">
        <v>142</v>
      </c>
      <c r="G400" s="73" t="s">
        <v>220</v>
      </c>
      <c r="H400" s="58">
        <v>44062</v>
      </c>
      <c r="I400" s="59">
        <v>1</v>
      </c>
      <c r="J400" s="74" t="s">
        <v>448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449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450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451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452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89</v>
      </c>
      <c r="C406" s="72"/>
      <c r="D406" s="72"/>
      <c r="E406" s="73" t="s">
        <v>139</v>
      </c>
      <c r="F406" s="73" t="s">
        <v>142</v>
      </c>
      <c r="G406" s="73" t="s">
        <v>221</v>
      </c>
      <c r="H406" s="58">
        <v>44071</v>
      </c>
      <c r="I406" s="59">
        <v>1</v>
      </c>
      <c r="J406" s="74" t="s">
        <v>447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>
        <f>IF(G408&lt;&gt;"",SUBTOTAL(3,$G$5:G408),"")</f>
        <v>90</v>
      </c>
      <c r="C408" s="72"/>
      <c r="D408" s="72"/>
      <c r="E408" s="73" t="s">
        <v>139</v>
      </c>
      <c r="F408" s="73" t="s">
        <v>142</v>
      </c>
      <c r="G408" s="73" t="s">
        <v>225</v>
      </c>
      <c r="H408" s="58">
        <v>44073</v>
      </c>
      <c r="I408" s="59">
        <v>1</v>
      </c>
      <c r="J408" s="92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2" t="s">
        <v>326</v>
      </c>
      <c r="AT408" s="41" t="s">
        <v>327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316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317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318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319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331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320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321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2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2" t="s">
        <v>326</v>
      </c>
      <c r="AT416" s="41" t="s">
        <v>328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332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333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316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317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318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319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334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322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320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2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2" t="s">
        <v>329</v>
      </c>
      <c r="AT427" s="41" t="s">
        <v>330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74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 t="s">
        <v>335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316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317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318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319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323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320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321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74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>
        <f>IF(G437&lt;&gt;"",SUBTOTAL(3,$G$5:G437),"")</f>
        <v>91</v>
      </c>
      <c r="C437" s="72"/>
      <c r="D437" s="72"/>
      <c r="E437" s="73" t="s">
        <v>139</v>
      </c>
      <c r="F437" s="73" t="s">
        <v>142</v>
      </c>
      <c r="G437" s="73" t="s">
        <v>236</v>
      </c>
      <c r="H437" s="58">
        <v>44108</v>
      </c>
      <c r="I437" s="59">
        <v>0.5</v>
      </c>
      <c r="J437" s="74" t="s">
        <v>1</v>
      </c>
      <c r="K437" s="41" t="s">
        <v>325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77"/>
      <c r="K438" s="78"/>
      <c r="L438" s="78"/>
      <c r="M438" s="78"/>
      <c r="N438" s="78"/>
      <c r="O438" s="78"/>
      <c r="P438" s="78"/>
      <c r="Q438" s="78"/>
      <c r="R438" s="79" t="s">
        <v>324</v>
      </c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81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 t="s">
        <v>237</v>
      </c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3.5" customHeight="1" x14ac:dyDescent="0.15">
      <c r="B443" s="72">
        <f>IF(G443&lt;&gt;"",SUBTOTAL(3,$G$5:G443),"")</f>
        <v>92</v>
      </c>
      <c r="C443" s="72"/>
      <c r="D443" s="72"/>
      <c r="E443" s="73" t="s">
        <v>139</v>
      </c>
      <c r="F443" s="73" t="s">
        <v>142</v>
      </c>
      <c r="G443" s="73" t="s">
        <v>593</v>
      </c>
      <c r="H443" s="58">
        <v>44192</v>
      </c>
      <c r="I443" s="59">
        <v>1</v>
      </c>
      <c r="J443" s="74" t="s">
        <v>594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 t="s">
        <v>598</v>
      </c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112" t="s">
        <v>596</v>
      </c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40"/>
      <c r="AS444" s="60" t="s">
        <v>599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597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 t="s">
        <v>600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595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>
        <f>IF(G448&lt;&gt;"",SUBTOTAL(3,$G$5:G448),"")</f>
        <v>93</v>
      </c>
      <c r="C448" s="55"/>
      <c r="D448" s="55"/>
      <c r="E448" s="56" t="s">
        <v>139</v>
      </c>
      <c r="F448" s="56" t="s">
        <v>142</v>
      </c>
      <c r="G448" s="56" t="s">
        <v>605</v>
      </c>
      <c r="H448" s="58">
        <v>44192</v>
      </c>
      <c r="I448" s="59">
        <v>1</v>
      </c>
      <c r="J448" s="60" t="s">
        <v>601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602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5.75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603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604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94</v>
      </c>
      <c r="C453" s="55"/>
      <c r="D453" s="55"/>
      <c r="E453" s="56" t="s">
        <v>139</v>
      </c>
      <c r="F453" s="56" t="s">
        <v>142</v>
      </c>
      <c r="G453" s="56" t="s">
        <v>606</v>
      </c>
      <c r="H453" s="58">
        <v>44197</v>
      </c>
      <c r="I453" s="59">
        <v>1</v>
      </c>
      <c r="J453" s="60" t="s">
        <v>610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 t="s">
        <v>608</v>
      </c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614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 t="s">
        <v>1</v>
      </c>
      <c r="AF454" s="61" t="s">
        <v>618</v>
      </c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615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616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617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ht="15.75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611</v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40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612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607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609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>
        <f>IF(G465&lt;&gt;"",SUBTOTAL(3,$G$5:G465),"")</f>
        <v>95</v>
      </c>
      <c r="C465" s="55"/>
      <c r="D465" s="55"/>
      <c r="E465" s="56" t="s">
        <v>139</v>
      </c>
      <c r="F465" s="56" t="s">
        <v>142</v>
      </c>
      <c r="G465" s="56" t="s">
        <v>619</v>
      </c>
      <c r="H465" s="58">
        <v>44199</v>
      </c>
      <c r="I465" s="59">
        <v>1</v>
      </c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>
        <f>IF(G467&lt;&gt;"",SUBTOTAL(3,$G$5:G467),"")</f>
        <v>96</v>
      </c>
      <c r="C467" s="55"/>
      <c r="D467" s="55"/>
      <c r="E467" s="56" t="s">
        <v>139</v>
      </c>
      <c r="F467" s="56" t="s">
        <v>142</v>
      </c>
      <c r="G467" s="56" t="s">
        <v>620</v>
      </c>
      <c r="H467" s="58">
        <v>44199</v>
      </c>
      <c r="I467" s="59">
        <v>1</v>
      </c>
      <c r="J467" s="60" t="s">
        <v>631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96" t="str">
        <f>IF(G468&lt;&gt;"",SUBTOTAL(3,$G$5:G468),"")</f>
        <v/>
      </c>
      <c r="C468" s="55"/>
      <c r="D468" s="55"/>
      <c r="E468" s="56"/>
      <c r="F468" s="56"/>
      <c r="G468" s="56"/>
      <c r="H468" s="58"/>
      <c r="I468" s="65"/>
      <c r="J468" s="60" t="s">
        <v>632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96" t="str">
        <f>IF(G469&lt;&gt;"",SUBTOTAL(3,$G$5:G469),"")</f>
        <v/>
      </c>
      <c r="C469" s="55"/>
      <c r="D469" s="55"/>
      <c r="E469" s="56"/>
      <c r="F469" s="56"/>
      <c r="G469" s="56"/>
      <c r="H469" s="58"/>
      <c r="I469" s="65"/>
      <c r="J469" s="60" t="s">
        <v>633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96" t="str">
        <f>IF(G470&lt;&gt;"",SUBTOTAL(3,$G$5:G470),"")</f>
        <v/>
      </c>
      <c r="C470" s="55"/>
      <c r="D470" s="55"/>
      <c r="E470" s="56"/>
      <c r="F470" s="56"/>
      <c r="G470" s="56"/>
      <c r="H470" s="58"/>
      <c r="I470" s="65"/>
      <c r="J470" s="60" t="s">
        <v>634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635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97</v>
      </c>
      <c r="C474" s="55"/>
      <c r="D474" s="55"/>
      <c r="E474" s="56" t="s">
        <v>139</v>
      </c>
      <c r="F474" s="56" t="s">
        <v>142</v>
      </c>
      <c r="G474" s="56" t="s">
        <v>621</v>
      </c>
      <c r="H474" s="58">
        <v>44285</v>
      </c>
      <c r="I474" s="59">
        <v>1</v>
      </c>
      <c r="J474" s="60" t="s">
        <v>624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 t="str">
        <f>IF(G475&lt;&gt;"",SUBTOTAL(3,$G$5:G475),"")</f>
        <v/>
      </c>
      <c r="C475" s="55"/>
      <c r="D475" s="55"/>
      <c r="E475" s="56"/>
      <c r="F475" s="56"/>
      <c r="G475" s="56"/>
      <c r="H475" s="58"/>
      <c r="I475" s="59"/>
      <c r="J475" s="60" t="s">
        <v>622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 t="s">
        <v>623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 t="s">
        <v>626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627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630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625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628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629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82" t="str">
        <f>IF(G557&lt;&gt;"",SUBTOTAL(3,$G$5:G557),"")</f>
        <v/>
      </c>
      <c r="C557" s="82"/>
      <c r="D557" s="82"/>
      <c r="E557" s="83"/>
      <c r="F557" s="83"/>
      <c r="G557" s="83"/>
      <c r="H557" s="84"/>
      <c r="I557" s="85"/>
      <c r="J557" s="86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  <c r="AA557" s="87"/>
      <c r="AB557" s="87"/>
      <c r="AC557" s="87"/>
      <c r="AD557" s="87"/>
      <c r="AE557" s="87"/>
      <c r="AF557" s="87"/>
      <c r="AG557" s="87"/>
      <c r="AH557" s="87"/>
      <c r="AI557" s="87"/>
      <c r="AJ557" s="87"/>
      <c r="AK557" s="87"/>
      <c r="AL557" s="87"/>
      <c r="AM557" s="87"/>
      <c r="AN557" s="87"/>
      <c r="AO557" s="87"/>
      <c r="AP557" s="87"/>
      <c r="AQ557" s="87"/>
      <c r="AR557" s="88"/>
      <c r="AS557" s="86"/>
      <c r="AT557" s="87"/>
      <c r="AU557" s="87"/>
      <c r="AV557" s="87"/>
      <c r="AW557" s="87"/>
      <c r="AX557" s="87"/>
      <c r="AY557" s="87"/>
      <c r="AZ557" s="87"/>
      <c r="BA557" s="87"/>
      <c r="BB557" s="87"/>
      <c r="BC557" s="87"/>
      <c r="BD557" s="87"/>
      <c r="BE557" s="87"/>
      <c r="BF557" s="87"/>
      <c r="BG557" s="87"/>
      <c r="BH557" s="87"/>
      <c r="BI557" s="87"/>
      <c r="BJ557" s="87"/>
      <c r="BK557" s="87"/>
      <c r="BL557" s="87"/>
      <c r="BM557" s="87"/>
      <c r="BN557" s="87"/>
      <c r="BO557" s="87"/>
      <c r="BP557" s="87"/>
      <c r="BQ557" s="87"/>
      <c r="BR557" s="87"/>
      <c r="BS557" s="87"/>
      <c r="BT557" s="87"/>
      <c r="BU557" s="87"/>
      <c r="BV557" s="87"/>
      <c r="BW557" s="87"/>
      <c r="BX557" s="87"/>
      <c r="BY557" s="87"/>
      <c r="BZ557" s="87"/>
      <c r="CA557" s="88"/>
      <c r="CB557" s="89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</sheetData>
  <autoFilter ref="B4:CB557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0:I450 B74:D74 B81:H81 B90:H90 B445:AR449 B461:AR465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AS442:CB465 B458:I460 K459:AR460 B451:AR453 B457:AR457 B454:I456 K455:AR455 K456:AD456 K454:AD454 AF454:AR454 AG456:AR456 J457:J465 B550:CB557">
    <cfRule type="expression" dxfId="34" priority="105">
      <formula>AND($I5&lt;&gt;1,$I5&lt;&gt;"")</formula>
    </cfRule>
  </conditionalFormatting>
  <conditionalFormatting sqref="I259:AR259">
    <cfRule type="expression" dxfId="33" priority="91">
      <formula>AND($I259&lt;&gt;1,$I259&lt;&gt;"")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0:I360">
    <cfRule type="expression" dxfId="17" priority="27">
      <formula>AND($I360&lt;&gt;1,$I360&lt;&gt;"")</formula>
    </cfRule>
  </conditionalFormatting>
  <conditionalFormatting sqref="B439:I439 B441:I441">
    <cfRule type="expression" dxfId="16" priority="19">
      <formula>AND($I439&lt;&gt;1,$I439&lt;&gt;"")</formula>
    </cfRule>
  </conditionalFormatting>
  <conditionalFormatting sqref="J441">
    <cfRule type="expression" dxfId="15" priority="18">
      <formula>AND($I441&lt;&gt;1,$I441&lt;&gt;"")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0">
    <cfRule type="expression" dxfId="9" priority="9">
      <formula>AND($I260&lt;&gt;1,$I260&lt;&gt;"")</formula>
    </cfRule>
  </conditionalFormatting>
  <conditionalFormatting sqref="J259">
    <cfRule type="expression" dxfId="8" priority="8">
      <formula>AND($I259&lt;&gt;1,$I259&lt;&gt;"")</formula>
    </cfRule>
  </conditionalFormatting>
  <conditionalFormatting sqref="J304">
    <cfRule type="expression" dxfId="7" priority="7">
      <formula>AND($I304&lt;&gt;1,$I304&lt;&gt;"")</formula>
    </cfRule>
  </conditionalFormatting>
  <conditionalFormatting sqref="J360">
    <cfRule type="expression" dxfId="6" priority="6">
      <formula>AND($I360&lt;&gt;1,$I360&lt;&gt;"")</formula>
    </cfRule>
  </conditionalFormatting>
  <conditionalFormatting sqref="J458:J460">
    <cfRule type="expression" dxfId="5" priority="4">
      <formula>AND($I458&lt;&gt;1,$I458&lt;&gt;"")</formula>
    </cfRule>
  </conditionalFormatting>
  <conditionalFormatting sqref="J462:J464">
    <cfRule type="expression" dxfId="4" priority="107">
      <formula>AND($I454&lt;&gt;1,$I454&lt;&gt;"")</formula>
    </cfRule>
  </conditionalFormatting>
  <conditionalFormatting sqref="J454:J456">
    <cfRule type="expression" dxfId="3" priority="2">
      <formula>AND($I454&lt;&gt;1,$I454&lt;&gt;"")</formula>
    </cfRule>
  </conditionalFormatting>
  <conditionalFormatting sqref="J458:J460">
    <cfRule type="expression" dxfId="2" priority="3">
      <formula>AND($I450&lt;&gt;1,$I450&lt;&gt;"")</formula>
    </cfRule>
  </conditionalFormatting>
  <conditionalFormatting sqref="AE454:AF454">
    <cfRule type="expression" dxfId="1" priority="109">
      <formula>AND($I456&lt;&gt;1,$I456&lt;&gt;"")</formula>
    </cfRule>
  </conditionalFormatting>
  <conditionalFormatting sqref="B466:CB549">
    <cfRule type="expression" dxfId="0" priority="1">
      <formula>AND($I466&lt;&gt;1,$I466&lt;&gt;"")</formula>
    </cfRule>
  </conditionalFormatting>
  <dataValidations count="1">
    <dataValidation type="list" allowBlank="1" showInputMessage="1" showErrorMessage="1" sqref="I5:I557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2021-03-30T23:18:01Z</dcterms:modified>
</cp:coreProperties>
</file>
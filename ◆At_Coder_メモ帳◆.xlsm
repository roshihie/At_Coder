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94AA683-4741-4891-AC1F-19BDB9309D1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At_Coder_C問題!$B$5:$CB$437</definedName>
    <definedName name="fromABC114_C_755">At_Coder_C問題!$J$68</definedName>
    <definedName name="fromABC143_C_Slimes">At_Coder_C問題!$J$226</definedName>
    <definedName name="fromABC147_C_Honest_or_Unkind2">At_Coder_C問題!$J$238</definedName>
    <definedName name="fromABC149_C_NextPrime">At_Coder_C問題!$J$244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4" i="3" l="1"/>
  <c r="B153" i="3"/>
  <c r="B155" i="3"/>
  <c r="B156" i="3"/>
  <c r="B157" i="3"/>
  <c r="B158" i="3"/>
  <c r="B148" i="3"/>
  <c r="B149" i="3"/>
  <c r="B147" i="3"/>
  <c r="B150" i="3"/>
  <c r="B151" i="3"/>
  <c r="B159" i="3"/>
  <c r="B152" i="3"/>
  <c r="B161" i="3" l="1"/>
  <c r="B162" i="3"/>
  <c r="B166" i="3" l="1"/>
  <c r="B164" i="3" l="1"/>
  <c r="B165" i="3"/>
  <c r="B167" i="3"/>
  <c r="B169" i="3" l="1"/>
  <c r="B170" i="3"/>
  <c r="B171" i="3"/>
  <c r="B173" i="3" l="1"/>
  <c r="B174" i="3"/>
  <c r="B180" i="3"/>
  <c r="B178" i="3"/>
  <c r="B176" i="3"/>
  <c r="B177" i="3"/>
  <c r="B179" i="3"/>
  <c r="B182" i="3" l="1"/>
  <c r="B183" i="3"/>
  <c r="B184" i="3"/>
  <c r="B188" i="3"/>
  <c r="B186" i="3" l="1"/>
  <c r="B187" i="3"/>
  <c r="B189" i="3"/>
  <c r="B191" i="3" l="1"/>
  <c r="B192" i="3"/>
  <c r="B193" i="3"/>
  <c r="B194" i="3"/>
  <c r="B197" i="3" l="1"/>
  <c r="B196" i="3"/>
  <c r="B198" i="3" l="1"/>
  <c r="B199" i="3"/>
  <c r="B258" i="3"/>
  <c r="B256" i="3"/>
  <c r="B257" i="3"/>
  <c r="B259" i="3"/>
  <c r="B263" i="3"/>
  <c r="B264" i="3"/>
  <c r="J324" i="3"/>
  <c r="J268" i="3"/>
  <c r="B266" i="3" l="1"/>
  <c r="B267" i="3"/>
  <c r="B269" i="3"/>
  <c r="B272" i="3"/>
  <c r="B276" i="3"/>
  <c r="B271" i="3"/>
  <c r="B273" i="3"/>
  <c r="B274" i="3"/>
  <c r="B275" i="3"/>
  <c r="B277" i="3"/>
  <c r="B278" i="3" l="1"/>
  <c r="B279" i="3"/>
  <c r="B280" i="3"/>
  <c r="B309" i="3" l="1"/>
  <c r="B310" i="3"/>
  <c r="B311" i="3"/>
  <c r="B312" i="3"/>
  <c r="B327" i="3"/>
  <c r="B1" i="3"/>
  <c r="B328" i="3"/>
  <c r="B329" i="3"/>
  <c r="B343" i="3"/>
  <c r="B336" i="3"/>
  <c r="B338" i="3"/>
  <c r="B339" i="3"/>
  <c r="B344" i="3"/>
  <c r="B340" i="3"/>
  <c r="B341" i="3"/>
  <c r="B342" i="3"/>
  <c r="B337" i="3"/>
  <c r="B345" i="3"/>
  <c r="B334" i="3" l="1"/>
  <c r="B335" i="3"/>
  <c r="B346" i="3"/>
  <c r="B368" i="3"/>
  <c r="B366" i="3"/>
  <c r="B367" i="3"/>
  <c r="B365" i="3"/>
  <c r="B369" i="3"/>
  <c r="B371" i="3" l="1"/>
  <c r="B10" i="3" l="1"/>
  <c r="B9" i="3"/>
  <c r="B11" i="3"/>
  <c r="B289" i="3"/>
  <c r="B239" i="3"/>
  <c r="B240" i="3"/>
  <c r="B235" i="3"/>
  <c r="B236" i="3"/>
  <c r="B228" i="3" l="1"/>
  <c r="B227" i="3"/>
  <c r="B229" i="3"/>
  <c r="B207" i="3" l="1"/>
  <c r="B208" i="3"/>
  <c r="B206" i="3"/>
  <c r="B205" i="3"/>
  <c r="B315" i="3" l="1"/>
  <c r="B314" i="3"/>
  <c r="B316" i="3"/>
  <c r="B307" i="3"/>
  <c r="B304" i="3"/>
  <c r="B305" i="3"/>
  <c r="B306" i="3"/>
  <c r="B300" i="3" l="1"/>
  <c r="B301" i="3"/>
  <c r="B302" i="3"/>
  <c r="B299" i="3"/>
  <c r="B297" i="3" l="1"/>
  <c r="B295" i="3" l="1"/>
  <c r="B292" i="3"/>
  <c r="B291" i="3"/>
  <c r="B293" i="3" l="1"/>
  <c r="B203" i="3" l="1"/>
  <c r="B201" i="3"/>
  <c r="B202" i="3"/>
  <c r="B287" i="3" l="1"/>
  <c r="B285" i="3" l="1"/>
  <c r="B283" i="3"/>
  <c r="B282" i="3"/>
  <c r="B261" i="3"/>
  <c r="B233" i="3" l="1"/>
  <c r="B232" i="3"/>
  <c r="B231" i="3" l="1"/>
  <c r="B222" i="3"/>
  <c r="B210" i="3"/>
  <c r="B211" i="3"/>
  <c r="B245" i="3" l="1"/>
  <c r="B246" i="3"/>
  <c r="B251" i="3"/>
  <c r="B250" i="3"/>
  <c r="B249" i="3"/>
  <c r="B248" i="3"/>
  <c r="B254" i="3" l="1"/>
  <c r="B253" i="3"/>
  <c r="B243" i="3"/>
  <c r="B242" i="3"/>
  <c r="B216" i="3" l="1"/>
  <c r="B219" i="3"/>
  <c r="B220" i="3"/>
  <c r="B218" i="3"/>
  <c r="B33" i="3"/>
  <c r="B32" i="3"/>
  <c r="B31" i="3"/>
  <c r="B30" i="3"/>
  <c r="B141" i="3" l="1"/>
  <c r="B357" i="3"/>
  <c r="B358" i="3"/>
  <c r="B356" i="3"/>
  <c r="B359" i="3"/>
  <c r="B23" i="3" l="1"/>
  <c r="B16" i="3"/>
  <c r="B7" i="3" l="1"/>
  <c r="B65" i="3" l="1"/>
  <c r="B66" i="3"/>
  <c r="B405" i="3" l="1"/>
  <c r="B404" i="3"/>
  <c r="B403" i="3"/>
  <c r="B402" i="3"/>
  <c r="B399" i="3"/>
  <c r="B397" i="3"/>
  <c r="B396" i="3"/>
  <c r="B395" i="3"/>
  <c r="B394" i="3"/>
  <c r="B393" i="3"/>
  <c r="B392" i="3"/>
  <c r="B400" i="3"/>
  <c r="B398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63" i="3"/>
  <c r="B362" i="3"/>
  <c r="B361" i="3"/>
  <c r="B360" i="3"/>
  <c r="B354" i="3"/>
  <c r="B353" i="3"/>
  <c r="B352" i="3"/>
  <c r="B351" i="3"/>
  <c r="B350" i="3"/>
  <c r="B349" i="3"/>
  <c r="B348" i="3"/>
  <c r="B332" i="3"/>
  <c r="B331" i="3"/>
  <c r="B324" i="3"/>
  <c r="B323" i="3"/>
  <c r="B322" i="3"/>
  <c r="B321" i="3"/>
  <c r="B320" i="3"/>
  <c r="B319" i="3"/>
  <c r="B318" i="3"/>
  <c r="B225" i="3"/>
  <c r="B224" i="3"/>
  <c r="B214" i="3"/>
  <c r="B213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325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37" i="3" l="1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1" i="3"/>
  <c r="B372" i="3"/>
  <c r="B370" i="3"/>
  <c r="B364" i="3"/>
  <c r="B355" i="3"/>
  <c r="B347" i="3"/>
  <c r="B333" i="3"/>
  <c r="B330" i="3"/>
  <c r="B326" i="3"/>
  <c r="B317" i="3"/>
  <c r="B313" i="3"/>
  <c r="B308" i="3"/>
  <c r="B303" i="3"/>
  <c r="B298" i="3"/>
  <c r="B296" i="3"/>
  <c r="B294" i="3"/>
  <c r="B290" i="3"/>
  <c r="B288" i="3"/>
  <c r="B286" i="3"/>
  <c r="B284" i="3"/>
  <c r="B281" i="3"/>
  <c r="B270" i="3"/>
  <c r="B265" i="3"/>
  <c r="B262" i="3"/>
  <c r="B260" i="3"/>
  <c r="B255" i="3"/>
  <c r="B252" i="3"/>
  <c r="B247" i="3"/>
  <c r="B244" i="3"/>
  <c r="B241" i="3"/>
  <c r="B238" i="3"/>
  <c r="B237" i="3"/>
  <c r="B234" i="3"/>
  <c r="B230" i="3"/>
  <c r="B226" i="3"/>
  <c r="B223" i="3"/>
  <c r="B221" i="3"/>
  <c r="B217" i="3"/>
  <c r="B215" i="3"/>
  <c r="B212" i="3"/>
  <c r="B209" i="3"/>
  <c r="B204" i="3"/>
  <c r="B200" i="3"/>
  <c r="B195" i="3"/>
  <c r="B190" i="3"/>
  <c r="B185" i="3"/>
  <c r="B181" i="3"/>
  <c r="B175" i="3"/>
  <c r="B172" i="3"/>
  <c r="B168" i="3"/>
  <c r="B163" i="3"/>
  <c r="B160" i="3"/>
  <c r="B146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<sst xmlns="http://schemas.openxmlformats.org/spreadsheetml/2006/main" count="857" uniqueCount="556">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</sst>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5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401</xdr:row>
      <xdr:rowOff>33337</xdr:rowOff>
    </xdr:from>
    <xdr:to>
      <xdr:col>16</xdr:col>
      <xdr:colOff>38100</xdr:colOff>
      <xdr:row>401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403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402</xdr:row>
      <xdr:rowOff>35719</xdr:rowOff>
    </xdr:from>
    <xdr:to>
      <xdr:col>21</xdr:col>
      <xdr:colOff>133350</xdr:colOff>
      <xdr:row>403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37"/>
  <sheetViews>
    <sheetView tabSelected="1" zoomScale="115" zoomScaleNormal="115" workbookViewId="0">
      <pane ySplit="6240" topLeftCell="A139" activePane="bottomLeft"/>
      <selection activeCell="A5" sqref="A5:XFD5"/>
      <selection pane="bottomLeft" activeCell="J148" sqref="J148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IF(G146&lt;&gt;"",SUBTOTAL(3,$G$6:G146),"")</f>
        <v>37</v>
      </c>
      <c r="C146" s="58"/>
      <c r="D146" s="58"/>
      <c r="E146" s="59" t="s">
        <v>139</v>
      </c>
      <c r="F146" s="59" t="s">
        <v>135</v>
      </c>
      <c r="G146" s="60" t="s">
        <v>162</v>
      </c>
      <c r="H146" s="61">
        <v>44013</v>
      </c>
      <c r="I146" s="62">
        <v>0.5</v>
      </c>
      <c r="J146" s="63" t="s">
        <v>554</v>
      </c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99" t="str">
        <f>IF(G147&lt;&gt;"",SUBTOTAL(3,$G$5:G147),"")</f>
        <v/>
      </c>
      <c r="C147" s="58"/>
      <c r="D147" s="58"/>
      <c r="E147" s="59"/>
      <c r="F147" s="59"/>
      <c r="G147" s="60"/>
      <c r="H147" s="61"/>
      <c r="I147" s="68">
        <v>0.8</v>
      </c>
      <c r="J147" s="63" t="s">
        <v>551</v>
      </c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99" t="str">
        <f>IF(G148&lt;&gt;"",SUBTOTAL(3,$G$5:G148),"")</f>
        <v/>
      </c>
      <c r="C148" s="58"/>
      <c r="D148" s="58"/>
      <c r="E148" s="59"/>
      <c r="F148" s="59"/>
      <c r="G148" s="60"/>
      <c r="H148" s="61"/>
      <c r="I148" s="68">
        <v>0.8</v>
      </c>
      <c r="J148" s="63" t="s">
        <v>555</v>
      </c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99" t="str">
        <f>IF(G149&lt;&gt;"",SUBTOTAL(3,$G$5:G149),"")</f>
        <v/>
      </c>
      <c r="C149" s="58"/>
      <c r="D149" s="58"/>
      <c r="E149" s="59"/>
      <c r="F149" s="59"/>
      <c r="G149" s="60"/>
      <c r="H149" s="61"/>
      <c r="I149" s="68">
        <v>0.8</v>
      </c>
      <c r="J149" s="63" t="s">
        <v>553</v>
      </c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99" t="str">
        <f>IF(G150&lt;&gt;"",SUBTOTAL(3,$G$5:G150),"")</f>
        <v/>
      </c>
      <c r="C150" s="58"/>
      <c r="D150" s="58"/>
      <c r="E150" s="59"/>
      <c r="F150" s="59"/>
      <c r="G150" s="60"/>
      <c r="H150" s="61"/>
      <c r="I150" s="68">
        <v>0.8</v>
      </c>
      <c r="J150" s="63" t="s">
        <v>547</v>
      </c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99" t="str">
        <f>IF(G151&lt;&gt;"",SUBTOTAL(3,$G$5:G151),"")</f>
        <v/>
      </c>
      <c r="C151" s="58"/>
      <c r="D151" s="58"/>
      <c r="E151" s="59"/>
      <c r="F151" s="59"/>
      <c r="G151" s="60"/>
      <c r="H151" s="61"/>
      <c r="I151" s="68">
        <v>0.8</v>
      </c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ht="15.75" x14ac:dyDescent="0.15">
      <c r="B152" s="58">
        <f>IF(G152&lt;&gt;"",SUBTOTAL(3,$G$6:G152),"")</f>
        <v>38</v>
      </c>
      <c r="C152" s="58"/>
      <c r="D152" s="58"/>
      <c r="E152" s="59" t="s">
        <v>139</v>
      </c>
      <c r="F152" s="59" t="s">
        <v>135</v>
      </c>
      <c r="G152" s="60" t="s">
        <v>544</v>
      </c>
      <c r="H152" s="61">
        <v>44013</v>
      </c>
      <c r="I152" s="62">
        <v>1</v>
      </c>
      <c r="J152" s="63" t="s">
        <v>548</v>
      </c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99" t="str">
        <f>IF(G153&lt;&gt;"",SUBTOTAL(3,$G$5:G153),"")</f>
        <v/>
      </c>
      <c r="C153" s="58"/>
      <c r="D153" s="58"/>
      <c r="E153" s="59"/>
      <c r="F153" s="59"/>
      <c r="G153" s="60"/>
      <c r="H153" s="61"/>
      <c r="I153" s="70">
        <v>1</v>
      </c>
      <c r="J153" s="63" t="s">
        <v>545</v>
      </c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99" t="str">
        <f>IF(G154&lt;&gt;"",SUBTOTAL(3,$G$5:G154),"")</f>
        <v/>
      </c>
      <c r="C154" s="58"/>
      <c r="D154" s="58"/>
      <c r="E154" s="59"/>
      <c r="F154" s="59"/>
      <c r="G154" s="60"/>
      <c r="H154" s="61"/>
      <c r="I154" s="70">
        <v>1</v>
      </c>
      <c r="J154" s="63" t="s">
        <v>552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70">
        <v>1</v>
      </c>
      <c r="J155" s="63" t="s">
        <v>549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ht="15.75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550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546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547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58">
        <f>IF(G160&lt;&gt;"",SUBTOTAL(3,$G$6:G160),"")</f>
        <v>39</v>
      </c>
      <c r="C160" s="58"/>
      <c r="D160" s="58"/>
      <c r="E160" s="59" t="s">
        <v>139</v>
      </c>
      <c r="F160" s="59" t="s">
        <v>135</v>
      </c>
      <c r="G160" s="60" t="s">
        <v>163</v>
      </c>
      <c r="H160" s="61">
        <v>44010</v>
      </c>
      <c r="I160" s="62">
        <v>1</v>
      </c>
      <c r="J160" s="63" t="s">
        <v>542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 t="s">
        <v>543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70">
        <v>1</v>
      </c>
      <c r="J162" s="63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58">
        <f>IF(G163&lt;&gt;"",SUBTOTAL(3,$G$6:G163),"")</f>
        <v>40</v>
      </c>
      <c r="C163" s="58"/>
      <c r="D163" s="58"/>
      <c r="E163" s="59" t="s">
        <v>139</v>
      </c>
      <c r="F163" s="59" t="s">
        <v>135</v>
      </c>
      <c r="G163" s="60" t="s">
        <v>164</v>
      </c>
      <c r="H163" s="61">
        <v>44007</v>
      </c>
      <c r="I163" s="62">
        <v>1</v>
      </c>
      <c r="J163" s="63" t="s">
        <v>538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539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 t="s">
        <v>541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99" t="str">
        <f>IF(G166&lt;&gt;"",SUBTOTAL(3,$G$5:G166),"")</f>
        <v/>
      </c>
      <c r="C166" s="58"/>
      <c r="D166" s="58"/>
      <c r="E166" s="59"/>
      <c r="F166" s="59"/>
      <c r="G166" s="60"/>
      <c r="H166" s="61"/>
      <c r="I166" s="70">
        <v>1</v>
      </c>
      <c r="J166" s="63" t="s">
        <v>540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IF(G167&lt;&gt;"",SUBTOTAL(3,$G$5:G167),"")</f>
        <v/>
      </c>
      <c r="C167" s="58"/>
      <c r="D167" s="58"/>
      <c r="E167" s="59"/>
      <c r="F167" s="59"/>
      <c r="G167" s="60"/>
      <c r="H167" s="61"/>
      <c r="I167" s="70">
        <v>1</v>
      </c>
      <c r="J167" s="63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58">
        <f>IF(G168&lt;&gt;"",SUBTOTAL(3,$G$6:G168),"")</f>
        <v>41</v>
      </c>
      <c r="C168" s="58"/>
      <c r="D168" s="58"/>
      <c r="E168" s="59" t="s">
        <v>139</v>
      </c>
      <c r="F168" s="59" t="s">
        <v>135</v>
      </c>
      <c r="G168" s="60" t="s">
        <v>165</v>
      </c>
      <c r="H168" s="61">
        <v>44006</v>
      </c>
      <c r="I168" s="62">
        <v>0.5</v>
      </c>
      <c r="J168" s="63" t="s">
        <v>537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IF(G169&lt;&gt;"",SUBTOTAL(3,$G$5:G169),"")</f>
        <v/>
      </c>
      <c r="C169" s="58"/>
      <c r="D169" s="58"/>
      <c r="E169" s="59"/>
      <c r="F169" s="59"/>
      <c r="G169" s="60"/>
      <c r="H169" s="61"/>
      <c r="I169" s="68">
        <v>0.5</v>
      </c>
      <c r="J169" s="63" t="s">
        <v>535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IF(G170&lt;&gt;"",SUBTOTAL(3,$G$5:G170),"")</f>
        <v/>
      </c>
      <c r="C170" s="58"/>
      <c r="D170" s="58"/>
      <c r="E170" s="59"/>
      <c r="F170" s="59"/>
      <c r="G170" s="60"/>
      <c r="H170" s="61"/>
      <c r="I170" s="68">
        <v>0.5</v>
      </c>
      <c r="J170" s="63" t="s">
        <v>536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IF(G171&lt;&gt;"",SUBTOTAL(3,$G$5:G171),"")</f>
        <v/>
      </c>
      <c r="C171" s="58"/>
      <c r="D171" s="58"/>
      <c r="E171" s="59"/>
      <c r="F171" s="59"/>
      <c r="G171" s="60"/>
      <c r="H171" s="61"/>
      <c r="I171" s="68">
        <v>0.5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58">
        <f>IF(G172&lt;&gt;"",SUBTOTAL(3,$G$6:G172),"")</f>
        <v>42</v>
      </c>
      <c r="C172" s="58"/>
      <c r="D172" s="58"/>
      <c r="E172" s="59" t="s">
        <v>139</v>
      </c>
      <c r="F172" s="59" t="s">
        <v>135</v>
      </c>
      <c r="G172" s="60" t="s">
        <v>166</v>
      </c>
      <c r="H172" s="61">
        <v>44003</v>
      </c>
      <c r="I172" s="62">
        <v>1</v>
      </c>
      <c r="J172" s="63" t="s">
        <v>533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ht="17.25" x14ac:dyDescent="0.15">
      <c r="B173" s="99" t="str">
        <f>IF(G173&lt;&gt;"",SUBTOTAL(3,$G$5:G173),"")</f>
        <v/>
      </c>
      <c r="C173" s="58"/>
      <c r="D173" s="58"/>
      <c r="E173" s="59"/>
      <c r="F173" s="59"/>
      <c r="G173" s="60"/>
      <c r="H173" s="61"/>
      <c r="I173" s="70">
        <v>1</v>
      </c>
      <c r="J173" s="63" t="s">
        <v>534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IF(G174&lt;&gt;"",SUBTOTAL(3,$G$5:G174),"")</f>
        <v/>
      </c>
      <c r="C174" s="58"/>
      <c r="D174" s="58"/>
      <c r="E174" s="59"/>
      <c r="F174" s="59"/>
      <c r="G174" s="60"/>
      <c r="H174" s="61"/>
      <c r="I174" s="70">
        <v>1</v>
      </c>
      <c r="J174" s="63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x14ac:dyDescent="0.15">
      <c r="B175" s="58">
        <f>IF(G175&lt;&gt;"",SUBTOTAL(3,$G$6:G175),"")</f>
        <v>43</v>
      </c>
      <c r="C175" s="58"/>
      <c r="D175" s="58"/>
      <c r="E175" s="59" t="s">
        <v>139</v>
      </c>
      <c r="F175" s="59" t="s">
        <v>135</v>
      </c>
      <c r="G175" s="60" t="s">
        <v>167</v>
      </c>
      <c r="H175" s="61">
        <v>44000</v>
      </c>
      <c r="I175" s="62">
        <v>1</v>
      </c>
      <c r="J175" s="63" t="s">
        <v>528</v>
      </c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99" t="str">
        <f>IF(G176&lt;&gt;"",SUBTOTAL(3,$G$5:G176),"")</f>
        <v/>
      </c>
      <c r="C176" s="58"/>
      <c r="D176" s="58"/>
      <c r="E176" s="59"/>
      <c r="F176" s="59"/>
      <c r="G176" s="60"/>
      <c r="H176" s="61"/>
      <c r="I176" s="70">
        <v>1</v>
      </c>
      <c r="J176" s="63" t="s">
        <v>529</v>
      </c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x14ac:dyDescent="0.15">
      <c r="B177" s="99" t="str">
        <f>IF(G177&lt;&gt;"",SUBTOTAL(3,$G$5:G177),"")</f>
        <v/>
      </c>
      <c r="C177" s="58"/>
      <c r="D177" s="58"/>
      <c r="E177" s="59"/>
      <c r="F177" s="59"/>
      <c r="G177" s="60"/>
      <c r="H177" s="61"/>
      <c r="I177" s="70">
        <v>1</v>
      </c>
      <c r="J177" s="63" t="s">
        <v>530</v>
      </c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60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</row>
    <row r="178" spans="2:130" x14ac:dyDescent="0.15">
      <c r="B178" s="99" t="str">
        <f>IF(G178&lt;&gt;"",SUBTOTAL(3,$G$5:G178),"")</f>
        <v/>
      </c>
      <c r="C178" s="58"/>
      <c r="D178" s="58"/>
      <c r="E178" s="59"/>
      <c r="F178" s="59"/>
      <c r="G178" s="60"/>
      <c r="H178" s="61"/>
      <c r="I178" s="70">
        <v>1</v>
      </c>
      <c r="J178" s="63" t="s">
        <v>531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60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</row>
    <row r="179" spans="2:130" x14ac:dyDescent="0.15">
      <c r="B179" s="99" t="str">
        <f>IF(G179&lt;&gt;"",SUBTOTAL(3,$G$5:G179),"")</f>
        <v/>
      </c>
      <c r="C179" s="58"/>
      <c r="D179" s="58"/>
      <c r="E179" s="59"/>
      <c r="F179" s="59"/>
      <c r="G179" s="60"/>
      <c r="H179" s="61"/>
      <c r="I179" s="70">
        <v>1</v>
      </c>
      <c r="J179" s="63" t="s">
        <v>532</v>
      </c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60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</row>
    <row r="180" spans="2:130" x14ac:dyDescent="0.15">
      <c r="B180" s="99" t="str">
        <f>IF(G180&lt;&gt;"",SUBTOTAL(3,$G$5:G180),"")</f>
        <v/>
      </c>
      <c r="C180" s="58"/>
      <c r="D180" s="58"/>
      <c r="E180" s="59"/>
      <c r="F180" s="59"/>
      <c r="G180" s="60"/>
      <c r="H180" s="61"/>
      <c r="I180" s="70">
        <v>1</v>
      </c>
      <c r="J180" s="63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60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</row>
    <row r="181" spans="2:130" x14ac:dyDescent="0.15">
      <c r="B181" s="58">
        <f>IF(G181&lt;&gt;"",SUBTOTAL(3,$G$6:G181),"")</f>
        <v>44</v>
      </c>
      <c r="C181" s="58"/>
      <c r="D181" s="58"/>
      <c r="E181" s="59" t="s">
        <v>139</v>
      </c>
      <c r="F181" s="59" t="s">
        <v>135</v>
      </c>
      <c r="G181" s="60" t="s">
        <v>168</v>
      </c>
      <c r="H181" s="61">
        <v>43996</v>
      </c>
      <c r="I181" s="62">
        <v>1</v>
      </c>
      <c r="J181" s="63" t="s">
        <v>525</v>
      </c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5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60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</row>
    <row r="182" spans="2:130" x14ac:dyDescent="0.15">
      <c r="B182" s="99" t="str">
        <f>IF(G182&lt;&gt;"",SUBTOTAL(3,$G$5:G182),"")</f>
        <v/>
      </c>
      <c r="C182" s="58"/>
      <c r="D182" s="58"/>
      <c r="E182" s="59"/>
      <c r="F182" s="59"/>
      <c r="G182" s="60"/>
      <c r="H182" s="61"/>
      <c r="I182" s="70">
        <v>1</v>
      </c>
      <c r="J182" s="63" t="s">
        <v>526</v>
      </c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5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60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</row>
    <row r="183" spans="2:130" x14ac:dyDescent="0.15">
      <c r="B183" s="99" t="str">
        <f>IF(G183&lt;&gt;"",SUBTOTAL(3,$G$5:G183),"")</f>
        <v/>
      </c>
      <c r="C183" s="58"/>
      <c r="D183" s="58"/>
      <c r="E183" s="59"/>
      <c r="F183" s="59"/>
      <c r="G183" s="60"/>
      <c r="H183" s="61"/>
      <c r="I183" s="70">
        <v>1</v>
      </c>
      <c r="J183" s="63" t="s">
        <v>527</v>
      </c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5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60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</row>
    <row r="184" spans="2:130" x14ac:dyDescent="0.15">
      <c r="B184" s="99" t="str">
        <f>IF(G184&lt;&gt;"",SUBTOTAL(3,$G$5:G184),"")</f>
        <v/>
      </c>
      <c r="C184" s="58"/>
      <c r="D184" s="58"/>
      <c r="E184" s="59"/>
      <c r="F184" s="59"/>
      <c r="G184" s="60"/>
      <c r="H184" s="61"/>
      <c r="I184" s="70">
        <v>1</v>
      </c>
      <c r="J184" s="63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5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60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</row>
    <row r="185" spans="2:130" x14ac:dyDescent="0.15">
      <c r="B185" s="58">
        <f>IF(G185&lt;&gt;"",SUBTOTAL(3,$G$6:G185),"")</f>
        <v>45</v>
      </c>
      <c r="C185" s="58"/>
      <c r="D185" s="58"/>
      <c r="E185" s="59" t="s">
        <v>139</v>
      </c>
      <c r="F185" s="59" t="s">
        <v>135</v>
      </c>
      <c r="G185" s="60" t="s">
        <v>169</v>
      </c>
      <c r="H185" s="61">
        <v>43996</v>
      </c>
      <c r="I185" s="62">
        <v>1</v>
      </c>
      <c r="J185" s="63" t="s">
        <v>521</v>
      </c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5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60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</row>
    <row r="186" spans="2:130" x14ac:dyDescent="0.15">
      <c r="B186" s="99" t="str">
        <f>IF(G186&lt;&gt;"",SUBTOTAL(3,$G$5:G186),"")</f>
        <v/>
      </c>
      <c r="C186" s="58"/>
      <c r="D186" s="58"/>
      <c r="E186" s="59"/>
      <c r="F186" s="59"/>
      <c r="G186" s="60"/>
      <c r="H186" s="61"/>
      <c r="I186" s="70">
        <v>1</v>
      </c>
      <c r="J186" s="63" t="s">
        <v>522</v>
      </c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5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60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</row>
    <row r="187" spans="2:130" ht="15.75" x14ac:dyDescent="0.15">
      <c r="B187" s="99" t="str">
        <f>IF(G187&lt;&gt;"",SUBTOTAL(3,$G$5:G187),"")</f>
        <v/>
      </c>
      <c r="C187" s="58"/>
      <c r="D187" s="58"/>
      <c r="E187" s="59"/>
      <c r="F187" s="59"/>
      <c r="G187" s="60"/>
      <c r="H187" s="61"/>
      <c r="I187" s="70">
        <v>1</v>
      </c>
      <c r="J187" s="63" t="s">
        <v>523</v>
      </c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5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60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</row>
    <row r="188" spans="2:130" x14ac:dyDescent="0.15">
      <c r="B188" s="99" t="str">
        <f>IF(G188&lt;&gt;"",SUBTOTAL(3,$G$5:G188),"")</f>
        <v/>
      </c>
      <c r="C188" s="58"/>
      <c r="D188" s="58"/>
      <c r="E188" s="59"/>
      <c r="F188" s="59"/>
      <c r="G188" s="60"/>
      <c r="H188" s="61"/>
      <c r="I188" s="70">
        <v>1</v>
      </c>
      <c r="J188" s="63" t="s">
        <v>524</v>
      </c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5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60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</row>
    <row r="189" spans="2:130" x14ac:dyDescent="0.15">
      <c r="B189" s="99" t="str">
        <f>IF(G189&lt;&gt;"",SUBTOTAL(3,$G$5:G189),"")</f>
        <v/>
      </c>
      <c r="C189" s="58"/>
      <c r="D189" s="58"/>
      <c r="E189" s="59"/>
      <c r="F189" s="59"/>
      <c r="G189" s="60"/>
      <c r="H189" s="61"/>
      <c r="I189" s="70">
        <v>1</v>
      </c>
      <c r="J189" s="63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60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</row>
    <row r="190" spans="2:130" x14ac:dyDescent="0.15">
      <c r="B190" s="58">
        <f>IF(G190&lt;&gt;"",SUBTOTAL(3,$G$6:G190),"")</f>
        <v>46</v>
      </c>
      <c r="C190" s="58"/>
      <c r="D190" s="58"/>
      <c r="E190" s="59" t="s">
        <v>139</v>
      </c>
      <c r="F190" s="59" t="s">
        <v>135</v>
      </c>
      <c r="G190" s="60" t="s">
        <v>170</v>
      </c>
      <c r="H190" s="61">
        <v>43996</v>
      </c>
      <c r="I190" s="62">
        <v>1</v>
      </c>
      <c r="J190" s="63" t="s">
        <v>517</v>
      </c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60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</row>
    <row r="191" spans="2:130" x14ac:dyDescent="0.15">
      <c r="B191" s="99" t="str">
        <f>IF(G191&lt;&gt;"",SUBTOTAL(3,$G$5:G191),"")</f>
        <v/>
      </c>
      <c r="C191" s="58"/>
      <c r="D191" s="58"/>
      <c r="E191" s="59"/>
      <c r="F191" s="59"/>
      <c r="G191" s="60"/>
      <c r="H191" s="61"/>
      <c r="I191" s="70">
        <v>1</v>
      </c>
      <c r="J191" s="63" t="s">
        <v>520</v>
      </c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5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60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</row>
    <row r="192" spans="2:130" x14ac:dyDescent="0.15">
      <c r="B192" s="99" t="str">
        <f>IF(G192&lt;&gt;"",SUBTOTAL(3,$G$5:G192),"")</f>
        <v/>
      </c>
      <c r="C192" s="58"/>
      <c r="D192" s="58"/>
      <c r="E192" s="59"/>
      <c r="F192" s="59"/>
      <c r="G192" s="60"/>
      <c r="H192" s="61"/>
      <c r="I192" s="70">
        <v>1</v>
      </c>
      <c r="J192" s="63" t="s">
        <v>519</v>
      </c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5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60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</row>
    <row r="193" spans="2:130" x14ac:dyDescent="0.15">
      <c r="B193" s="99" t="str">
        <f>IF(G193&lt;&gt;"",SUBTOTAL(3,$G$5:G193),"")</f>
        <v/>
      </c>
      <c r="C193" s="58"/>
      <c r="D193" s="58"/>
      <c r="E193" s="59"/>
      <c r="F193" s="59"/>
      <c r="G193" s="60"/>
      <c r="H193" s="61"/>
      <c r="I193" s="70">
        <v>1</v>
      </c>
      <c r="J193" s="63" t="s">
        <v>518</v>
      </c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5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60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</row>
    <row r="194" spans="2:130" x14ac:dyDescent="0.15">
      <c r="B194" s="99" t="str">
        <f>IF(G194&lt;&gt;"",SUBTOTAL(3,$G$5:G194),"")</f>
        <v/>
      </c>
      <c r="C194" s="58"/>
      <c r="D194" s="58"/>
      <c r="E194" s="59"/>
      <c r="F194" s="59"/>
      <c r="G194" s="60"/>
      <c r="H194" s="61"/>
      <c r="I194" s="70">
        <v>1</v>
      </c>
      <c r="J194" s="63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5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60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</row>
    <row r="195" spans="2:130" x14ac:dyDescent="0.15">
      <c r="B195" s="58">
        <f>IF(G195&lt;&gt;"",SUBTOTAL(3,$G$6:G195),"")</f>
        <v>47</v>
      </c>
      <c r="C195" s="58"/>
      <c r="D195" s="58"/>
      <c r="E195" s="59" t="s">
        <v>139</v>
      </c>
      <c r="F195" s="59" t="s">
        <v>135</v>
      </c>
      <c r="G195" s="60" t="s">
        <v>171</v>
      </c>
      <c r="H195" s="61">
        <v>43995</v>
      </c>
      <c r="I195" s="62">
        <v>1</v>
      </c>
      <c r="J195" s="63" t="s">
        <v>513</v>
      </c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5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60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</row>
    <row r="196" spans="2:130" x14ac:dyDescent="0.15">
      <c r="B196" s="99" t="str">
        <f>IF(G196&lt;&gt;"",SUBTOTAL(3,$G$5:G196),"")</f>
        <v/>
      </c>
      <c r="C196" s="58"/>
      <c r="D196" s="58"/>
      <c r="E196" s="59"/>
      <c r="F196" s="59"/>
      <c r="G196" s="60"/>
      <c r="H196" s="61"/>
      <c r="I196" s="70">
        <v>1</v>
      </c>
      <c r="J196" s="63" t="s">
        <v>514</v>
      </c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5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60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</row>
    <row r="197" spans="2:130" x14ac:dyDescent="0.15">
      <c r="B197" s="99" t="str">
        <f>IF(G197&lt;&gt;"",SUBTOTAL(3,$G$5:G197),"")</f>
        <v/>
      </c>
      <c r="C197" s="58"/>
      <c r="D197" s="58"/>
      <c r="E197" s="59"/>
      <c r="F197" s="59"/>
      <c r="G197" s="60"/>
      <c r="H197" s="61"/>
      <c r="I197" s="70">
        <v>1</v>
      </c>
      <c r="J197" s="63" t="s">
        <v>515</v>
      </c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5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60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</row>
    <row r="198" spans="2:130" x14ac:dyDescent="0.15">
      <c r="B198" s="99" t="str">
        <f>IF(G198&lt;&gt;"",SUBTOTAL(3,$G$5:G198),"")</f>
        <v/>
      </c>
      <c r="C198" s="58"/>
      <c r="D198" s="58"/>
      <c r="E198" s="59"/>
      <c r="F198" s="59"/>
      <c r="G198" s="60"/>
      <c r="H198" s="61"/>
      <c r="I198" s="70">
        <v>1</v>
      </c>
      <c r="J198" s="63" t="s">
        <v>516</v>
      </c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5"/>
      <c r="AS198" s="63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5"/>
      <c r="CB198" s="60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</row>
    <row r="199" spans="2:130" x14ac:dyDescent="0.15">
      <c r="B199" s="99" t="str">
        <f>IF(G199&lt;&gt;"",SUBTOTAL(3,$G$5:G199),"")</f>
        <v/>
      </c>
      <c r="C199" s="58"/>
      <c r="D199" s="58"/>
      <c r="E199" s="59"/>
      <c r="F199" s="59"/>
      <c r="G199" s="60"/>
      <c r="H199" s="61"/>
      <c r="I199" s="70">
        <v>1</v>
      </c>
      <c r="J199" s="63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5"/>
      <c r="AS199" s="63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5"/>
      <c r="CB199" s="60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</row>
    <row r="200" spans="2:130" x14ac:dyDescent="0.15">
      <c r="B200" s="58">
        <f>IF(G200&lt;&gt;"",SUBTOTAL(3,$G$6:G200),"")</f>
        <v>48</v>
      </c>
      <c r="C200" s="58"/>
      <c r="D200" s="58"/>
      <c r="E200" s="59" t="s">
        <v>139</v>
      </c>
      <c r="F200" s="59" t="s">
        <v>135</v>
      </c>
      <c r="G200" s="60" t="s">
        <v>172</v>
      </c>
      <c r="H200" s="61">
        <v>43995</v>
      </c>
      <c r="I200" s="62">
        <v>1</v>
      </c>
      <c r="J200" s="63" t="s">
        <v>430</v>
      </c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5"/>
      <c r="AS200" s="63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5"/>
      <c r="CB200" s="60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</row>
    <row r="201" spans="2:130" x14ac:dyDescent="0.15">
      <c r="B201" s="99" t="str">
        <f>IF(G201&lt;&gt;"",SUBTOTAL(3,$G$6:G201),"")</f>
        <v/>
      </c>
      <c r="C201" s="58"/>
      <c r="D201" s="58"/>
      <c r="E201" s="59"/>
      <c r="F201" s="59"/>
      <c r="G201" s="60"/>
      <c r="H201" s="61"/>
      <c r="I201" s="70">
        <v>1</v>
      </c>
      <c r="J201" s="63" t="s">
        <v>428</v>
      </c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5"/>
      <c r="AS201" s="63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5"/>
      <c r="CB201" s="60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</row>
    <row r="202" spans="2:130" x14ac:dyDescent="0.15">
      <c r="B202" s="99" t="str">
        <f>IF(G202&lt;&gt;"",SUBTOTAL(3,$G$6:G202),"")</f>
        <v/>
      </c>
      <c r="C202" s="58"/>
      <c r="D202" s="58"/>
      <c r="E202" s="59"/>
      <c r="F202" s="59"/>
      <c r="G202" s="60"/>
      <c r="H202" s="61"/>
      <c r="I202" s="70">
        <v>1</v>
      </c>
      <c r="J202" s="63" t="s">
        <v>429</v>
      </c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5"/>
      <c r="AS202" s="63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5"/>
      <c r="CB202" s="60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</row>
    <row r="203" spans="2:130" x14ac:dyDescent="0.15">
      <c r="B203" s="99" t="str">
        <f>IF(G203&lt;&gt;"",SUBTOTAL(3,$G$6:G203),"")</f>
        <v/>
      </c>
      <c r="C203" s="58"/>
      <c r="D203" s="58"/>
      <c r="E203" s="59"/>
      <c r="F203" s="59"/>
      <c r="G203" s="60"/>
      <c r="H203" s="61"/>
      <c r="I203" s="70">
        <v>1</v>
      </c>
      <c r="J203" s="63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5"/>
      <c r="AS203" s="63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5"/>
      <c r="CB203" s="60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</row>
    <row r="204" spans="2:130" x14ac:dyDescent="0.15">
      <c r="B204" s="58">
        <f>IF(G204&lt;&gt;"",SUBTOTAL(3,$G$6:G204),"")</f>
        <v>49</v>
      </c>
      <c r="C204" s="58"/>
      <c r="D204" s="58"/>
      <c r="E204" s="59" t="s">
        <v>139</v>
      </c>
      <c r="F204" s="59" t="s">
        <v>135</v>
      </c>
      <c r="G204" s="74" t="s">
        <v>173</v>
      </c>
      <c r="H204" s="61">
        <v>43982</v>
      </c>
      <c r="I204" s="62">
        <v>1</v>
      </c>
      <c r="J204" s="63" t="s">
        <v>448</v>
      </c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5"/>
      <c r="AS204" s="63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5"/>
      <c r="CB204" s="60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</row>
    <row r="205" spans="2:130" x14ac:dyDescent="0.15">
      <c r="B205" s="99" t="str">
        <f>IF(G205&lt;&gt;"",SUBTOTAL(3,$G$6:G205),"")</f>
        <v/>
      </c>
      <c r="C205" s="58"/>
      <c r="D205" s="58"/>
      <c r="E205" s="59"/>
      <c r="F205" s="59"/>
      <c r="G205" s="74"/>
      <c r="H205" s="61"/>
      <c r="I205" s="70">
        <v>1</v>
      </c>
      <c r="J205" s="63" t="s">
        <v>449</v>
      </c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5"/>
      <c r="AS205" s="63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5"/>
      <c r="CB205" s="60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</row>
    <row r="206" spans="2:130" x14ac:dyDescent="0.15">
      <c r="B206" s="99" t="str">
        <f>IF(G206&lt;&gt;"",SUBTOTAL(3,$G$6:G206),"")</f>
        <v/>
      </c>
      <c r="C206" s="58"/>
      <c r="D206" s="58"/>
      <c r="E206" s="59"/>
      <c r="F206" s="59"/>
      <c r="G206" s="74"/>
      <c r="H206" s="61"/>
      <c r="I206" s="70">
        <v>1</v>
      </c>
      <c r="J206" s="63" t="s">
        <v>450</v>
      </c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5"/>
      <c r="AS206" s="63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5"/>
      <c r="CB206" s="60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</row>
    <row r="207" spans="2:130" x14ac:dyDescent="0.15">
      <c r="B207" s="99" t="str">
        <f>IF(G207&lt;&gt;"",SUBTOTAL(3,$G$6:G207),"")</f>
        <v/>
      </c>
      <c r="C207" s="58"/>
      <c r="D207" s="58"/>
      <c r="E207" s="59"/>
      <c r="F207" s="59"/>
      <c r="G207" s="74"/>
      <c r="H207" s="61"/>
      <c r="I207" s="70">
        <v>1</v>
      </c>
      <c r="J207" s="63" t="s">
        <v>451</v>
      </c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5"/>
      <c r="AS207" s="63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5"/>
      <c r="CB207" s="60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</row>
    <row r="208" spans="2:130" x14ac:dyDescent="0.15">
      <c r="B208" s="99" t="str">
        <f>IF(G208&lt;&gt;"",SUBTOTAL(3,$G$6:G208),"")</f>
        <v/>
      </c>
      <c r="C208" s="58"/>
      <c r="D208" s="58"/>
      <c r="E208" s="59"/>
      <c r="F208" s="59"/>
      <c r="G208" s="74"/>
      <c r="H208" s="61"/>
      <c r="I208" s="70">
        <v>1</v>
      </c>
      <c r="J208" s="63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5"/>
      <c r="AS208" s="63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5"/>
      <c r="CB208" s="60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</row>
    <row r="209" spans="2:130" s="46" customFormat="1" ht="13.5" customHeight="1" x14ac:dyDescent="0.15">
      <c r="B209" s="75">
        <f>IF(G209&lt;&gt;"",SUBTOTAL(3,$G$6:G209),"")</f>
        <v>50</v>
      </c>
      <c r="C209" s="75"/>
      <c r="D209" s="75"/>
      <c r="E209" s="76" t="s">
        <v>139</v>
      </c>
      <c r="F209" s="76" t="s">
        <v>135</v>
      </c>
      <c r="G209" s="74" t="s">
        <v>174</v>
      </c>
      <c r="H209" s="61">
        <v>43995</v>
      </c>
      <c r="I209" s="62">
        <v>1</v>
      </c>
      <c r="J209" s="77" t="s">
        <v>418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419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x14ac:dyDescent="0.15">
      <c r="B212" s="75">
        <f>IF(G212&lt;&gt;"",SUBTOTAL(3,$G$6:G212),"")</f>
        <v>51</v>
      </c>
      <c r="C212" s="75"/>
      <c r="D212" s="75"/>
      <c r="E212" s="76" t="s">
        <v>139</v>
      </c>
      <c r="F212" s="76" t="s">
        <v>135</v>
      </c>
      <c r="G212" s="74" t="s">
        <v>175</v>
      </c>
      <c r="H212" s="61">
        <v>43955</v>
      </c>
      <c r="I212" s="62">
        <v>1</v>
      </c>
      <c r="J212" s="63" t="s">
        <v>465</v>
      </c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5"/>
      <c r="AS212" s="63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5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x14ac:dyDescent="0.15">
      <c r="B213" s="75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63" t="s">
        <v>466</v>
      </c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5"/>
      <c r="AS213" s="63"/>
      <c r="AT213" s="64"/>
      <c r="AU213" s="64"/>
      <c r="AV213" s="64"/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5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x14ac:dyDescent="0.15">
      <c r="B214" s="75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63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5"/>
      <c r="AS214" s="63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5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52</v>
      </c>
      <c r="C215" s="75"/>
      <c r="D215" s="75"/>
      <c r="E215" s="76" t="s">
        <v>139</v>
      </c>
      <c r="F215" s="76" t="s">
        <v>135</v>
      </c>
      <c r="G215" s="74" t="s">
        <v>176</v>
      </c>
      <c r="H215" s="61">
        <v>43967</v>
      </c>
      <c r="I215" s="100">
        <v>1</v>
      </c>
      <c r="J215" s="77" t="s">
        <v>406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99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407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53</v>
      </c>
      <c r="C217" s="75"/>
      <c r="D217" s="75"/>
      <c r="E217" s="76" t="s">
        <v>139</v>
      </c>
      <c r="F217" s="76" t="s">
        <v>135</v>
      </c>
      <c r="G217" s="74" t="s">
        <v>177</v>
      </c>
      <c r="H217" s="61">
        <v>43870</v>
      </c>
      <c r="I217" s="62">
        <v>1</v>
      </c>
      <c r="J217" s="77" t="s">
        <v>403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68"/>
      <c r="J218" s="77" t="s">
        <v>404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68"/>
      <c r="J219" s="77" t="s">
        <v>405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68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x14ac:dyDescent="0.15">
      <c r="B221" s="75">
        <f>IF(G221&lt;&gt;"",SUBTOTAL(3,$G$6:G221),"")</f>
        <v>54</v>
      </c>
      <c r="C221" s="75"/>
      <c r="D221" s="75"/>
      <c r="E221" s="76" t="s">
        <v>139</v>
      </c>
      <c r="F221" s="76" t="s">
        <v>135</v>
      </c>
      <c r="G221" s="74" t="s">
        <v>178</v>
      </c>
      <c r="H221" s="61">
        <v>43869</v>
      </c>
      <c r="I221" s="62">
        <v>1</v>
      </c>
      <c r="J221" s="77" t="s">
        <v>473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x14ac:dyDescent="0.15">
      <c r="B223" s="75">
        <f>IF(G223&lt;&gt;"",SUBTOTAL(3,$G$6:G223),"")</f>
        <v>55</v>
      </c>
      <c r="C223" s="75"/>
      <c r="D223" s="75"/>
      <c r="E223" s="76" t="s">
        <v>139</v>
      </c>
      <c r="F223" s="76" t="s">
        <v>135</v>
      </c>
      <c r="G223" s="74" t="s">
        <v>89</v>
      </c>
      <c r="H223" s="61">
        <v>43961</v>
      </c>
      <c r="I223" s="62">
        <v>1</v>
      </c>
      <c r="J223" s="105" t="s">
        <v>463</v>
      </c>
      <c r="K223" s="106"/>
      <c r="L223" s="106"/>
      <c r="M223" s="106"/>
      <c r="N223" s="106"/>
      <c r="O223" s="106"/>
      <c r="P223" s="106"/>
      <c r="Q223" s="106"/>
      <c r="R223" s="106"/>
      <c r="S223" s="106"/>
      <c r="T223" s="106"/>
      <c r="U223" s="106"/>
      <c r="V223" s="106"/>
      <c r="W223" s="106"/>
      <c r="X223" s="106"/>
      <c r="Y223" s="106"/>
      <c r="Z223" s="106"/>
      <c r="AA223" s="106"/>
      <c r="AB223" s="106"/>
      <c r="AC223" s="106"/>
      <c r="AD223" s="106"/>
      <c r="AE223" s="106"/>
      <c r="AF223" s="106"/>
      <c r="AG223" s="106"/>
      <c r="AH223" s="106"/>
      <c r="AI223" s="106"/>
      <c r="AJ223" s="106"/>
      <c r="AK223" s="106"/>
      <c r="AL223" s="106"/>
      <c r="AM223" s="106"/>
      <c r="AN223" s="106"/>
      <c r="AO223" s="106"/>
      <c r="AP223" s="106"/>
      <c r="AQ223" s="106"/>
      <c r="AR223" s="107"/>
      <c r="AS223" s="63"/>
      <c r="AT223" s="64"/>
      <c r="AU223" s="64"/>
      <c r="AV223" s="64"/>
      <c r="AW223" s="64"/>
      <c r="AX223" s="64"/>
      <c r="AY223" s="64"/>
      <c r="AZ223" s="64"/>
      <c r="BA223" s="64"/>
      <c r="BB223" s="64"/>
      <c r="BC223" s="64"/>
      <c r="BD223" s="64"/>
      <c r="BE223" s="64"/>
      <c r="BF223" s="64"/>
      <c r="BG223" s="64"/>
      <c r="BH223" s="64"/>
      <c r="BI223" s="64"/>
      <c r="BJ223" s="64"/>
      <c r="BK223" s="64"/>
      <c r="BL223" s="64"/>
      <c r="BM223" s="64"/>
      <c r="BN223" s="64"/>
      <c r="BO223" s="64"/>
      <c r="BP223" s="64"/>
      <c r="BQ223" s="64"/>
      <c r="BR223" s="64"/>
      <c r="BS223" s="64"/>
      <c r="BT223" s="64"/>
      <c r="BU223" s="64"/>
      <c r="BV223" s="64"/>
      <c r="BW223" s="64"/>
      <c r="BX223" s="64"/>
      <c r="BY223" s="64"/>
      <c r="BZ223" s="64"/>
      <c r="CA223" s="65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x14ac:dyDescent="0.15">
      <c r="B224" s="75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105" t="s">
        <v>464</v>
      </c>
      <c r="K224" s="106"/>
      <c r="L224" s="106"/>
      <c r="M224" s="106"/>
      <c r="N224" s="106"/>
      <c r="O224" s="106"/>
      <c r="P224" s="106"/>
      <c r="Q224" s="106"/>
      <c r="R224" s="106"/>
      <c r="S224" s="106"/>
      <c r="T224" s="106"/>
      <c r="U224" s="106"/>
      <c r="V224" s="106"/>
      <c r="W224" s="106"/>
      <c r="X224" s="106"/>
      <c r="Y224" s="106"/>
      <c r="Z224" s="106"/>
      <c r="AA224" s="106"/>
      <c r="AB224" s="106"/>
      <c r="AC224" s="106"/>
      <c r="AD224" s="106"/>
      <c r="AE224" s="106"/>
      <c r="AF224" s="106"/>
      <c r="AG224" s="106"/>
      <c r="AH224" s="106"/>
      <c r="AI224" s="106"/>
      <c r="AJ224" s="106"/>
      <c r="AK224" s="106"/>
      <c r="AL224" s="106"/>
      <c r="AM224" s="106"/>
      <c r="AN224" s="106"/>
      <c r="AO224" s="106"/>
      <c r="AP224" s="106"/>
      <c r="AQ224" s="106"/>
      <c r="AR224" s="107"/>
      <c r="AS224" s="63"/>
      <c r="AT224" s="64"/>
      <c r="AU224" s="64"/>
      <c r="AV224" s="64"/>
      <c r="AW224" s="64"/>
      <c r="AX224" s="64"/>
      <c r="AY224" s="64"/>
      <c r="AZ224" s="64"/>
      <c r="BA224" s="64"/>
      <c r="BB224" s="64"/>
      <c r="BC224" s="64"/>
      <c r="BD224" s="64"/>
      <c r="BE224" s="64"/>
      <c r="BF224" s="64"/>
      <c r="BG224" s="64"/>
      <c r="BH224" s="64"/>
      <c r="BI224" s="64"/>
      <c r="BJ224" s="64"/>
      <c r="BK224" s="64"/>
      <c r="BL224" s="64"/>
      <c r="BM224" s="64"/>
      <c r="BN224" s="64"/>
      <c r="BO224" s="64"/>
      <c r="BP224" s="64"/>
      <c r="BQ224" s="64"/>
      <c r="BR224" s="64"/>
      <c r="BS224" s="64"/>
      <c r="BT224" s="64"/>
      <c r="BU224" s="64"/>
      <c r="BV224" s="64"/>
      <c r="BW224" s="64"/>
      <c r="BX224" s="64"/>
      <c r="BY224" s="64"/>
      <c r="BZ224" s="64"/>
      <c r="CA224" s="65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x14ac:dyDescent="0.15">
      <c r="B225" s="75" t="str">
        <f>IF(G225&lt;&gt;"",SUBTOTAL(3,$G$6:G225),"")</f>
        <v/>
      </c>
      <c r="C225" s="75"/>
      <c r="D225" s="75"/>
      <c r="E225" s="76"/>
      <c r="F225" s="76"/>
      <c r="G225" s="74"/>
      <c r="H225" s="61"/>
      <c r="I225" s="70">
        <v>1</v>
      </c>
      <c r="J225" s="105"/>
      <c r="K225" s="106"/>
      <c r="L225" s="106"/>
      <c r="M225" s="106"/>
      <c r="N225" s="106"/>
      <c r="O225" s="106"/>
      <c r="P225" s="106"/>
      <c r="Q225" s="106"/>
      <c r="R225" s="106"/>
      <c r="S225" s="106"/>
      <c r="T225" s="106"/>
      <c r="U225" s="106"/>
      <c r="V225" s="106"/>
      <c r="W225" s="106"/>
      <c r="X225" s="106"/>
      <c r="Y225" s="106"/>
      <c r="Z225" s="106"/>
      <c r="AA225" s="106"/>
      <c r="AB225" s="106"/>
      <c r="AC225" s="106"/>
      <c r="AD225" s="106"/>
      <c r="AE225" s="106"/>
      <c r="AF225" s="106"/>
      <c r="AG225" s="106"/>
      <c r="AH225" s="106"/>
      <c r="AI225" s="106"/>
      <c r="AJ225" s="106"/>
      <c r="AK225" s="106"/>
      <c r="AL225" s="106"/>
      <c r="AM225" s="106"/>
      <c r="AN225" s="106"/>
      <c r="AO225" s="106"/>
      <c r="AP225" s="106"/>
      <c r="AQ225" s="106"/>
      <c r="AR225" s="107"/>
      <c r="AS225" s="63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  <c r="BL225" s="64"/>
      <c r="BM225" s="64"/>
      <c r="BN225" s="64"/>
      <c r="BO225" s="64"/>
      <c r="BP225" s="64"/>
      <c r="BQ225" s="64"/>
      <c r="BR225" s="64"/>
      <c r="BS225" s="64"/>
      <c r="BT225" s="64"/>
      <c r="BU225" s="64"/>
      <c r="BV225" s="64"/>
      <c r="BW225" s="64"/>
      <c r="BX225" s="64"/>
      <c r="BY225" s="64"/>
      <c r="BZ225" s="64"/>
      <c r="CA225" s="65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IF(G226&lt;&gt;"",SUBTOTAL(3,$G$6:G226),"")</f>
        <v>56</v>
      </c>
      <c r="C226" s="75"/>
      <c r="D226" s="75"/>
      <c r="E226" s="76" t="s">
        <v>139</v>
      </c>
      <c r="F226" s="76" t="s">
        <v>135</v>
      </c>
      <c r="G226" s="74" t="s">
        <v>179</v>
      </c>
      <c r="H226" s="61">
        <v>43961</v>
      </c>
      <c r="I226" s="62">
        <v>1</v>
      </c>
      <c r="J226" s="77" t="s">
        <v>452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9" t="s">
        <v>13</v>
      </c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IF(G227&lt;&gt;"",SUBTOTAL(3,$G$6:G227),"")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453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9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454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9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9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IF(G230&lt;&gt;"",SUBTOTAL(3,$G$6:G230),"")</f>
        <v>57</v>
      </c>
      <c r="C230" s="75"/>
      <c r="D230" s="75"/>
      <c r="E230" s="76" t="s">
        <v>139</v>
      </c>
      <c r="F230" s="76" t="s">
        <v>135</v>
      </c>
      <c r="G230" s="74" t="s">
        <v>180</v>
      </c>
      <c r="H230" s="61">
        <v>43995</v>
      </c>
      <c r="I230" s="62">
        <v>1</v>
      </c>
      <c r="J230" s="77" t="s">
        <v>420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IF(G231&lt;&gt;"",SUBTOTAL(3,$G$6:G231),"")</f>
        <v/>
      </c>
      <c r="C231" s="75"/>
      <c r="D231" s="75"/>
      <c r="E231" s="76"/>
      <c r="F231" s="76"/>
      <c r="G231" s="74"/>
      <c r="H231" s="61"/>
      <c r="I231" s="70">
        <v>1</v>
      </c>
      <c r="J231" s="77" t="s">
        <v>421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422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IF(G234&lt;&gt;"",SUBTOTAL(3,$G$6:G234),"")</f>
        <v>58</v>
      </c>
      <c r="C234" s="75"/>
      <c r="D234" s="75"/>
      <c r="E234" s="76" t="s">
        <v>139</v>
      </c>
      <c r="F234" s="76" t="s">
        <v>135</v>
      </c>
      <c r="G234" s="74" t="s">
        <v>181</v>
      </c>
      <c r="H234" s="61">
        <v>43961</v>
      </c>
      <c r="I234" s="62">
        <v>1</v>
      </c>
      <c r="J234" s="77" t="s">
        <v>455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IF(G235&lt;&gt;"",SUBTOTAL(3,$G$6:G235),"")</f>
        <v/>
      </c>
      <c r="C235" s="75"/>
      <c r="D235" s="75"/>
      <c r="E235" s="76"/>
      <c r="F235" s="76"/>
      <c r="G235" s="74"/>
      <c r="H235" s="61"/>
      <c r="I235" s="70">
        <v>1</v>
      </c>
      <c r="J235" s="77" t="s">
        <v>456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70">
        <v>1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75">
        <f>IF(G237&lt;&gt;"",SUBTOTAL(3,$G$6:G237),"")</f>
        <v>59</v>
      </c>
      <c r="C237" s="75"/>
      <c r="D237" s="75"/>
      <c r="E237" s="76" t="s">
        <v>139</v>
      </c>
      <c r="F237" s="76" t="s">
        <v>135</v>
      </c>
      <c r="G237" s="74" t="s">
        <v>182</v>
      </c>
      <c r="H237" s="61">
        <v>43995</v>
      </c>
      <c r="I237" s="62"/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IF(G238&lt;&gt;"",SUBTOTAL(3,$G$6:G238),"")</f>
        <v>60</v>
      </c>
      <c r="C238" s="75"/>
      <c r="D238" s="75"/>
      <c r="E238" s="76" t="s">
        <v>139</v>
      </c>
      <c r="F238" s="76" t="s">
        <v>135</v>
      </c>
      <c r="G238" s="74" t="s">
        <v>183</v>
      </c>
      <c r="H238" s="61">
        <v>44006</v>
      </c>
      <c r="I238" s="62"/>
      <c r="J238" s="77" t="s">
        <v>457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9" t="s">
        <v>13</v>
      </c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68"/>
      <c r="J239" s="77" t="s">
        <v>458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9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IF(G240&lt;&gt;"",SUBTOTAL(3,$G$6:G240),"")</f>
        <v/>
      </c>
      <c r="C240" s="75"/>
      <c r="D240" s="75"/>
      <c r="E240" s="76"/>
      <c r="F240" s="76"/>
      <c r="G240" s="74"/>
      <c r="H240" s="61"/>
      <c r="I240" s="68"/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9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75">
        <f>IF(G241&lt;&gt;"",SUBTOTAL(3,$G$6:G241),"")</f>
        <v>61</v>
      </c>
      <c r="C241" s="75"/>
      <c r="D241" s="75"/>
      <c r="E241" s="76" t="s">
        <v>139</v>
      </c>
      <c r="F241" s="76" t="s">
        <v>135</v>
      </c>
      <c r="G241" s="74" t="s">
        <v>15</v>
      </c>
      <c r="H241" s="61">
        <v>43995</v>
      </c>
      <c r="I241" s="62">
        <v>1</v>
      </c>
      <c r="J241" s="77" t="s">
        <v>408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9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409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9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9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75">
        <f>IF(G244&lt;&gt;"",SUBTOTAL(3,$G$6:G244),"")</f>
        <v>62</v>
      </c>
      <c r="C244" s="75"/>
      <c r="D244" s="75"/>
      <c r="E244" s="76" t="s">
        <v>139</v>
      </c>
      <c r="F244" s="76" t="s">
        <v>135</v>
      </c>
      <c r="G244" s="74" t="s">
        <v>184</v>
      </c>
      <c r="H244" s="61">
        <v>43871</v>
      </c>
      <c r="I244" s="62">
        <v>1</v>
      </c>
      <c r="J244" s="77" t="s">
        <v>416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9" t="s">
        <v>13</v>
      </c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IF(G245&lt;&gt;"",SUBTOTAL(3,$G$6:G245),"")</f>
        <v/>
      </c>
      <c r="C245" s="75"/>
      <c r="D245" s="75"/>
      <c r="E245" s="76"/>
      <c r="F245" s="76"/>
      <c r="G245" s="74"/>
      <c r="H245" s="61"/>
      <c r="I245" s="70">
        <v>1</v>
      </c>
      <c r="J245" s="77" t="s">
        <v>417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9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IF(G246&lt;&gt;"",SUBTOTAL(3,$G$6:G246),"")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9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IF(G247&lt;&gt;"",SUBTOTAL(3,$G$6:G247),"")</f>
        <v>63</v>
      </c>
      <c r="C247" s="75"/>
      <c r="D247" s="75"/>
      <c r="E247" s="76" t="s">
        <v>139</v>
      </c>
      <c r="F247" s="76" t="s">
        <v>135</v>
      </c>
      <c r="G247" s="74" t="s">
        <v>185</v>
      </c>
      <c r="H247" s="61">
        <v>43936</v>
      </c>
      <c r="I247" s="62">
        <v>1</v>
      </c>
      <c r="J247" s="77" t="s">
        <v>412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IF(G248&lt;&gt;"",SUBTOTAL(3,$G$6:G248),"")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413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IF(G249&lt;&gt;"",SUBTOTAL(3,$G$6:G249),"")</f>
        <v/>
      </c>
      <c r="C249" s="75"/>
      <c r="D249" s="75"/>
      <c r="E249" s="76"/>
      <c r="F249" s="76"/>
      <c r="G249" s="74"/>
      <c r="H249" s="61"/>
      <c r="I249" s="70">
        <v>1</v>
      </c>
      <c r="J249" s="77" t="s">
        <v>414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IF(G250&lt;&gt;"",SUBTOTAL(3,$G$6:G250),"")</f>
        <v/>
      </c>
      <c r="C250" s="75"/>
      <c r="D250" s="75"/>
      <c r="E250" s="76"/>
      <c r="F250" s="76"/>
      <c r="G250" s="74"/>
      <c r="H250" s="61"/>
      <c r="I250" s="70">
        <v>1</v>
      </c>
      <c r="J250" s="77" t="s">
        <v>415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70">
        <v>1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75">
        <f>IF(G252&lt;&gt;"",SUBTOTAL(3,$G$6:G252),"")</f>
        <v>64</v>
      </c>
      <c r="C252" s="75"/>
      <c r="D252" s="75"/>
      <c r="E252" s="76" t="s">
        <v>139</v>
      </c>
      <c r="F252" s="76" t="s">
        <v>135</v>
      </c>
      <c r="G252" s="74" t="s">
        <v>186</v>
      </c>
      <c r="H252" s="61">
        <v>43935</v>
      </c>
      <c r="I252" s="62">
        <v>1</v>
      </c>
      <c r="J252" s="77" t="s">
        <v>411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70">
        <v>1</v>
      </c>
      <c r="J253" s="77" t="s">
        <v>410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75">
        <f>IF(G255&lt;&gt;"",SUBTOTAL(3,$G$6:G255),"")</f>
        <v>65</v>
      </c>
      <c r="C255" s="75"/>
      <c r="D255" s="75"/>
      <c r="E255" s="76" t="s">
        <v>139</v>
      </c>
      <c r="F255" s="76" t="s">
        <v>135</v>
      </c>
      <c r="G255" s="74" t="s">
        <v>187</v>
      </c>
      <c r="H255" s="61">
        <v>43919</v>
      </c>
      <c r="I255" s="62">
        <v>1</v>
      </c>
      <c r="J255" s="77" t="s">
        <v>509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IF(G256&lt;&gt;"",SUBTOTAL(3,$G$5:G256),"")</f>
        <v/>
      </c>
      <c r="C256" s="75"/>
      <c r="D256" s="75"/>
      <c r="E256" s="76"/>
      <c r="F256" s="76"/>
      <c r="G256" s="74"/>
      <c r="H256" s="61"/>
      <c r="I256" s="70">
        <v>1</v>
      </c>
      <c r="J256" s="77" t="s">
        <v>511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IF(G257&lt;&gt;"",SUBTOTAL(3,$G$5:G257),"")</f>
        <v/>
      </c>
      <c r="C257" s="75"/>
      <c r="D257" s="75"/>
      <c r="E257" s="76"/>
      <c r="F257" s="76"/>
      <c r="G257" s="74"/>
      <c r="H257" s="61"/>
      <c r="I257" s="70">
        <v>1</v>
      </c>
      <c r="J257" s="77" t="s">
        <v>510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99" t="str">
        <f>IF(G258&lt;&gt;"",SUBTOTAL(3,$G$5:G258),"")</f>
        <v/>
      </c>
      <c r="C258" s="75"/>
      <c r="D258" s="75"/>
      <c r="E258" s="76"/>
      <c r="F258" s="76"/>
      <c r="G258" s="74"/>
      <c r="H258" s="61"/>
      <c r="I258" s="70">
        <v>1</v>
      </c>
      <c r="J258" s="77" t="s">
        <v>512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75">
        <f>IF(G260&lt;&gt;"",SUBTOTAL(3,$G$6:G260),"")</f>
        <v>66</v>
      </c>
      <c r="C260" s="75"/>
      <c r="D260" s="75"/>
      <c r="E260" s="76" t="s">
        <v>139</v>
      </c>
      <c r="F260" s="76" t="s">
        <v>135</v>
      </c>
      <c r="G260" s="74" t="s">
        <v>188</v>
      </c>
      <c r="H260" s="61">
        <v>43995</v>
      </c>
      <c r="I260" s="62">
        <v>1</v>
      </c>
      <c r="J260" s="77" t="s">
        <v>423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IF(G261&lt;&gt;"",SUBTOTAL(3,$G$6:G261),"")</f>
        <v/>
      </c>
      <c r="C261" s="75"/>
      <c r="D261" s="75"/>
      <c r="E261" s="76"/>
      <c r="F261" s="76"/>
      <c r="G261" s="74"/>
      <c r="H261" s="61"/>
      <c r="I261" s="70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75">
        <f>IF(G262&lt;&gt;"",SUBTOTAL(3,$G$6:G262),"")</f>
        <v>67</v>
      </c>
      <c r="C262" s="75"/>
      <c r="D262" s="75"/>
      <c r="E262" s="76" t="s">
        <v>139</v>
      </c>
      <c r="F262" s="76" t="s">
        <v>135</v>
      </c>
      <c r="G262" s="74" t="s">
        <v>189</v>
      </c>
      <c r="H262" s="61">
        <v>43975</v>
      </c>
      <c r="I262" s="62">
        <v>1</v>
      </c>
      <c r="J262" s="77" t="s">
        <v>507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IF(G263&lt;&gt;"",SUBTOTAL(3,$G$5:G263),"")</f>
        <v/>
      </c>
      <c r="C263" s="75"/>
      <c r="D263" s="75"/>
      <c r="E263" s="76"/>
      <c r="F263" s="76"/>
      <c r="G263" s="74"/>
      <c r="H263" s="61"/>
      <c r="I263" s="70">
        <v>1</v>
      </c>
      <c r="J263" s="77" t="s">
        <v>508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75">
        <f>IF(G265&lt;&gt;"",SUBTOTAL(3,$G$6:G265),"")</f>
        <v>68</v>
      </c>
      <c r="C265" s="75"/>
      <c r="D265" s="75"/>
      <c r="E265" s="76" t="s">
        <v>139</v>
      </c>
      <c r="F265" s="76" t="s">
        <v>135</v>
      </c>
      <c r="G265" s="74" t="s">
        <v>190</v>
      </c>
      <c r="H265" s="61">
        <v>43975</v>
      </c>
      <c r="I265" s="62">
        <v>1</v>
      </c>
      <c r="J265" s="77" t="s">
        <v>506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IF(G266&lt;&gt;"",SUBTOTAL(3,$G$5:G266),"")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505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IF(G267&lt;&gt;"",SUBTOTAL(3,$G$5:G267),"")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504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/>
      <c r="C268" s="75"/>
      <c r="D268" s="75"/>
      <c r="E268" s="76"/>
      <c r="F268" s="76"/>
      <c r="G268" s="74"/>
      <c r="H268" s="61"/>
      <c r="I268" s="70"/>
      <c r="J268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IF(G269&lt;&gt;"",SUBTOTAL(3,$G$5:G269),"")</f>
        <v/>
      </c>
      <c r="C269" s="75"/>
      <c r="D269" s="75"/>
      <c r="E269" s="76"/>
      <c r="F269" s="76"/>
      <c r="G269" s="74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IF(G270&lt;&gt;"",SUBTOTAL(3,$G$6:G270),"")</f>
        <v>69</v>
      </c>
      <c r="C270" s="75"/>
      <c r="D270" s="75"/>
      <c r="E270" s="76" t="s">
        <v>139</v>
      </c>
      <c r="F270" s="76" t="s">
        <v>135</v>
      </c>
      <c r="G270" s="74" t="s">
        <v>191</v>
      </c>
      <c r="H270" s="61">
        <v>43975</v>
      </c>
      <c r="I270" s="62">
        <v>1</v>
      </c>
      <c r="J270" s="77" t="s">
        <v>494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IF(G271&lt;&gt;"",SUBTOTAL(3,$G$5:G271),"")</f>
        <v/>
      </c>
      <c r="C271" s="75"/>
      <c r="D271" s="75"/>
      <c r="E271" s="76"/>
      <c r="F271" s="76"/>
      <c r="G271" s="74"/>
      <c r="H271" s="61"/>
      <c r="I271" s="70">
        <v>1</v>
      </c>
      <c r="J271" s="77" t="s">
        <v>502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IF(G272&lt;&gt;"",SUBTOTAL(3,$G$5:G272),"")</f>
        <v/>
      </c>
      <c r="C272" s="75"/>
      <c r="D272" s="75"/>
      <c r="E272" s="76"/>
      <c r="F272" s="76"/>
      <c r="G272" s="74"/>
      <c r="H272" s="61"/>
      <c r="I272" s="70">
        <v>1</v>
      </c>
      <c r="J272" s="77" t="s">
        <v>503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IF(G273&lt;&gt;"",SUBTOTAL(3,$G$5:G273),"")</f>
        <v/>
      </c>
      <c r="C273" s="75"/>
      <c r="D273" s="75"/>
      <c r="E273" s="76"/>
      <c r="F273" s="76"/>
      <c r="G273" s="74"/>
      <c r="H273" s="61"/>
      <c r="I273" s="70">
        <v>1</v>
      </c>
      <c r="J273" s="77" t="s">
        <v>496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IF(G274&lt;&gt;"",SUBTOTAL(3,$G$5:G274),"")</f>
        <v/>
      </c>
      <c r="C274" s="75"/>
      <c r="D274" s="75"/>
      <c r="E274" s="76"/>
      <c r="F274" s="76"/>
      <c r="G274" s="74"/>
      <c r="H274" s="61"/>
      <c r="I274" s="70">
        <v>1</v>
      </c>
      <c r="J274" s="77" t="s">
        <v>497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IF(G275&lt;&gt;"",SUBTOTAL(3,$G$5:G275),"")</f>
        <v/>
      </c>
      <c r="C275" s="75"/>
      <c r="D275" s="75"/>
      <c r="E275" s="76"/>
      <c r="F275" s="76"/>
      <c r="G275" s="74"/>
      <c r="H275" s="61"/>
      <c r="I275" s="70">
        <v>1</v>
      </c>
      <c r="J275" s="77" t="s">
        <v>495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IF(G276&lt;&gt;"",SUBTOTAL(3,$G$5:G276),"")</f>
        <v/>
      </c>
      <c r="C276" s="75"/>
      <c r="D276" s="75"/>
      <c r="E276" s="76"/>
      <c r="F276" s="76"/>
      <c r="G276" s="74"/>
      <c r="H276" s="61"/>
      <c r="I276" s="70">
        <v>1</v>
      </c>
      <c r="J276" s="77" t="s">
        <v>498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IF(G277&lt;&gt;"",SUBTOTAL(3,$G$5:G277),"")</f>
        <v/>
      </c>
      <c r="C277" s="75"/>
      <c r="D277" s="75"/>
      <c r="E277" s="76"/>
      <c r="F277" s="76"/>
      <c r="G277" s="74"/>
      <c r="H277" s="61"/>
      <c r="I277" s="70">
        <v>1</v>
      </c>
      <c r="J277" s="77" t="s">
        <v>500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IF(G278&lt;&gt;"",SUBTOTAL(3,$G$5:G278),"")</f>
        <v/>
      </c>
      <c r="C278" s="75"/>
      <c r="D278" s="75"/>
      <c r="E278" s="76"/>
      <c r="F278" s="76"/>
      <c r="G278" s="74"/>
      <c r="H278" s="61"/>
      <c r="I278" s="70">
        <v>1</v>
      </c>
      <c r="J278" s="77" t="s">
        <v>501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IF(G279&lt;&gt;"",SUBTOTAL(3,$G$5:G279),"")</f>
        <v/>
      </c>
      <c r="C279" s="75"/>
      <c r="D279" s="75"/>
      <c r="E279" s="76"/>
      <c r="F279" s="76"/>
      <c r="G279" s="74"/>
      <c r="H279" s="61"/>
      <c r="I279" s="70">
        <v>1</v>
      </c>
      <c r="J279" s="77" t="s">
        <v>499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IF(G280&lt;&gt;"",SUBTOTAL(3,$G$5:G280),"")</f>
        <v/>
      </c>
      <c r="C280" s="75"/>
      <c r="D280" s="75"/>
      <c r="E280" s="76"/>
      <c r="F280" s="76"/>
      <c r="G280" s="74"/>
      <c r="H280" s="61"/>
      <c r="I280" s="70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75">
        <f>IF(G281&lt;&gt;"",SUBTOTAL(3,$G$6:G281),"")</f>
        <v>70</v>
      </c>
      <c r="C281" s="75"/>
      <c r="D281" s="75"/>
      <c r="E281" s="76" t="s">
        <v>139</v>
      </c>
      <c r="F281" s="76" t="s">
        <v>135</v>
      </c>
      <c r="G281" s="74" t="s">
        <v>192</v>
      </c>
      <c r="H281" s="61">
        <v>43975</v>
      </c>
      <c r="I281" s="62">
        <v>1</v>
      </c>
      <c r="J281" s="77" t="s">
        <v>424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70">
        <v>1</v>
      </c>
      <c r="J282" s="77" t="s">
        <v>425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70">
        <v>1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75">
        <f>IF(G284&lt;&gt;"",SUBTOTAL(3,$G$6:G284),"")</f>
        <v>71</v>
      </c>
      <c r="C284" s="75"/>
      <c r="D284" s="75"/>
      <c r="E284" s="76" t="s">
        <v>139</v>
      </c>
      <c r="F284" s="76" t="s">
        <v>135</v>
      </c>
      <c r="G284" s="74" t="s">
        <v>193</v>
      </c>
      <c r="H284" s="61">
        <v>43977</v>
      </c>
      <c r="I284" s="62">
        <v>1</v>
      </c>
      <c r="J284" s="77" t="s">
        <v>426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99" t="str">
        <f>IF(G285&lt;&gt;"",SUBTOTAL(3,$G$6:G285),"")</f>
        <v/>
      </c>
      <c r="C285" s="75"/>
      <c r="D285" s="75"/>
      <c r="E285" s="76"/>
      <c r="F285" s="76"/>
      <c r="G285" s="74"/>
      <c r="H285" s="61"/>
      <c r="I285" s="70">
        <v>1</v>
      </c>
      <c r="J285" s="77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75">
        <f>IF(G286&lt;&gt;"",SUBTOTAL(3,$G$6:G286),"")</f>
        <v>72</v>
      </c>
      <c r="C286" s="75"/>
      <c r="D286" s="75"/>
      <c r="E286" s="76" t="s">
        <v>139</v>
      </c>
      <c r="F286" s="76" t="s">
        <v>135</v>
      </c>
      <c r="G286" s="74" t="s">
        <v>194</v>
      </c>
      <c r="H286" s="61">
        <v>43977</v>
      </c>
      <c r="I286" s="62">
        <v>1</v>
      </c>
      <c r="J286" s="77" t="s">
        <v>427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IF(G287&lt;&gt;"",SUBTOTAL(3,$G$6:G287),"")</f>
        <v/>
      </c>
      <c r="C287" s="75"/>
      <c r="D287" s="75"/>
      <c r="E287" s="76"/>
      <c r="F287" s="76"/>
      <c r="G287" s="74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75">
        <f>IF(G288&lt;&gt;"",SUBTOTAL(3,$G$6:G288),"")</f>
        <v>73</v>
      </c>
      <c r="C288" s="75"/>
      <c r="D288" s="75"/>
      <c r="E288" s="76" t="s">
        <v>139</v>
      </c>
      <c r="F288" s="76" t="s">
        <v>135</v>
      </c>
      <c r="G288" s="74" t="s">
        <v>195</v>
      </c>
      <c r="H288" s="61">
        <v>43977</v>
      </c>
      <c r="I288" s="62">
        <v>1</v>
      </c>
      <c r="J288" s="77" t="s">
        <v>459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IF(G289&lt;&gt;"",SUBTOTAL(3,$G$6:G289),"")</f>
        <v/>
      </c>
      <c r="C289" s="75"/>
      <c r="D289" s="75"/>
      <c r="E289" s="76"/>
      <c r="F289" s="76"/>
      <c r="G289" s="74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75">
        <f>IF(G290&lt;&gt;"",SUBTOTAL(3,$G$6:G290),"")</f>
        <v>74</v>
      </c>
      <c r="C290" s="75"/>
      <c r="D290" s="75"/>
      <c r="E290" s="76" t="s">
        <v>139</v>
      </c>
      <c r="F290" s="76" t="s">
        <v>135</v>
      </c>
      <c r="G290" s="74" t="s">
        <v>196</v>
      </c>
      <c r="H290" s="61">
        <v>43995</v>
      </c>
      <c r="I290" s="62">
        <v>1</v>
      </c>
      <c r="J290" s="77" t="s">
        <v>431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IF(G291&lt;&gt;"",SUBTOTAL(3,$G$6:G291),"")</f>
        <v/>
      </c>
      <c r="C291" s="75"/>
      <c r="D291" s="75"/>
      <c r="E291" s="76"/>
      <c r="F291" s="76"/>
      <c r="G291" s="74"/>
      <c r="H291" s="61"/>
      <c r="I291" s="70">
        <v>1</v>
      </c>
      <c r="J291" s="77" t="s">
        <v>432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IF(G292&lt;&gt;"",SUBTOTAL(3,$G$6:G292),"")</f>
        <v/>
      </c>
      <c r="C292" s="75"/>
      <c r="D292" s="75"/>
      <c r="E292" s="76"/>
      <c r="F292" s="76"/>
      <c r="G292" s="74"/>
      <c r="H292" s="61"/>
      <c r="I292" s="70">
        <v>1</v>
      </c>
      <c r="J292" s="77" t="s">
        <v>433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IF(G293&lt;&gt;"",SUBTOTAL(3,$G$6:G293),"")</f>
        <v/>
      </c>
      <c r="C293" s="75"/>
      <c r="D293" s="75"/>
      <c r="E293" s="76"/>
      <c r="F293" s="76"/>
      <c r="G293" s="74"/>
      <c r="H293" s="61"/>
      <c r="I293" s="70">
        <v>1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75">
        <f>IF(G294&lt;&gt;"",SUBTOTAL(3,$G$6:G294),"")</f>
        <v>75</v>
      </c>
      <c r="C294" s="75"/>
      <c r="D294" s="75"/>
      <c r="E294" s="76" t="s">
        <v>139</v>
      </c>
      <c r="F294" s="76" t="s">
        <v>135</v>
      </c>
      <c r="G294" s="74" t="s">
        <v>197</v>
      </c>
      <c r="H294" s="61">
        <v>43982</v>
      </c>
      <c r="I294" s="62">
        <v>1</v>
      </c>
      <c r="J294" s="77" t="s">
        <v>434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IF(G295&lt;&gt;"",SUBTOTAL(3,$G$6:G295),"")</f>
        <v/>
      </c>
      <c r="C295" s="75"/>
      <c r="D295" s="75"/>
      <c r="E295" s="76"/>
      <c r="F295" s="76"/>
      <c r="G295" s="74"/>
      <c r="H295" s="61"/>
      <c r="I295" s="70">
        <v>1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75">
        <f>IF(G296&lt;&gt;"",SUBTOTAL(3,$G$6:G296),"")</f>
        <v>76</v>
      </c>
      <c r="C296" s="75"/>
      <c r="D296" s="75"/>
      <c r="E296" s="76" t="s">
        <v>139</v>
      </c>
      <c r="F296" s="76" t="s">
        <v>135</v>
      </c>
      <c r="G296" s="74" t="s">
        <v>198</v>
      </c>
      <c r="H296" s="61">
        <v>43989</v>
      </c>
      <c r="I296" s="62">
        <v>1</v>
      </c>
      <c r="J296" s="77" t="s">
        <v>435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IF(G297&lt;&gt;"",SUBTOTAL(3,$G$6:G297),"")</f>
        <v/>
      </c>
      <c r="C297" s="75"/>
      <c r="D297" s="75"/>
      <c r="E297" s="76"/>
      <c r="F297" s="76"/>
      <c r="G297" s="74"/>
      <c r="H297" s="61"/>
      <c r="I297" s="70">
        <v>1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75">
        <f>IF(G298&lt;&gt;"",SUBTOTAL(3,$G$6:G298),"")</f>
        <v>77</v>
      </c>
      <c r="C298" s="75"/>
      <c r="D298" s="75"/>
      <c r="E298" s="76" t="s">
        <v>139</v>
      </c>
      <c r="F298" s="76" t="s">
        <v>135</v>
      </c>
      <c r="G298" s="74" t="s">
        <v>199</v>
      </c>
      <c r="H298" s="61">
        <v>43989</v>
      </c>
      <c r="I298" s="62">
        <v>0.5</v>
      </c>
      <c r="J298" s="77" t="s">
        <v>437</v>
      </c>
      <c r="K298" s="101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99" t="str">
        <f>IF(G299&lt;&gt;"",SUBTOTAL(3,$G$6:G299),"")</f>
        <v/>
      </c>
      <c r="C299" s="75"/>
      <c r="D299" s="75"/>
      <c r="E299" s="76"/>
      <c r="F299" s="76"/>
      <c r="G299" s="74"/>
      <c r="H299" s="61"/>
      <c r="I299" s="68">
        <v>0.5</v>
      </c>
      <c r="J299" s="77" t="s">
        <v>436</v>
      </c>
      <c r="K299" s="101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IF(G300&lt;&gt;"",SUBTOTAL(3,$G$6:G300),"")</f>
        <v/>
      </c>
      <c r="C300" s="75"/>
      <c r="D300" s="75"/>
      <c r="E300" s="76"/>
      <c r="F300" s="76"/>
      <c r="G300" s="74"/>
      <c r="H300" s="61"/>
      <c r="I300" s="68">
        <v>0.5</v>
      </c>
      <c r="J300" s="77" t="s">
        <v>438</v>
      </c>
      <c r="K300" s="101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IF(G301&lt;&gt;"",SUBTOTAL(3,$G$6:G301),"")</f>
        <v/>
      </c>
      <c r="C301" s="75"/>
      <c r="D301" s="75"/>
      <c r="E301" s="76"/>
      <c r="F301" s="76"/>
      <c r="G301" s="74"/>
      <c r="H301" s="61"/>
      <c r="I301" s="68">
        <v>0.5</v>
      </c>
      <c r="J301" s="77" t="s">
        <v>439</v>
      </c>
      <c r="K301" s="101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4"/>
      <c r="H302" s="61"/>
      <c r="I302" s="68">
        <v>0.5</v>
      </c>
      <c r="J302" s="77"/>
      <c r="K302" s="101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75">
        <f>IF(G303&lt;&gt;"",SUBTOTAL(3,$G$6:G303),"")</f>
        <v>78</v>
      </c>
      <c r="C303" s="75"/>
      <c r="D303" s="75"/>
      <c r="E303" s="76" t="s">
        <v>139</v>
      </c>
      <c r="F303" s="76" t="s">
        <v>135</v>
      </c>
      <c r="G303" s="74" t="s">
        <v>200</v>
      </c>
      <c r="H303" s="61">
        <v>43991</v>
      </c>
      <c r="I303" s="62">
        <v>1</v>
      </c>
      <c r="J303" s="77" t="s">
        <v>440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4"/>
      <c r="H304" s="61"/>
      <c r="I304" s="70">
        <v>1</v>
      </c>
      <c r="J304" s="77" t="s">
        <v>441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4"/>
      <c r="H305" s="61"/>
      <c r="I305" s="70">
        <v>1</v>
      </c>
      <c r="J305" s="77" t="s">
        <v>442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70">
        <v>1</v>
      </c>
      <c r="J306" s="77" t="s">
        <v>443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70">
        <v>1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75">
        <f>IF(G308&lt;&gt;"",SUBTOTAL(3,$G$6:G308),"")</f>
        <v>79</v>
      </c>
      <c r="C308" s="75"/>
      <c r="D308" s="75"/>
      <c r="E308" s="76" t="s">
        <v>139</v>
      </c>
      <c r="F308" s="76" t="s">
        <v>135</v>
      </c>
      <c r="G308" s="74" t="s">
        <v>201</v>
      </c>
      <c r="H308" s="61">
        <v>43991</v>
      </c>
      <c r="I308" s="62">
        <v>1</v>
      </c>
      <c r="J308" s="77" t="s">
        <v>491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IF(G309&lt;&gt;"",SUBTOTAL(3,$G$5:G309),"")</f>
        <v/>
      </c>
      <c r="C309" s="75"/>
      <c r="D309" s="75"/>
      <c r="E309" s="76"/>
      <c r="F309" s="76"/>
      <c r="G309" s="74"/>
      <c r="H309" s="61"/>
      <c r="I309" s="70">
        <v>1</v>
      </c>
      <c r="J309" s="77" t="s">
        <v>492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3.5" customHeight="1" x14ac:dyDescent="0.15">
      <c r="B310" s="99" t="str">
        <f>IF(G310&lt;&gt;"",SUBTOTAL(3,$G$5:G310),"")</f>
        <v/>
      </c>
      <c r="C310" s="75"/>
      <c r="D310" s="75"/>
      <c r="E310" s="76"/>
      <c r="F310" s="76"/>
      <c r="G310" s="74"/>
      <c r="H310" s="61"/>
      <c r="I310" s="70">
        <v>1</v>
      </c>
      <c r="J310" s="77" t="s">
        <v>493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99" t="str">
        <f>IF(G311&lt;&gt;"",SUBTOTAL(3,$G$5:G311),"")</f>
        <v/>
      </c>
      <c r="C311" s="75"/>
      <c r="D311" s="75"/>
      <c r="E311" s="76"/>
      <c r="F311" s="76"/>
      <c r="G311" s="74"/>
      <c r="H311" s="61"/>
      <c r="I311" s="70">
        <v>1</v>
      </c>
      <c r="J311" s="77" t="s">
        <v>490</v>
      </c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3.5" customHeight="1" x14ac:dyDescent="0.15">
      <c r="B312" s="99" t="str">
        <f>IF(G312&lt;&gt;"",SUBTOTAL(3,$G$5:G312),"")</f>
        <v/>
      </c>
      <c r="C312" s="75"/>
      <c r="D312" s="75"/>
      <c r="E312" s="76"/>
      <c r="F312" s="76"/>
      <c r="G312" s="74"/>
      <c r="H312" s="61"/>
      <c r="I312" s="70">
        <v>1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3.5" customHeight="1" x14ac:dyDescent="0.15">
      <c r="B313" s="75">
        <f>IF(G313&lt;&gt;"",SUBTOTAL(3,$G$6:G313),"")</f>
        <v>80</v>
      </c>
      <c r="C313" s="75"/>
      <c r="D313" s="75"/>
      <c r="E313" s="76" t="s">
        <v>139</v>
      </c>
      <c r="F313" s="76" t="s">
        <v>135</v>
      </c>
      <c r="G313" s="74" t="s">
        <v>444</v>
      </c>
      <c r="H313" s="61">
        <v>43992</v>
      </c>
      <c r="I313" s="62">
        <v>0.8</v>
      </c>
      <c r="J313" s="77" t="s">
        <v>446</v>
      </c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99" t="str">
        <f>IF(G314&lt;&gt;"",SUBTOTAL(3,$G$6:G314),"")</f>
        <v/>
      </c>
      <c r="C314" s="75"/>
      <c r="D314" s="75"/>
      <c r="E314" s="76"/>
      <c r="F314" s="76"/>
      <c r="G314" s="74"/>
      <c r="H314" s="61"/>
      <c r="I314" s="68">
        <v>0.8</v>
      </c>
      <c r="J314" s="77" t="s">
        <v>445</v>
      </c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3.5" customHeight="1" x14ac:dyDescent="0.15">
      <c r="B315" s="99" t="str">
        <f>IF(G315&lt;&gt;"",SUBTOTAL(3,$G$6:G315),"")</f>
        <v/>
      </c>
      <c r="C315" s="75"/>
      <c r="D315" s="75"/>
      <c r="E315" s="76"/>
      <c r="F315" s="76"/>
      <c r="G315" s="74"/>
      <c r="H315" s="61"/>
      <c r="I315" s="68">
        <v>0.8</v>
      </c>
      <c r="J315" s="77" t="s">
        <v>447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3.5" customHeight="1" x14ac:dyDescent="0.15">
      <c r="B316" s="99" t="str">
        <f>IF(G316&lt;&gt;"",SUBTOTAL(3,$G$6:G316),"")</f>
        <v/>
      </c>
      <c r="C316" s="75"/>
      <c r="D316" s="75"/>
      <c r="E316" s="76"/>
      <c r="F316" s="76"/>
      <c r="G316" s="74"/>
      <c r="H316" s="61"/>
      <c r="I316" s="68">
        <v>0.8</v>
      </c>
      <c r="J316" s="77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>
        <f>IF(G317&lt;&gt;"",SUBTOTAL(3,$G$6:G317),"")</f>
        <v>81</v>
      </c>
      <c r="C317" s="75"/>
      <c r="D317" s="75"/>
      <c r="E317" s="76" t="s">
        <v>139</v>
      </c>
      <c r="F317" s="76" t="s">
        <v>135</v>
      </c>
      <c r="G317" s="74" t="s">
        <v>202</v>
      </c>
      <c r="H317" s="61">
        <v>43994</v>
      </c>
      <c r="I317" s="62">
        <v>0.8</v>
      </c>
      <c r="J317" s="77" t="s">
        <v>312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4"/>
      <c r="H318" s="61"/>
      <c r="I318" s="68">
        <v>0.8</v>
      </c>
      <c r="J318" s="77" t="s">
        <v>313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4"/>
      <c r="H319" s="61"/>
      <c r="I319" s="68">
        <v>0.8</v>
      </c>
      <c r="J319" s="77" t="s">
        <v>314</v>
      </c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4"/>
      <c r="H320" s="61"/>
      <c r="I320" s="68">
        <v>0.8</v>
      </c>
      <c r="J320" s="77" t="s">
        <v>315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4"/>
      <c r="H321" s="61"/>
      <c r="I321" s="68">
        <v>0.8</v>
      </c>
      <c r="J321" s="77" t="s">
        <v>316</v>
      </c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4"/>
      <c r="H322" s="61"/>
      <c r="I322" s="68">
        <v>0.8</v>
      </c>
      <c r="J322" s="77" t="s">
        <v>317</v>
      </c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4"/>
      <c r="H323" s="61"/>
      <c r="I323" s="68">
        <v>0.8</v>
      </c>
      <c r="J323" s="77" t="s">
        <v>318</v>
      </c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4"/>
      <c r="H324" s="61"/>
      <c r="I324" s="68">
        <v>0.8</v>
      </c>
      <c r="J324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4"/>
      <c r="H325" s="61"/>
      <c r="I325" s="68">
        <v>0.8</v>
      </c>
      <c r="J325" s="37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9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75">
        <f>IF(G326&lt;&gt;"",SUBTOTAL(3,$G$6:G326),"")</f>
        <v>82</v>
      </c>
      <c r="C326" s="75"/>
      <c r="D326" s="75"/>
      <c r="E326" s="76" t="s">
        <v>139</v>
      </c>
      <c r="F326" s="76" t="s">
        <v>135</v>
      </c>
      <c r="G326" s="74" t="s">
        <v>203</v>
      </c>
      <c r="H326" s="61">
        <v>43995</v>
      </c>
      <c r="I326" s="62">
        <v>1</v>
      </c>
      <c r="J326" s="77" t="s">
        <v>487</v>
      </c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IF(G327&lt;&gt;"",SUBTOTAL(3,$G$5:G327),"")</f>
        <v/>
      </c>
      <c r="C327" s="75"/>
      <c r="D327" s="75"/>
      <c r="E327" s="76"/>
      <c r="F327" s="76"/>
      <c r="G327" s="74"/>
      <c r="H327" s="61"/>
      <c r="I327" s="70">
        <v>1</v>
      </c>
      <c r="J327" s="77" t="s">
        <v>488</v>
      </c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4"/>
      <c r="H328" s="61"/>
      <c r="I328" s="70">
        <v>1</v>
      </c>
      <c r="J328" s="77" t="s">
        <v>489</v>
      </c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99" t="str">
        <f>IF(G329&lt;&gt;"",SUBTOTAL(3,$G$6:G329),"")</f>
        <v/>
      </c>
      <c r="C329" s="75"/>
      <c r="D329" s="75"/>
      <c r="E329" s="76"/>
      <c r="F329" s="76"/>
      <c r="G329" s="74"/>
      <c r="H329" s="61"/>
      <c r="I329" s="70">
        <v>1</v>
      </c>
      <c r="J329" s="77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>
        <f>IF(G330&lt;&gt;"",SUBTOTAL(3,$G$6:G330),"")</f>
        <v>83</v>
      </c>
      <c r="C330" s="75"/>
      <c r="D330" s="75"/>
      <c r="E330" s="76" t="s">
        <v>139</v>
      </c>
      <c r="F330" s="76" t="s">
        <v>135</v>
      </c>
      <c r="G330" s="74" t="s">
        <v>204</v>
      </c>
      <c r="H330" s="61">
        <v>43997</v>
      </c>
      <c r="I330" s="62">
        <v>1</v>
      </c>
      <c r="J330" s="77" t="s">
        <v>384</v>
      </c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 t="s">
        <v>320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4"/>
      <c r="H331" s="61"/>
      <c r="I331" s="70">
        <v>1</v>
      </c>
      <c r="J331" s="77" t="s">
        <v>383</v>
      </c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 t="s">
        <v>385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4"/>
      <c r="H332" s="61"/>
      <c r="I332" s="70">
        <v>1</v>
      </c>
      <c r="J332" s="77" t="s">
        <v>319</v>
      </c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 t="s">
        <v>386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75">
        <f>IF(G333&lt;&gt;"",SUBTOTAL(3,$G$6:G333),"")</f>
        <v>84</v>
      </c>
      <c r="C333" s="75"/>
      <c r="D333" s="75"/>
      <c r="E333" s="76" t="s">
        <v>139</v>
      </c>
      <c r="F333" s="76" t="s">
        <v>135</v>
      </c>
      <c r="G333" s="74" t="s">
        <v>205</v>
      </c>
      <c r="H333" s="61">
        <v>44004</v>
      </c>
      <c r="I333" s="62">
        <v>0.5</v>
      </c>
      <c r="J333" s="77" t="s">
        <v>476</v>
      </c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3.5" customHeight="1" x14ac:dyDescent="0.15">
      <c r="B334" s="99" t="str">
        <f>IF(G334&lt;&gt;"",SUBTOTAL(3,$G$6:G334),"")</f>
        <v/>
      </c>
      <c r="C334" s="75"/>
      <c r="D334" s="75"/>
      <c r="E334" s="76"/>
      <c r="F334" s="76"/>
      <c r="G334" s="74"/>
      <c r="H334" s="61"/>
      <c r="I334" s="68">
        <v>0.5</v>
      </c>
      <c r="J334" s="77" t="s">
        <v>477</v>
      </c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ht="13.5" customHeight="1" x14ac:dyDescent="0.15">
      <c r="B335" s="99" t="str">
        <f>IF(G335&lt;&gt;"",SUBTOTAL(3,$G$6:G335),"")</f>
        <v/>
      </c>
      <c r="C335" s="75"/>
      <c r="D335" s="75"/>
      <c r="E335" s="76"/>
      <c r="F335" s="76"/>
      <c r="G335" s="74"/>
      <c r="H335" s="61"/>
      <c r="I335" s="68">
        <v>0.5</v>
      </c>
      <c r="J335" s="77" t="s">
        <v>474</v>
      </c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3.5" customHeight="1" x14ac:dyDescent="0.15">
      <c r="B336" s="99" t="str">
        <f>IF(G336&lt;&gt;"",SUBTOTAL(3,$G$6:G336),"")</f>
        <v/>
      </c>
      <c r="C336" s="75"/>
      <c r="D336" s="75"/>
      <c r="E336" s="76"/>
      <c r="F336" s="76"/>
      <c r="G336" s="74"/>
      <c r="H336" s="61"/>
      <c r="I336" s="68">
        <v>0.5</v>
      </c>
      <c r="J336" s="77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ht="13.5" customHeight="1" x14ac:dyDescent="0.15">
      <c r="B337" s="99" t="str">
        <f>IF(G337&lt;&gt;"",SUBTOTAL(3,$G$6:G337),"")</f>
        <v/>
      </c>
      <c r="C337" s="75"/>
      <c r="D337" s="75"/>
      <c r="E337" s="76"/>
      <c r="F337" s="76"/>
      <c r="G337" s="74"/>
      <c r="H337" s="61"/>
      <c r="I337" s="68">
        <v>0.5</v>
      </c>
      <c r="J337" s="77" t="s">
        <v>483</v>
      </c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ht="13.5" customHeight="1" x14ac:dyDescent="0.15">
      <c r="B338" s="99" t="str">
        <f>IF(G338&lt;&gt;"",SUBTOTAL(3,$G$6:G338),"")</f>
        <v/>
      </c>
      <c r="C338" s="75"/>
      <c r="D338" s="75"/>
      <c r="E338" s="76"/>
      <c r="F338" s="76"/>
      <c r="G338" s="74"/>
      <c r="H338" s="61"/>
      <c r="I338" s="68">
        <v>0.5</v>
      </c>
      <c r="J338" s="77" t="s">
        <v>484</v>
      </c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3.5" customHeight="1" x14ac:dyDescent="0.15">
      <c r="B339" s="99" t="str">
        <f>IF(G339&lt;&gt;"",SUBTOTAL(3,$G$6:G339),"")</f>
        <v/>
      </c>
      <c r="C339" s="75"/>
      <c r="D339" s="75"/>
      <c r="E339" s="76"/>
      <c r="F339" s="76"/>
      <c r="G339" s="74"/>
      <c r="H339" s="61"/>
      <c r="I339" s="68">
        <v>0.5</v>
      </c>
      <c r="J339" s="77" t="s">
        <v>480</v>
      </c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3.5" customHeight="1" x14ac:dyDescent="0.15">
      <c r="B340" s="99" t="str">
        <f>IF(G340&lt;&gt;"",SUBTOTAL(3,$G$6:G340),"")</f>
        <v/>
      </c>
      <c r="C340" s="75"/>
      <c r="D340" s="75"/>
      <c r="E340" s="76"/>
      <c r="F340" s="76"/>
      <c r="G340" s="74"/>
      <c r="H340" s="61"/>
      <c r="I340" s="68">
        <v>0.5</v>
      </c>
      <c r="J340" s="77"/>
      <c r="K340" s="43" t="s">
        <v>481</v>
      </c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3.5" customHeight="1" x14ac:dyDescent="0.15">
      <c r="B341" s="99" t="str">
        <f>IF(G341&lt;&gt;"",SUBTOTAL(3,$G$6:G341),"")</f>
        <v/>
      </c>
      <c r="C341" s="75"/>
      <c r="D341" s="75"/>
      <c r="E341" s="76"/>
      <c r="F341" s="76"/>
      <c r="G341" s="74"/>
      <c r="H341" s="61"/>
      <c r="I341" s="68">
        <v>0.5</v>
      </c>
      <c r="J341" s="77"/>
      <c r="K341" s="43" t="s">
        <v>482</v>
      </c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3.5" customHeight="1" x14ac:dyDescent="0.15">
      <c r="B342" s="99" t="str">
        <f>IF(G342&lt;&gt;"",SUBTOTAL(3,$G$6:G342),"")</f>
        <v/>
      </c>
      <c r="C342" s="75"/>
      <c r="D342" s="75"/>
      <c r="E342" s="76"/>
      <c r="F342" s="76"/>
      <c r="G342" s="74"/>
      <c r="H342" s="61"/>
      <c r="I342" s="68">
        <v>0.5</v>
      </c>
      <c r="J342" s="77"/>
      <c r="K342" s="43" t="s">
        <v>475</v>
      </c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3.5" customHeight="1" x14ac:dyDescent="0.15">
      <c r="B343" s="99" t="str">
        <f>IF(G343&lt;&gt;"",SUBTOTAL(3,$G$6:G343),"")</f>
        <v/>
      </c>
      <c r="C343" s="75"/>
      <c r="D343" s="75"/>
      <c r="E343" s="76"/>
      <c r="F343" s="76"/>
      <c r="G343" s="74"/>
      <c r="H343" s="61"/>
      <c r="I343" s="68">
        <v>0.5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ht="13.5" customHeight="1" x14ac:dyDescent="0.15">
      <c r="B344" s="99" t="str">
        <f>IF(G344&lt;&gt;"",SUBTOTAL(3,$G$6:G344),"")</f>
        <v/>
      </c>
      <c r="C344" s="75"/>
      <c r="D344" s="75"/>
      <c r="E344" s="76"/>
      <c r="F344" s="76"/>
      <c r="G344" s="74"/>
      <c r="H344" s="61"/>
      <c r="I344" s="68">
        <v>0.5</v>
      </c>
      <c r="J344" s="77"/>
      <c r="K344" s="43" t="s">
        <v>478</v>
      </c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ht="13.5" customHeight="1" x14ac:dyDescent="0.15">
      <c r="B345" s="99" t="str">
        <f>IF(G345&lt;&gt;"",SUBTOTAL(3,$G$6:G345),"")</f>
        <v/>
      </c>
      <c r="C345" s="75"/>
      <c r="D345" s="75"/>
      <c r="E345" s="76"/>
      <c r="F345" s="76"/>
      <c r="G345" s="74"/>
      <c r="H345" s="61"/>
      <c r="I345" s="68">
        <v>0.5</v>
      </c>
      <c r="J345" s="77"/>
      <c r="K345" s="43" t="s">
        <v>479</v>
      </c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ht="13.5" customHeight="1" x14ac:dyDescent="0.15">
      <c r="B346" s="99" t="str">
        <f>IF(G346&lt;&gt;"",SUBTOTAL(3,$G$6:G346),"")</f>
        <v/>
      </c>
      <c r="C346" s="75"/>
      <c r="D346" s="75"/>
      <c r="E346" s="76"/>
      <c r="F346" s="76"/>
      <c r="G346" s="74"/>
      <c r="H346" s="61"/>
      <c r="I346" s="68">
        <v>0.5</v>
      </c>
      <c r="J346" s="77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77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>
        <f>IF(G347&lt;&gt;"",SUBTOTAL(3,$G$6:G347),"")</f>
        <v>85</v>
      </c>
      <c r="C347" s="75"/>
      <c r="D347" s="75"/>
      <c r="E347" s="76" t="s">
        <v>139</v>
      </c>
      <c r="F347" s="76" t="s">
        <v>142</v>
      </c>
      <c r="G347" s="76" t="s">
        <v>206</v>
      </c>
      <c r="H347" s="61">
        <v>44030</v>
      </c>
      <c r="I347" s="62">
        <v>1</v>
      </c>
      <c r="J347" s="77" t="s">
        <v>321</v>
      </c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 t="s">
        <v>387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77" t="s">
        <v>322</v>
      </c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77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77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77" t="s">
        <v>388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77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 t="s">
        <v>323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ht="15.75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77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 t="s">
        <v>350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70">
        <v>1</v>
      </c>
      <c r="J352" s="77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77" t="s">
        <v>389</v>
      </c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77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 t="s">
        <v>390</v>
      </c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77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77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x14ac:dyDescent="0.15">
      <c r="B355" s="75">
        <f>IF(G355&lt;&gt;"",SUBTOTAL(3,$G$6:G355),"")</f>
        <v>86</v>
      </c>
      <c r="C355" s="75"/>
      <c r="D355" s="75"/>
      <c r="E355" s="76" t="s">
        <v>139</v>
      </c>
      <c r="F355" s="76" t="s">
        <v>142</v>
      </c>
      <c r="G355" s="76" t="s">
        <v>213</v>
      </c>
      <c r="H355" s="61">
        <v>44052</v>
      </c>
      <c r="I355" s="62">
        <v>0.5</v>
      </c>
      <c r="J355" s="77" t="s">
        <v>324</v>
      </c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77" t="s">
        <v>392</v>
      </c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x14ac:dyDescent="0.15">
      <c r="B356" s="99" t="str">
        <f>IF(G356&lt;&gt;"",SUBTOTAL(3,$G$6:G356),"")</f>
        <v/>
      </c>
      <c r="C356" s="75"/>
      <c r="D356" s="75"/>
      <c r="E356" s="76"/>
      <c r="F356" s="76"/>
      <c r="G356" s="76"/>
      <c r="H356" s="61"/>
      <c r="I356" s="68">
        <v>0.5</v>
      </c>
      <c r="J356" s="77" t="s">
        <v>351</v>
      </c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77" t="s">
        <v>391</v>
      </c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99" t="str">
        <f>IF(G357&lt;&gt;"",SUBTOTAL(3,$G$6:G357),"")</f>
        <v/>
      </c>
      <c r="C357" s="75"/>
      <c r="D357" s="75"/>
      <c r="E357" s="76"/>
      <c r="F357" s="76"/>
      <c r="G357" s="76"/>
      <c r="H357" s="61"/>
      <c r="I357" s="68">
        <v>0.5</v>
      </c>
      <c r="J357" s="77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77" t="s">
        <v>393</v>
      </c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99" t="str">
        <f>IF(G358&lt;&gt;"",SUBTOTAL(3,$G$6:G358),"")</f>
        <v/>
      </c>
      <c r="C358" s="75"/>
      <c r="D358" s="75"/>
      <c r="E358" s="76"/>
      <c r="F358" s="76"/>
      <c r="G358" s="76"/>
      <c r="H358" s="61"/>
      <c r="I358" s="68">
        <v>0.5</v>
      </c>
      <c r="J358" s="77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77" t="s">
        <v>394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99" t="str">
        <f>IF(G359&lt;&gt;"",SUBTOTAL(3,$G$6:G359),"")</f>
        <v/>
      </c>
      <c r="C359" s="75"/>
      <c r="D359" s="75"/>
      <c r="E359" s="76"/>
      <c r="F359" s="76"/>
      <c r="G359" s="76"/>
      <c r="H359" s="61"/>
      <c r="I359" s="68">
        <v>0.5</v>
      </c>
      <c r="J359" s="77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77" t="s">
        <v>396</v>
      </c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68">
        <v>0.5</v>
      </c>
      <c r="J360" s="77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77" t="s">
        <v>395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68">
        <v>0.5</v>
      </c>
      <c r="J361" s="77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77" t="s">
        <v>397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68">
        <v>0.5</v>
      </c>
      <c r="J362" s="77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77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68">
        <v>0.5</v>
      </c>
      <c r="J363" s="77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77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ht="13.5" customHeight="1" x14ac:dyDescent="0.15">
      <c r="B364" s="75">
        <f>IF(G364&lt;&gt;"",SUBTOTAL(3,$G$6:G364),"")</f>
        <v>87</v>
      </c>
      <c r="C364" s="75"/>
      <c r="D364" s="75"/>
      <c r="E364" s="76" t="s">
        <v>139</v>
      </c>
      <c r="F364" s="76" t="s">
        <v>142</v>
      </c>
      <c r="G364" s="76" t="s">
        <v>220</v>
      </c>
      <c r="H364" s="61">
        <v>44062</v>
      </c>
      <c r="I364" s="62">
        <v>1</v>
      </c>
      <c r="J364" s="77" t="s">
        <v>468</v>
      </c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77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ht="13.5" customHeight="1" x14ac:dyDescent="0.15">
      <c r="B365" s="99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77" t="s">
        <v>469</v>
      </c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77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ht="13.5" customHeight="1" x14ac:dyDescent="0.15">
      <c r="B366" s="99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77" t="s">
        <v>470</v>
      </c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77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ht="13.5" customHeight="1" x14ac:dyDescent="0.15">
      <c r="B367" s="99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77" t="s">
        <v>471</v>
      </c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77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ht="13.5" customHeight="1" x14ac:dyDescent="0.15">
      <c r="B368" s="99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77" t="s">
        <v>472</v>
      </c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77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ht="13.5" customHeight="1" x14ac:dyDescent="0.15">
      <c r="B369" s="99" t="str">
        <f>IF(G369&lt;&gt;"",SUBTOTAL(3,$G$6:G369),"")</f>
        <v/>
      </c>
      <c r="C369" s="75"/>
      <c r="D369" s="75"/>
      <c r="E369" s="76"/>
      <c r="F369" s="76"/>
      <c r="G369" s="76"/>
      <c r="H369" s="61"/>
      <c r="I369" s="70">
        <v>1</v>
      </c>
      <c r="J369" s="77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77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ht="13.5" customHeight="1" x14ac:dyDescent="0.15">
      <c r="B370" s="75">
        <f>IF(G370&lt;&gt;"",SUBTOTAL(3,$G$6:G370),"")</f>
        <v>88</v>
      </c>
      <c r="C370" s="75"/>
      <c r="D370" s="75"/>
      <c r="E370" s="76" t="s">
        <v>139</v>
      </c>
      <c r="F370" s="76" t="s">
        <v>142</v>
      </c>
      <c r="G370" s="76" t="s">
        <v>221</v>
      </c>
      <c r="H370" s="61">
        <v>44071</v>
      </c>
      <c r="I370" s="62">
        <v>1</v>
      </c>
      <c r="J370" s="77" t="s">
        <v>467</v>
      </c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78"/>
      <c r="AS370" s="77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ht="13.5" customHeight="1" x14ac:dyDescent="0.15">
      <c r="B371" s="99" t="str">
        <f>IF(G371&lt;&gt;"",SUBTOTAL(3,$G$6:G371),"")</f>
        <v/>
      </c>
      <c r="C371" s="75"/>
      <c r="D371" s="75"/>
      <c r="E371" s="76"/>
      <c r="F371" s="76"/>
      <c r="G371" s="76"/>
      <c r="H371" s="61"/>
      <c r="I371" s="70">
        <v>1</v>
      </c>
      <c r="J371" s="77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78"/>
      <c r="AS371" s="77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x14ac:dyDescent="0.15">
      <c r="B372" s="75">
        <f>IF(G372&lt;&gt;"",SUBTOTAL(3,$G$6:G372),"")</f>
        <v>89</v>
      </c>
      <c r="C372" s="75"/>
      <c r="D372" s="75"/>
      <c r="E372" s="76" t="s">
        <v>139</v>
      </c>
      <c r="F372" s="76" t="s">
        <v>142</v>
      </c>
      <c r="G372" s="76" t="s">
        <v>225</v>
      </c>
      <c r="H372" s="61">
        <v>44073</v>
      </c>
      <c r="I372" s="62">
        <v>1</v>
      </c>
      <c r="J372" s="95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95" t="s">
        <v>335</v>
      </c>
      <c r="AT372" s="43" t="s">
        <v>336</v>
      </c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x14ac:dyDescent="0.15">
      <c r="B373" s="75" t="str">
        <f>IF(G373&lt;&gt;"",SUBTOTAL(3,$G$6:G373),"")</f>
        <v/>
      </c>
      <c r="C373" s="75"/>
      <c r="D373" s="75"/>
      <c r="E373" s="76"/>
      <c r="F373" s="76"/>
      <c r="G373" s="76"/>
      <c r="H373" s="61"/>
      <c r="I373" s="70">
        <v>1</v>
      </c>
      <c r="J373" s="96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78"/>
      <c r="AS373" s="96" t="s">
        <v>325</v>
      </c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70">
        <v>1</v>
      </c>
      <c r="J374" s="96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78"/>
      <c r="AS374" s="96" t="s">
        <v>326</v>
      </c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70">
        <v>1</v>
      </c>
      <c r="J375" s="96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78"/>
      <c r="AS375" s="96" t="s">
        <v>327</v>
      </c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s="46" customFormat="1" x14ac:dyDescent="0.15">
      <c r="B376" s="75" t="str">
        <f>IF(G376&lt;&gt;"",SUBTOTAL(3,$G$6:G376),"")</f>
        <v/>
      </c>
      <c r="C376" s="75"/>
      <c r="D376" s="75"/>
      <c r="E376" s="76"/>
      <c r="F376" s="76"/>
      <c r="G376" s="76"/>
      <c r="H376" s="61"/>
      <c r="I376" s="70">
        <v>1</v>
      </c>
      <c r="J376" s="96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78"/>
      <c r="AS376" s="96" t="s">
        <v>328</v>
      </c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78"/>
      <c r="CB376" s="74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</row>
    <row r="377" spans="2:130" s="46" customFormat="1" x14ac:dyDescent="0.15">
      <c r="B377" s="75" t="str">
        <f>IF(G377&lt;&gt;"",SUBTOTAL(3,$G$6:G377),"")</f>
        <v/>
      </c>
      <c r="C377" s="75"/>
      <c r="D377" s="75"/>
      <c r="E377" s="76"/>
      <c r="F377" s="76"/>
      <c r="G377" s="76"/>
      <c r="H377" s="61"/>
      <c r="I377" s="70">
        <v>1</v>
      </c>
      <c r="J377" s="96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78"/>
      <c r="AS377" s="96" t="s">
        <v>340</v>
      </c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78"/>
      <c r="CB377" s="74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</row>
    <row r="378" spans="2:130" s="46" customFormat="1" x14ac:dyDescent="0.15">
      <c r="B378" s="75" t="str">
        <f>IF(G378&lt;&gt;"",SUBTOTAL(3,$G$6:G378),"")</f>
        <v/>
      </c>
      <c r="C378" s="75"/>
      <c r="D378" s="75"/>
      <c r="E378" s="76"/>
      <c r="F378" s="76"/>
      <c r="G378" s="76"/>
      <c r="H378" s="61"/>
      <c r="I378" s="70">
        <v>1</v>
      </c>
      <c r="J378" s="96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78"/>
      <c r="AS378" s="96" t="s">
        <v>329</v>
      </c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78"/>
      <c r="CB378" s="74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</row>
    <row r="379" spans="2:130" s="46" customFormat="1" x14ac:dyDescent="0.15">
      <c r="B379" s="75" t="str">
        <f>IF(G379&lt;&gt;"",SUBTOTAL(3,$G$6:G379),"")</f>
        <v/>
      </c>
      <c r="C379" s="75"/>
      <c r="D379" s="75"/>
      <c r="E379" s="76"/>
      <c r="F379" s="76"/>
      <c r="G379" s="76"/>
      <c r="H379" s="61"/>
      <c r="I379" s="70">
        <v>1</v>
      </c>
      <c r="J379" s="96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78"/>
      <c r="AS379" s="96" t="s">
        <v>330</v>
      </c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78"/>
      <c r="CB379" s="74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</row>
    <row r="380" spans="2:130" s="46" customFormat="1" x14ac:dyDescent="0.15">
      <c r="B380" s="75" t="str">
        <f>IF(G380&lt;&gt;"",SUBTOTAL(3,$G$6:G380),"")</f>
        <v/>
      </c>
      <c r="C380" s="75"/>
      <c r="D380" s="75"/>
      <c r="E380" s="76"/>
      <c r="F380" s="76"/>
      <c r="G380" s="76"/>
      <c r="H380" s="61"/>
      <c r="I380" s="70">
        <v>1</v>
      </c>
      <c r="J380" s="95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78"/>
      <c r="AS380" s="95" t="s">
        <v>335</v>
      </c>
      <c r="AT380" s="43" t="s">
        <v>337</v>
      </c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78"/>
      <c r="CB380" s="74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</row>
    <row r="381" spans="2:130" s="46" customFormat="1" x14ac:dyDescent="0.15">
      <c r="B381" s="75" t="str">
        <f>IF(G381&lt;&gt;"",SUBTOTAL(3,$G$6:G381),"")</f>
        <v/>
      </c>
      <c r="C381" s="75"/>
      <c r="D381" s="75"/>
      <c r="E381" s="76"/>
      <c r="F381" s="76"/>
      <c r="G381" s="76"/>
      <c r="H381" s="61"/>
      <c r="I381" s="70">
        <v>1</v>
      </c>
      <c r="J381" s="77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78"/>
      <c r="AS381" s="77" t="s">
        <v>341</v>
      </c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78"/>
      <c r="CB381" s="74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</row>
    <row r="382" spans="2:130" s="46" customFormat="1" x14ac:dyDescent="0.15">
      <c r="B382" s="75" t="str">
        <f>IF(G382&lt;&gt;"",SUBTOTAL(3,$G$6:G382),"")</f>
        <v/>
      </c>
      <c r="C382" s="75"/>
      <c r="D382" s="75"/>
      <c r="E382" s="76"/>
      <c r="F382" s="76"/>
      <c r="G382" s="76"/>
      <c r="H382" s="61"/>
      <c r="I382" s="70">
        <v>1</v>
      </c>
      <c r="J382" s="77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78"/>
      <c r="AS382" s="77" t="s">
        <v>342</v>
      </c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78"/>
      <c r="CB382" s="74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</row>
    <row r="383" spans="2:130" s="46" customFormat="1" x14ac:dyDescent="0.15">
      <c r="B383" s="75" t="str">
        <f>IF(G383&lt;&gt;"",SUBTOTAL(3,$G$6:G383),"")</f>
        <v/>
      </c>
      <c r="C383" s="75"/>
      <c r="D383" s="75"/>
      <c r="E383" s="76"/>
      <c r="F383" s="76"/>
      <c r="G383" s="76"/>
      <c r="H383" s="61"/>
      <c r="I383" s="70">
        <v>1</v>
      </c>
      <c r="J383" s="96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78"/>
      <c r="AS383" s="96" t="s">
        <v>325</v>
      </c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78"/>
      <c r="CB383" s="74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</row>
    <row r="384" spans="2:130" s="46" customFormat="1" x14ac:dyDescent="0.15">
      <c r="B384" s="75" t="str">
        <f>IF(G384&lt;&gt;"",SUBTOTAL(3,$G$6:G384),"")</f>
        <v/>
      </c>
      <c r="C384" s="75"/>
      <c r="D384" s="75"/>
      <c r="E384" s="76"/>
      <c r="F384" s="76"/>
      <c r="G384" s="76"/>
      <c r="H384" s="61"/>
      <c r="I384" s="70">
        <v>1</v>
      </c>
      <c r="J384" s="96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78"/>
      <c r="AS384" s="96" t="s">
        <v>326</v>
      </c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78"/>
      <c r="CB384" s="74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</row>
    <row r="385" spans="2:130" s="46" customFormat="1" x14ac:dyDescent="0.15">
      <c r="B385" s="75" t="str">
        <f>IF(G385&lt;&gt;"",SUBTOTAL(3,$G$6:G385),"")</f>
        <v/>
      </c>
      <c r="C385" s="75"/>
      <c r="D385" s="75"/>
      <c r="E385" s="76"/>
      <c r="F385" s="76"/>
      <c r="G385" s="76"/>
      <c r="H385" s="61"/>
      <c r="I385" s="70">
        <v>1</v>
      </c>
      <c r="J385" s="96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78"/>
      <c r="AS385" s="96" t="s">
        <v>327</v>
      </c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78"/>
      <c r="CB385" s="74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</row>
    <row r="386" spans="2:130" s="46" customFormat="1" x14ac:dyDescent="0.15">
      <c r="B386" s="75" t="str">
        <f>IF(G386&lt;&gt;"",SUBTOTAL(3,$G$6:G386),"")</f>
        <v/>
      </c>
      <c r="C386" s="75"/>
      <c r="D386" s="75"/>
      <c r="E386" s="76"/>
      <c r="F386" s="76"/>
      <c r="G386" s="76"/>
      <c r="H386" s="61"/>
      <c r="I386" s="70">
        <v>1</v>
      </c>
      <c r="J386" s="96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78"/>
      <c r="AS386" s="96" t="s">
        <v>328</v>
      </c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78"/>
      <c r="CB386" s="74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</row>
    <row r="387" spans="2:130" s="46" customFormat="1" x14ac:dyDescent="0.15">
      <c r="B387" s="75" t="str">
        <f>IF(G387&lt;&gt;"",SUBTOTAL(3,$G$6:G387),"")</f>
        <v/>
      </c>
      <c r="C387" s="75"/>
      <c r="D387" s="75"/>
      <c r="E387" s="76"/>
      <c r="F387" s="76"/>
      <c r="G387" s="76"/>
      <c r="H387" s="61"/>
      <c r="I387" s="70">
        <v>1</v>
      </c>
      <c r="J387" s="96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78"/>
      <c r="AS387" s="96" t="s">
        <v>343</v>
      </c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78"/>
      <c r="CB387" s="74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</row>
    <row r="388" spans="2:130" s="46" customFormat="1" x14ac:dyDescent="0.15">
      <c r="B388" s="75" t="str">
        <f>IF(G388&lt;&gt;"",SUBTOTAL(3,$G$6:G388),"")</f>
        <v/>
      </c>
      <c r="C388" s="75"/>
      <c r="D388" s="75"/>
      <c r="E388" s="76"/>
      <c r="F388" s="76"/>
      <c r="G388" s="76"/>
      <c r="H388" s="61"/>
      <c r="I388" s="70">
        <v>1</v>
      </c>
      <c r="J388" s="96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78"/>
      <c r="AS388" s="96" t="s">
        <v>331</v>
      </c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78"/>
      <c r="CB388" s="74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</row>
    <row r="389" spans="2:130" s="46" customFormat="1" x14ac:dyDescent="0.15">
      <c r="B389" s="75" t="str">
        <f>IF(G389&lt;&gt;"",SUBTOTAL(3,$G$6:G389),"")</f>
        <v/>
      </c>
      <c r="C389" s="75"/>
      <c r="D389" s="75"/>
      <c r="E389" s="76"/>
      <c r="F389" s="76"/>
      <c r="G389" s="76"/>
      <c r="H389" s="61"/>
      <c r="I389" s="70">
        <v>1</v>
      </c>
      <c r="J389" s="96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78"/>
      <c r="AS389" s="96" t="s">
        <v>329</v>
      </c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78"/>
      <c r="CB389" s="74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</row>
    <row r="390" spans="2:130" s="46" customFormat="1" x14ac:dyDescent="0.15">
      <c r="B390" s="75" t="str">
        <f>IF(G390&lt;&gt;"",SUBTOTAL(3,$G$6:G390),"")</f>
        <v/>
      </c>
      <c r="C390" s="75"/>
      <c r="D390" s="75"/>
      <c r="E390" s="76"/>
      <c r="F390" s="76"/>
      <c r="G390" s="76"/>
      <c r="H390" s="61"/>
      <c r="I390" s="70">
        <v>1</v>
      </c>
      <c r="J390" s="96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78"/>
      <c r="AS390" s="96" t="s">
        <v>330</v>
      </c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78"/>
      <c r="CB390" s="74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</row>
    <row r="391" spans="2:130" s="46" customFormat="1" x14ac:dyDescent="0.15">
      <c r="B391" s="75" t="str">
        <f>IF(G391&lt;&gt;"",SUBTOTAL(3,$G$6:G391),"")</f>
        <v/>
      </c>
      <c r="C391" s="75"/>
      <c r="D391" s="75"/>
      <c r="E391" s="76"/>
      <c r="F391" s="76"/>
      <c r="G391" s="76"/>
      <c r="H391" s="61"/>
      <c r="I391" s="70">
        <v>1</v>
      </c>
      <c r="J391" s="95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78"/>
      <c r="AS391" s="95" t="s">
        <v>338</v>
      </c>
      <c r="AT391" s="43" t="s">
        <v>339</v>
      </c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78"/>
      <c r="CB391" s="74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</row>
    <row r="392" spans="2:130" s="46" customFormat="1" x14ac:dyDescent="0.15">
      <c r="B392" s="75" t="str">
        <f>IF(G392&lt;&gt;"",SUBTOTAL(3,$G$6:G392),"")</f>
        <v/>
      </c>
      <c r="C392" s="75"/>
      <c r="D392" s="75"/>
      <c r="E392" s="76"/>
      <c r="F392" s="76"/>
      <c r="G392" s="76"/>
      <c r="H392" s="61"/>
      <c r="I392" s="70">
        <v>1</v>
      </c>
      <c r="J392" s="77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78"/>
      <c r="AS392" s="77" t="s">
        <v>344</v>
      </c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78"/>
      <c r="CB392" s="74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</row>
    <row r="393" spans="2:130" s="46" customFormat="1" x14ac:dyDescent="0.15">
      <c r="B393" s="75" t="str">
        <f>IF(G393&lt;&gt;"",SUBTOTAL(3,$G$6:G393),"")</f>
        <v/>
      </c>
      <c r="C393" s="75"/>
      <c r="D393" s="75"/>
      <c r="E393" s="76"/>
      <c r="F393" s="76"/>
      <c r="G393" s="76"/>
      <c r="H393" s="61"/>
      <c r="I393" s="70">
        <v>1</v>
      </c>
      <c r="J393" s="96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78"/>
      <c r="AS393" s="96" t="s">
        <v>325</v>
      </c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78"/>
      <c r="CB393" s="74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</row>
    <row r="394" spans="2:130" s="46" customFormat="1" x14ac:dyDescent="0.15">
      <c r="B394" s="75" t="str">
        <f>IF(G394&lt;&gt;"",SUBTOTAL(3,$G$6:G394),"")</f>
        <v/>
      </c>
      <c r="C394" s="75"/>
      <c r="D394" s="75"/>
      <c r="E394" s="76"/>
      <c r="F394" s="76"/>
      <c r="G394" s="76"/>
      <c r="H394" s="61"/>
      <c r="I394" s="70">
        <v>1</v>
      </c>
      <c r="J394" s="96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78"/>
      <c r="AS394" s="96" t="s">
        <v>326</v>
      </c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78"/>
      <c r="CB394" s="74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3"/>
      <c r="DM394" s="43"/>
      <c r="DN394" s="43"/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</row>
    <row r="395" spans="2:130" s="46" customFormat="1" x14ac:dyDescent="0.15">
      <c r="B395" s="75" t="str">
        <f>IF(G395&lt;&gt;"",SUBTOTAL(3,$G$6:G395),"")</f>
        <v/>
      </c>
      <c r="C395" s="75"/>
      <c r="D395" s="75"/>
      <c r="E395" s="76"/>
      <c r="F395" s="76"/>
      <c r="G395" s="76"/>
      <c r="H395" s="61"/>
      <c r="I395" s="70">
        <v>1</v>
      </c>
      <c r="J395" s="96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78"/>
      <c r="AS395" s="96" t="s">
        <v>327</v>
      </c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78"/>
      <c r="CB395" s="74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/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</row>
    <row r="396" spans="2:130" s="46" customFormat="1" x14ac:dyDescent="0.15">
      <c r="B396" s="75" t="str">
        <f>IF(G396&lt;&gt;"",SUBTOTAL(3,$G$6:G396),"")</f>
        <v/>
      </c>
      <c r="C396" s="75"/>
      <c r="D396" s="75"/>
      <c r="E396" s="76"/>
      <c r="F396" s="76"/>
      <c r="G396" s="76"/>
      <c r="H396" s="61"/>
      <c r="I396" s="70">
        <v>1</v>
      </c>
      <c r="J396" s="96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78"/>
      <c r="AS396" s="96" t="s">
        <v>328</v>
      </c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78"/>
      <c r="CB396" s="74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3"/>
      <c r="DM396" s="43"/>
      <c r="DN396" s="43"/>
      <c r="DO396" s="43"/>
      <c r="DP396" s="43"/>
      <c r="DQ396" s="43"/>
      <c r="DR396" s="43"/>
      <c r="DS396" s="43"/>
      <c r="DT396" s="43"/>
      <c r="DU396" s="43"/>
      <c r="DV396" s="43"/>
      <c r="DW396" s="43"/>
      <c r="DX396" s="43"/>
      <c r="DY396" s="43"/>
      <c r="DZ396" s="43"/>
    </row>
    <row r="397" spans="2:130" s="46" customFormat="1" x14ac:dyDescent="0.15">
      <c r="B397" s="75" t="str">
        <f>IF(G397&lt;&gt;"",SUBTOTAL(3,$G$6:G397),"")</f>
        <v/>
      </c>
      <c r="C397" s="75"/>
      <c r="D397" s="75"/>
      <c r="E397" s="76"/>
      <c r="F397" s="76"/>
      <c r="G397" s="76"/>
      <c r="H397" s="61"/>
      <c r="I397" s="70">
        <v>1</v>
      </c>
      <c r="J397" s="96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78"/>
      <c r="AS397" s="96" t="s">
        <v>332</v>
      </c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78"/>
      <c r="CB397" s="74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3"/>
      <c r="DM397" s="43"/>
      <c r="DN397" s="43"/>
      <c r="DO397" s="43"/>
      <c r="DP397" s="43"/>
      <c r="DQ397" s="43"/>
      <c r="DR397" s="43"/>
      <c r="DS397" s="43"/>
      <c r="DT397" s="43"/>
      <c r="DU397" s="43"/>
      <c r="DV397" s="43"/>
      <c r="DW397" s="43"/>
      <c r="DX397" s="43"/>
      <c r="DY397" s="43"/>
      <c r="DZ397" s="43"/>
    </row>
    <row r="398" spans="2:130" s="46" customFormat="1" x14ac:dyDescent="0.15">
      <c r="B398" s="75" t="str">
        <f>IF(G398&lt;&gt;"",SUBTOTAL(3,$G$6:G398),"")</f>
        <v/>
      </c>
      <c r="C398" s="75"/>
      <c r="D398" s="75"/>
      <c r="E398" s="76"/>
      <c r="F398" s="76"/>
      <c r="G398" s="76"/>
      <c r="H398" s="61"/>
      <c r="I398" s="70">
        <v>1</v>
      </c>
      <c r="J398" s="96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78"/>
      <c r="AS398" s="96" t="s">
        <v>329</v>
      </c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78"/>
      <c r="CB398" s="74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3"/>
      <c r="DM398" s="43"/>
      <c r="DN398" s="43"/>
      <c r="DO398" s="43"/>
      <c r="DP398" s="43"/>
      <c r="DQ398" s="43"/>
      <c r="DR398" s="43"/>
      <c r="DS398" s="43"/>
      <c r="DT398" s="43"/>
      <c r="DU398" s="43"/>
      <c r="DV398" s="43"/>
      <c r="DW398" s="43"/>
      <c r="DX398" s="43"/>
      <c r="DY398" s="43"/>
      <c r="DZ398" s="43"/>
    </row>
    <row r="399" spans="2:130" s="46" customFormat="1" x14ac:dyDescent="0.15">
      <c r="B399" s="75" t="str">
        <f>IF(G399&lt;&gt;"",SUBTOTAL(3,$G$6:G399),"")</f>
        <v/>
      </c>
      <c r="C399" s="75"/>
      <c r="D399" s="75"/>
      <c r="E399" s="76"/>
      <c r="F399" s="76"/>
      <c r="G399" s="76"/>
      <c r="H399" s="61"/>
      <c r="I399" s="70">
        <v>1</v>
      </c>
      <c r="J399" s="96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78"/>
      <c r="AS399" s="96" t="s">
        <v>330</v>
      </c>
      <c r="AT399" s="43"/>
      <c r="AU399" s="43"/>
      <c r="AV399" s="43"/>
      <c r="AW399" s="43"/>
      <c r="AX399" s="43"/>
      <c r="AY399" s="43"/>
      <c r="AZ399" s="43"/>
      <c r="BA399" s="43"/>
      <c r="BB399" s="43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43"/>
      <c r="BO399" s="43"/>
      <c r="BP399" s="43"/>
      <c r="BQ399" s="43"/>
      <c r="BR399" s="43"/>
      <c r="BS399" s="43"/>
      <c r="BT399" s="43"/>
      <c r="BU399" s="43"/>
      <c r="BV399" s="43"/>
      <c r="BW399" s="43"/>
      <c r="BX399" s="43"/>
      <c r="BY399" s="43"/>
      <c r="BZ399" s="43"/>
      <c r="CA399" s="78"/>
      <c r="CB399" s="74"/>
      <c r="CC399" s="43"/>
      <c r="CD399" s="43"/>
      <c r="CE399" s="43"/>
      <c r="CF399" s="43"/>
      <c r="CG399" s="43"/>
      <c r="CH399" s="43"/>
      <c r="CI399" s="43"/>
      <c r="CJ399" s="43"/>
      <c r="CK399" s="43"/>
      <c r="CL399" s="43"/>
      <c r="CM399" s="43"/>
      <c r="CN399" s="43"/>
      <c r="CO399" s="43"/>
      <c r="CP399" s="43"/>
      <c r="CQ399" s="43"/>
      <c r="CR399" s="43"/>
      <c r="CS399" s="43"/>
      <c r="CT399" s="43"/>
      <c r="CU399" s="43"/>
      <c r="CV399" s="43"/>
      <c r="CW399" s="43"/>
      <c r="CX399" s="43"/>
      <c r="CY399" s="43"/>
      <c r="CZ399" s="43"/>
      <c r="DA399" s="43"/>
      <c r="DB399" s="43"/>
      <c r="DC399" s="43"/>
      <c r="DD399" s="43"/>
      <c r="DE399" s="43"/>
      <c r="DF399" s="43"/>
      <c r="DG399" s="43"/>
      <c r="DH399" s="43"/>
      <c r="DI399" s="43"/>
      <c r="DJ399" s="43"/>
      <c r="DK399" s="43"/>
      <c r="DL399" s="43"/>
      <c r="DM399" s="43"/>
      <c r="DN399" s="43"/>
      <c r="DO399" s="43"/>
      <c r="DP399" s="43"/>
      <c r="DQ399" s="43"/>
      <c r="DR399" s="43"/>
      <c r="DS399" s="43"/>
      <c r="DT399" s="43"/>
      <c r="DU399" s="43"/>
      <c r="DV399" s="43"/>
      <c r="DW399" s="43"/>
      <c r="DX399" s="43"/>
      <c r="DY399" s="43"/>
      <c r="DZ399" s="43"/>
    </row>
    <row r="400" spans="2:130" s="46" customFormat="1" x14ac:dyDescent="0.15">
      <c r="B400" s="75" t="str">
        <f>IF(G400&lt;&gt;"",SUBTOTAL(3,$G$6:G400),"")</f>
        <v/>
      </c>
      <c r="C400" s="75"/>
      <c r="D400" s="75"/>
      <c r="E400" s="76"/>
      <c r="F400" s="76"/>
      <c r="G400" s="76"/>
      <c r="H400" s="61"/>
      <c r="I400" s="70">
        <v>1</v>
      </c>
      <c r="J400" s="77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78"/>
      <c r="AS400" s="77"/>
      <c r="AT400" s="43"/>
      <c r="AU400" s="43"/>
      <c r="AV400" s="43"/>
      <c r="AW400" s="43"/>
      <c r="AX400" s="43"/>
      <c r="AY400" s="43"/>
      <c r="AZ400" s="43"/>
      <c r="BA400" s="43"/>
      <c r="BB400" s="43"/>
      <c r="BC400" s="43"/>
      <c r="BD400" s="43"/>
      <c r="BE400" s="43"/>
      <c r="BF400" s="43"/>
      <c r="BG400" s="43"/>
      <c r="BH400" s="43"/>
      <c r="BI400" s="43"/>
      <c r="BJ400" s="43"/>
      <c r="BK400" s="43"/>
      <c r="BL400" s="43"/>
      <c r="BM400" s="43"/>
      <c r="BN400" s="43"/>
      <c r="BO400" s="43"/>
      <c r="BP400" s="43"/>
      <c r="BQ400" s="43"/>
      <c r="BR400" s="43"/>
      <c r="BS400" s="43"/>
      <c r="BT400" s="43"/>
      <c r="BU400" s="43"/>
      <c r="BV400" s="43"/>
      <c r="BW400" s="43"/>
      <c r="BX400" s="43"/>
      <c r="BY400" s="43"/>
      <c r="BZ400" s="43"/>
      <c r="CA400" s="78"/>
      <c r="CB400" s="74"/>
      <c r="CC400" s="43"/>
      <c r="CD400" s="43"/>
      <c r="CE400" s="43"/>
      <c r="CF400" s="43"/>
      <c r="CG400" s="43"/>
      <c r="CH400" s="43"/>
      <c r="CI400" s="43"/>
      <c r="CJ400" s="43"/>
      <c r="CK400" s="43"/>
      <c r="CL400" s="43"/>
      <c r="CM400" s="43"/>
      <c r="CN400" s="43"/>
      <c r="CO400" s="43"/>
      <c r="CP400" s="43"/>
      <c r="CQ400" s="43"/>
      <c r="CR400" s="43"/>
      <c r="CS400" s="43"/>
      <c r="CT400" s="43"/>
      <c r="CU400" s="43"/>
      <c r="CV400" s="43"/>
      <c r="CW400" s="43"/>
      <c r="CX400" s="43"/>
      <c r="CY400" s="43"/>
      <c r="CZ400" s="43"/>
      <c r="DA400" s="43"/>
      <c r="DB400" s="43"/>
      <c r="DC400" s="43"/>
      <c r="DD400" s="43"/>
      <c r="DE400" s="43"/>
      <c r="DF400" s="43"/>
      <c r="DG400" s="43"/>
      <c r="DH400" s="43"/>
      <c r="DI400" s="43"/>
      <c r="DJ400" s="43"/>
      <c r="DK400" s="43"/>
      <c r="DL400" s="43"/>
      <c r="DM400" s="43"/>
      <c r="DN400" s="43"/>
      <c r="DO400" s="43"/>
      <c r="DP400" s="43"/>
      <c r="DQ400" s="43"/>
      <c r="DR400" s="43"/>
      <c r="DS400" s="43"/>
      <c r="DT400" s="43"/>
      <c r="DU400" s="43"/>
      <c r="DV400" s="43"/>
      <c r="DW400" s="43"/>
      <c r="DX400" s="43"/>
      <c r="DY400" s="43"/>
      <c r="DZ400" s="43"/>
    </row>
    <row r="401" spans="2:130" s="46" customFormat="1" ht="14.25" customHeight="1" x14ac:dyDescent="0.15">
      <c r="B401" s="75">
        <f>IF(G401&lt;&gt;"",SUBTOTAL(3,$G$6:G401),"")</f>
        <v>90</v>
      </c>
      <c r="C401" s="75"/>
      <c r="D401" s="75"/>
      <c r="E401" s="76" t="s">
        <v>139</v>
      </c>
      <c r="F401" s="76" t="s">
        <v>142</v>
      </c>
      <c r="G401" s="76" t="s">
        <v>236</v>
      </c>
      <c r="H401" s="61">
        <v>44108</v>
      </c>
      <c r="I401" s="62">
        <v>0.5</v>
      </c>
      <c r="J401" s="77" t="s">
        <v>1</v>
      </c>
      <c r="K401" s="43" t="s">
        <v>334</v>
      </c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78"/>
      <c r="AS401" s="77"/>
      <c r="AT401" s="43"/>
      <c r="AU401" s="43"/>
      <c r="AV401" s="43"/>
      <c r="AW401" s="43"/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43"/>
      <c r="BO401" s="43"/>
      <c r="BP401" s="43"/>
      <c r="BQ401" s="43"/>
      <c r="BR401" s="43"/>
      <c r="BS401" s="43"/>
      <c r="BT401" s="43"/>
      <c r="BU401" s="43"/>
      <c r="BV401" s="43"/>
      <c r="BW401" s="43"/>
      <c r="BX401" s="43"/>
      <c r="BY401" s="43"/>
      <c r="BZ401" s="43"/>
      <c r="CA401" s="78"/>
      <c r="CB401" s="74"/>
      <c r="CC401" s="43"/>
      <c r="CD401" s="43"/>
      <c r="CE401" s="43"/>
      <c r="CF401" s="43"/>
      <c r="CG401" s="43"/>
      <c r="CH401" s="43"/>
      <c r="CI401" s="43"/>
      <c r="CJ401" s="43"/>
      <c r="CK401" s="43"/>
      <c r="CL401" s="43"/>
      <c r="CM401" s="43"/>
      <c r="CN401" s="43"/>
      <c r="CO401" s="43"/>
      <c r="CP401" s="43"/>
      <c r="CQ401" s="43"/>
      <c r="CR401" s="43"/>
      <c r="CS401" s="43"/>
      <c r="CT401" s="43"/>
      <c r="CU401" s="43"/>
      <c r="CV401" s="43"/>
      <c r="CW401" s="43"/>
      <c r="CX401" s="43"/>
      <c r="CY401" s="43"/>
      <c r="CZ401" s="43"/>
      <c r="DA401" s="43"/>
      <c r="DB401" s="43"/>
      <c r="DC401" s="43"/>
      <c r="DD401" s="43"/>
      <c r="DE401" s="43"/>
      <c r="DF401" s="43"/>
      <c r="DG401" s="43"/>
      <c r="DH401" s="43"/>
      <c r="DI401" s="43"/>
      <c r="DJ401" s="43"/>
      <c r="DK401" s="43"/>
      <c r="DL401" s="43"/>
      <c r="DM401" s="43"/>
      <c r="DN401" s="43"/>
      <c r="DO401" s="43"/>
      <c r="DP401" s="43"/>
      <c r="DQ401" s="43"/>
      <c r="DR401" s="43"/>
      <c r="DS401" s="43"/>
      <c r="DT401" s="43"/>
      <c r="DU401" s="43"/>
      <c r="DV401" s="43"/>
      <c r="DW401" s="43"/>
      <c r="DX401" s="43"/>
      <c r="DY401" s="43"/>
      <c r="DZ401" s="43"/>
    </row>
    <row r="402" spans="2:130" s="46" customFormat="1" ht="14.25" customHeight="1" x14ac:dyDescent="0.15">
      <c r="B402" s="75" t="str">
        <f>IF(G402&lt;&gt;"",SUBTOTAL(3,$G$6:G402),"")</f>
        <v/>
      </c>
      <c r="C402" s="75"/>
      <c r="D402" s="75"/>
      <c r="E402" s="76"/>
      <c r="F402" s="76"/>
      <c r="G402" s="76"/>
      <c r="H402" s="61"/>
      <c r="I402" s="68">
        <v>0.5</v>
      </c>
      <c r="J402" s="80"/>
      <c r="K402" s="81"/>
      <c r="L402" s="81"/>
      <c r="M402" s="81"/>
      <c r="N402" s="81"/>
      <c r="O402" s="81"/>
      <c r="P402" s="81"/>
      <c r="Q402" s="81"/>
      <c r="R402" s="82" t="s">
        <v>333</v>
      </c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3"/>
      <c r="AS402" s="77"/>
      <c r="AT402" s="43"/>
      <c r="AU402" s="43"/>
      <c r="AV402" s="43"/>
      <c r="AW402" s="43"/>
      <c r="AX402" s="43"/>
      <c r="AY402" s="43"/>
      <c r="AZ402" s="43"/>
      <c r="BA402" s="43"/>
      <c r="BB402" s="43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43"/>
      <c r="BO402" s="43"/>
      <c r="BP402" s="43"/>
      <c r="BQ402" s="43"/>
      <c r="BR402" s="43"/>
      <c r="BS402" s="43"/>
      <c r="BT402" s="43"/>
      <c r="BU402" s="43"/>
      <c r="BV402" s="43"/>
      <c r="BW402" s="43"/>
      <c r="BX402" s="43"/>
      <c r="BY402" s="43"/>
      <c r="BZ402" s="43"/>
      <c r="CA402" s="78"/>
      <c r="CB402" s="74"/>
      <c r="CC402" s="43"/>
      <c r="CD402" s="43"/>
      <c r="CE402" s="43"/>
      <c r="CF402" s="43"/>
      <c r="CG402" s="43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  <c r="CU402" s="43"/>
      <c r="CV402" s="43"/>
      <c r="CW402" s="43"/>
      <c r="CX402" s="43"/>
      <c r="CY402" s="43"/>
      <c r="CZ402" s="43"/>
      <c r="DA402" s="43"/>
      <c r="DB402" s="43"/>
      <c r="DC402" s="43"/>
      <c r="DD402" s="43"/>
      <c r="DE402" s="43"/>
      <c r="DF402" s="43"/>
      <c r="DG402" s="43"/>
      <c r="DH402" s="43"/>
      <c r="DI402" s="43"/>
      <c r="DJ402" s="43"/>
      <c r="DK402" s="43"/>
      <c r="DL402" s="43"/>
      <c r="DM402" s="43"/>
      <c r="DN402" s="43"/>
      <c r="DO402" s="43"/>
      <c r="DP402" s="43"/>
      <c r="DQ402" s="43"/>
      <c r="DR402" s="43"/>
      <c r="DS402" s="43"/>
      <c r="DT402" s="43"/>
      <c r="DU402" s="43"/>
      <c r="DV402" s="43"/>
      <c r="DW402" s="43"/>
      <c r="DX402" s="43"/>
      <c r="DY402" s="43"/>
      <c r="DZ402" s="43"/>
    </row>
    <row r="403" spans="2:130" s="46" customFormat="1" ht="14.25" customHeight="1" x14ac:dyDescent="0.15">
      <c r="B403" s="75" t="str">
        <f>IF(G403&lt;&gt;"",SUBTOTAL(3,$G$6:G403),"")</f>
        <v/>
      </c>
      <c r="C403" s="75"/>
      <c r="D403" s="75"/>
      <c r="E403" s="76"/>
      <c r="F403" s="76"/>
      <c r="G403" s="76"/>
      <c r="H403" s="61"/>
      <c r="I403" s="68">
        <v>0.5</v>
      </c>
      <c r="J403" s="84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3"/>
      <c r="AS403" s="77"/>
      <c r="AT403" s="43"/>
      <c r="AU403" s="43"/>
      <c r="AV403" s="43"/>
      <c r="AW403" s="43"/>
      <c r="AX403" s="43"/>
      <c r="AY403" s="43"/>
      <c r="AZ403" s="43"/>
      <c r="BA403" s="43"/>
      <c r="BB403" s="43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43"/>
      <c r="BO403" s="43"/>
      <c r="BP403" s="43"/>
      <c r="BQ403" s="43"/>
      <c r="BR403" s="43"/>
      <c r="BS403" s="43"/>
      <c r="BT403" s="43"/>
      <c r="BU403" s="43"/>
      <c r="BV403" s="43"/>
      <c r="BW403" s="43"/>
      <c r="BX403" s="43"/>
      <c r="BY403" s="43"/>
      <c r="BZ403" s="43"/>
      <c r="CA403" s="78"/>
      <c r="CB403" s="74"/>
      <c r="CC403" s="43"/>
      <c r="CD403" s="43"/>
      <c r="CE403" s="43"/>
      <c r="CF403" s="43"/>
      <c r="CG403" s="43"/>
      <c r="CH403" s="43"/>
      <c r="CI403" s="43"/>
      <c r="CJ403" s="43"/>
      <c r="CK403" s="43"/>
      <c r="CL403" s="43"/>
      <c r="CM403" s="43"/>
      <c r="CN403" s="43"/>
      <c r="CO403" s="43"/>
      <c r="CP403" s="43"/>
      <c r="CQ403" s="43"/>
      <c r="CR403" s="43"/>
      <c r="CS403" s="43"/>
      <c r="CT403" s="43"/>
      <c r="CU403" s="43"/>
      <c r="CV403" s="43"/>
      <c r="CW403" s="43"/>
      <c r="CX403" s="43"/>
      <c r="CY403" s="43"/>
      <c r="CZ403" s="43"/>
      <c r="DA403" s="43"/>
      <c r="DB403" s="43"/>
      <c r="DC403" s="43"/>
      <c r="DD403" s="43"/>
      <c r="DE403" s="43"/>
      <c r="DF403" s="43"/>
      <c r="DG403" s="43"/>
      <c r="DH403" s="43"/>
      <c r="DI403" s="43"/>
      <c r="DJ403" s="43"/>
      <c r="DK403" s="43"/>
      <c r="DL403" s="43"/>
      <c r="DM403" s="43"/>
      <c r="DN403" s="43"/>
      <c r="DO403" s="43"/>
      <c r="DP403" s="43"/>
      <c r="DQ403" s="43"/>
      <c r="DR403" s="43"/>
      <c r="DS403" s="43"/>
      <c r="DT403" s="43"/>
      <c r="DU403" s="43"/>
      <c r="DV403" s="43"/>
      <c r="DW403" s="43"/>
      <c r="DX403" s="43"/>
      <c r="DY403" s="43"/>
      <c r="DZ403" s="43"/>
    </row>
    <row r="404" spans="2:130" s="46" customFormat="1" ht="14.25" customHeight="1" x14ac:dyDescent="0.15">
      <c r="B404" s="75" t="str">
        <f>IF(G404&lt;&gt;"",SUBTOTAL(3,$G$6:G404),"")</f>
        <v/>
      </c>
      <c r="C404" s="75"/>
      <c r="D404" s="75"/>
      <c r="E404" s="76"/>
      <c r="F404" s="76"/>
      <c r="G404" s="76"/>
      <c r="H404" s="61"/>
      <c r="I404" s="68">
        <v>0.5</v>
      </c>
      <c r="J404" s="80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3"/>
      <c r="AS404" s="77"/>
      <c r="AT404" s="43"/>
      <c r="AU404" s="43"/>
      <c r="AV404" s="43"/>
      <c r="AW404" s="43"/>
      <c r="AX404" s="43"/>
      <c r="AY404" s="43"/>
      <c r="AZ404" s="43"/>
      <c r="BA404" s="43"/>
      <c r="BB404" s="43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43"/>
      <c r="BO404" s="43"/>
      <c r="BP404" s="43"/>
      <c r="BQ404" s="43"/>
      <c r="BR404" s="43"/>
      <c r="BS404" s="43"/>
      <c r="BT404" s="43"/>
      <c r="BU404" s="43"/>
      <c r="BV404" s="43"/>
      <c r="BW404" s="43"/>
      <c r="BX404" s="43"/>
      <c r="BY404" s="43"/>
      <c r="BZ404" s="43"/>
      <c r="CA404" s="78"/>
      <c r="CB404" s="74"/>
      <c r="CC404" s="43"/>
      <c r="CD404" s="43"/>
      <c r="CE404" s="43"/>
      <c r="CF404" s="43"/>
      <c r="CG404" s="43"/>
      <c r="CH404" s="43"/>
      <c r="CI404" s="43"/>
      <c r="CJ404" s="43"/>
      <c r="CK404" s="43"/>
      <c r="CL404" s="43"/>
      <c r="CM404" s="43"/>
      <c r="CN404" s="43"/>
      <c r="CO404" s="43"/>
      <c r="CP404" s="43"/>
      <c r="CQ404" s="43"/>
      <c r="CR404" s="43"/>
      <c r="CS404" s="43"/>
      <c r="CT404" s="43"/>
      <c r="CU404" s="43"/>
      <c r="CV404" s="43"/>
      <c r="CW404" s="43"/>
      <c r="CX404" s="43"/>
      <c r="CY404" s="43"/>
      <c r="CZ404" s="43"/>
      <c r="DA404" s="43"/>
      <c r="DB404" s="43"/>
      <c r="DC404" s="43"/>
      <c r="DD404" s="43"/>
      <c r="DE404" s="43"/>
      <c r="DF404" s="43"/>
      <c r="DG404" s="43"/>
      <c r="DH404" s="43"/>
      <c r="DI404" s="43"/>
      <c r="DJ404" s="43"/>
      <c r="DK404" s="43"/>
      <c r="DL404" s="43"/>
      <c r="DM404" s="43"/>
      <c r="DN404" s="43"/>
      <c r="DO404" s="43"/>
      <c r="DP404" s="43"/>
      <c r="DQ404" s="43"/>
      <c r="DR404" s="43"/>
      <c r="DS404" s="43"/>
      <c r="DT404" s="43"/>
      <c r="DU404" s="43"/>
      <c r="DV404" s="43"/>
      <c r="DW404" s="43"/>
      <c r="DX404" s="43"/>
      <c r="DY404" s="43"/>
      <c r="DZ404" s="43"/>
    </row>
    <row r="405" spans="2:130" s="46" customFormat="1" ht="14.25" customHeight="1" x14ac:dyDescent="0.15">
      <c r="B405" s="75" t="str">
        <f>IF(G405&lt;&gt;"",SUBTOTAL(3,$G$6:G405),"")</f>
        <v/>
      </c>
      <c r="C405" s="75"/>
      <c r="D405" s="75"/>
      <c r="E405" s="76"/>
      <c r="F405" s="76"/>
      <c r="G405" s="76"/>
      <c r="H405" s="61"/>
      <c r="I405" s="68">
        <v>0.5</v>
      </c>
      <c r="J405" s="80" t="s">
        <v>237</v>
      </c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3"/>
      <c r="AS405" s="77"/>
      <c r="AT405" s="43"/>
      <c r="AU405" s="43"/>
      <c r="AV405" s="43"/>
      <c r="AW405" s="43"/>
      <c r="AX405" s="43"/>
      <c r="AY405" s="43"/>
      <c r="AZ405" s="43"/>
      <c r="BA405" s="43"/>
      <c r="BB405" s="43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43"/>
      <c r="BO405" s="43"/>
      <c r="BP405" s="43"/>
      <c r="BQ405" s="43"/>
      <c r="BR405" s="43"/>
      <c r="BS405" s="43"/>
      <c r="BT405" s="43"/>
      <c r="BU405" s="43"/>
      <c r="BV405" s="43"/>
      <c r="BW405" s="43"/>
      <c r="BX405" s="43"/>
      <c r="BY405" s="43"/>
      <c r="BZ405" s="43"/>
      <c r="CA405" s="78"/>
      <c r="CB405" s="74"/>
      <c r="CC405" s="43"/>
      <c r="CD405" s="43"/>
      <c r="CE405" s="43"/>
      <c r="CF405" s="43"/>
      <c r="CG405" s="43"/>
      <c r="CH405" s="43"/>
      <c r="CI405" s="43"/>
      <c r="CJ405" s="43"/>
      <c r="CK405" s="43"/>
      <c r="CL405" s="43"/>
      <c r="CM405" s="43"/>
      <c r="CN405" s="43"/>
      <c r="CO405" s="43"/>
      <c r="CP405" s="43"/>
      <c r="CQ405" s="43"/>
      <c r="CR405" s="43"/>
      <c r="CS405" s="43"/>
      <c r="CT405" s="43"/>
      <c r="CU405" s="43"/>
      <c r="CV405" s="43"/>
      <c r="CW405" s="43"/>
      <c r="CX405" s="43"/>
      <c r="CY405" s="43"/>
      <c r="CZ405" s="43"/>
      <c r="DA405" s="43"/>
      <c r="DB405" s="43"/>
      <c r="DC405" s="43"/>
      <c r="DD405" s="43"/>
      <c r="DE405" s="43"/>
      <c r="DF405" s="43"/>
      <c r="DG405" s="43"/>
      <c r="DH405" s="43"/>
      <c r="DI405" s="43"/>
      <c r="DJ405" s="43"/>
      <c r="DK405" s="43"/>
      <c r="DL405" s="43"/>
      <c r="DM405" s="43"/>
      <c r="DN405" s="43"/>
      <c r="DO405" s="43"/>
      <c r="DP405" s="43"/>
      <c r="DQ405" s="43"/>
      <c r="DR405" s="43"/>
      <c r="DS405" s="43"/>
      <c r="DT405" s="43"/>
      <c r="DU405" s="43"/>
      <c r="DV405" s="43"/>
      <c r="DW405" s="43"/>
      <c r="DX405" s="43"/>
      <c r="DY405" s="43"/>
      <c r="DZ405" s="43"/>
    </row>
    <row r="406" spans="2:130" s="46" customFormat="1" ht="14.25" customHeight="1" x14ac:dyDescent="0.15">
      <c r="B406" s="75" t="str">
        <f>IF(G406&lt;&gt;"",SUBTOTAL(3,$G$6:G406),"")</f>
        <v/>
      </c>
      <c r="C406" s="75"/>
      <c r="D406" s="75"/>
      <c r="E406" s="76"/>
      <c r="F406" s="76"/>
      <c r="G406" s="76"/>
      <c r="H406" s="61"/>
      <c r="I406" s="68">
        <v>0.5</v>
      </c>
      <c r="J406" s="80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3"/>
      <c r="AS406" s="77"/>
      <c r="AT406" s="43"/>
      <c r="AU406" s="43"/>
      <c r="AV406" s="43"/>
      <c r="AW406" s="43"/>
      <c r="AX406" s="43"/>
      <c r="AY406" s="43"/>
      <c r="AZ406" s="43"/>
      <c r="BA406" s="43"/>
      <c r="BB406" s="43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43"/>
      <c r="BO406" s="43"/>
      <c r="BP406" s="43"/>
      <c r="BQ406" s="43"/>
      <c r="BR406" s="43"/>
      <c r="BS406" s="43"/>
      <c r="BT406" s="43"/>
      <c r="BU406" s="43"/>
      <c r="BV406" s="43"/>
      <c r="BW406" s="43"/>
      <c r="BX406" s="43"/>
      <c r="BY406" s="43"/>
      <c r="BZ406" s="43"/>
      <c r="CA406" s="78"/>
      <c r="CB406" s="74"/>
      <c r="CC406" s="43"/>
      <c r="CD406" s="43"/>
      <c r="CE406" s="43"/>
      <c r="CF406" s="43"/>
      <c r="CG406" s="43"/>
      <c r="CH406" s="43"/>
      <c r="CI406" s="43"/>
      <c r="CJ406" s="43"/>
      <c r="CK406" s="43"/>
      <c r="CL406" s="43"/>
      <c r="CM406" s="43"/>
      <c r="CN406" s="43"/>
      <c r="CO406" s="43"/>
      <c r="CP406" s="43"/>
      <c r="CQ406" s="43"/>
      <c r="CR406" s="43"/>
      <c r="CS406" s="43"/>
      <c r="CT406" s="43"/>
      <c r="CU406" s="43"/>
      <c r="CV406" s="43"/>
      <c r="CW406" s="43"/>
      <c r="CX406" s="43"/>
      <c r="CY406" s="43"/>
      <c r="CZ406" s="43"/>
      <c r="DA406" s="43"/>
      <c r="DB406" s="43"/>
      <c r="DC406" s="43"/>
      <c r="DD406" s="43"/>
      <c r="DE406" s="43"/>
      <c r="DF406" s="43"/>
      <c r="DG406" s="43"/>
      <c r="DH406" s="43"/>
      <c r="DI406" s="43"/>
      <c r="DJ406" s="43"/>
      <c r="DK406" s="43"/>
      <c r="DL406" s="43"/>
      <c r="DM406" s="43"/>
      <c r="DN406" s="43"/>
      <c r="DO406" s="43"/>
      <c r="DP406" s="43"/>
      <c r="DQ406" s="43"/>
      <c r="DR406" s="43"/>
      <c r="DS406" s="43"/>
      <c r="DT406" s="43"/>
      <c r="DU406" s="43"/>
      <c r="DV406" s="43"/>
      <c r="DW406" s="43"/>
      <c r="DX406" s="43"/>
      <c r="DY406" s="43"/>
      <c r="DZ406" s="43"/>
    </row>
    <row r="407" spans="2:130" s="46" customFormat="1" ht="13.5" customHeight="1" x14ac:dyDescent="0.15">
      <c r="B407" s="75" t="str">
        <f>IF(G407&lt;&gt;"",SUBTOTAL(3,$G$6:G407),"")</f>
        <v/>
      </c>
      <c r="C407" s="75"/>
      <c r="D407" s="75"/>
      <c r="E407" s="76"/>
      <c r="F407" s="76"/>
      <c r="G407" s="76"/>
      <c r="H407" s="61"/>
      <c r="I407" s="62"/>
      <c r="J407" s="77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78"/>
      <c r="AS407" s="77"/>
      <c r="AT407" s="43"/>
      <c r="AU407" s="43"/>
      <c r="AV407" s="43"/>
      <c r="AW407" s="43"/>
      <c r="AX407" s="43"/>
      <c r="AY407" s="43"/>
      <c r="AZ407" s="43"/>
      <c r="BA407" s="43"/>
      <c r="BB407" s="43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43"/>
      <c r="BO407" s="43"/>
      <c r="BP407" s="43"/>
      <c r="BQ407" s="43"/>
      <c r="BR407" s="43"/>
      <c r="BS407" s="43"/>
      <c r="BT407" s="43"/>
      <c r="BU407" s="43"/>
      <c r="BV407" s="43"/>
      <c r="BW407" s="43"/>
      <c r="BX407" s="43"/>
      <c r="BY407" s="43"/>
      <c r="BZ407" s="43"/>
      <c r="CA407" s="78"/>
      <c r="CB407" s="74"/>
      <c r="CC407" s="43"/>
      <c r="CD407" s="43"/>
      <c r="CE407" s="43"/>
      <c r="CF407" s="43"/>
      <c r="CG407" s="43"/>
      <c r="CH407" s="43"/>
      <c r="CI407" s="43"/>
      <c r="CJ407" s="43"/>
      <c r="CK407" s="43"/>
      <c r="CL407" s="43"/>
      <c r="CM407" s="43"/>
      <c r="CN407" s="43"/>
      <c r="CO407" s="43"/>
      <c r="CP407" s="43"/>
      <c r="CQ407" s="43"/>
      <c r="CR407" s="43"/>
      <c r="CS407" s="43"/>
      <c r="CT407" s="43"/>
      <c r="CU407" s="43"/>
      <c r="CV407" s="43"/>
      <c r="CW407" s="43"/>
      <c r="CX407" s="43"/>
      <c r="CY407" s="43"/>
      <c r="CZ407" s="43"/>
      <c r="DA407" s="43"/>
      <c r="DB407" s="43"/>
      <c r="DC407" s="43"/>
      <c r="DD407" s="43"/>
      <c r="DE407" s="43"/>
      <c r="DF407" s="43"/>
      <c r="DG407" s="43"/>
      <c r="DH407" s="43"/>
      <c r="DI407" s="43"/>
      <c r="DJ407" s="43"/>
      <c r="DK407" s="43"/>
      <c r="DL407" s="43"/>
      <c r="DM407" s="43"/>
      <c r="DN407" s="43"/>
      <c r="DO407" s="43"/>
      <c r="DP407" s="43"/>
      <c r="DQ407" s="43"/>
      <c r="DR407" s="43"/>
      <c r="DS407" s="43"/>
      <c r="DT407" s="43"/>
      <c r="DU407" s="43"/>
      <c r="DV407" s="43"/>
      <c r="DW407" s="43"/>
      <c r="DX407" s="43"/>
      <c r="DY407" s="43"/>
      <c r="DZ407" s="43"/>
    </row>
    <row r="408" spans="2:130" ht="13.5" customHeight="1" x14ac:dyDescent="0.15">
      <c r="B408" s="58" t="str">
        <f>IF(G408&lt;&gt;"",SUBTOTAL(3,$G$6:G408),"")</f>
        <v/>
      </c>
      <c r="C408" s="58"/>
      <c r="D408" s="58"/>
      <c r="E408" s="59"/>
      <c r="F408" s="59"/>
      <c r="G408" s="59"/>
      <c r="H408" s="61"/>
      <c r="I408" s="62"/>
      <c r="J408" s="40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2"/>
      <c r="AS408" s="63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5"/>
      <c r="CB408" s="60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</row>
    <row r="409" spans="2:130" ht="13.5" customHeight="1" x14ac:dyDescent="0.15">
      <c r="B409" s="58" t="str">
        <f>IF(G409&lt;&gt;"",SUBTOTAL(3,$G$6:G409),"")</f>
        <v/>
      </c>
      <c r="C409" s="58"/>
      <c r="D409" s="58"/>
      <c r="E409" s="59"/>
      <c r="F409" s="59"/>
      <c r="G409" s="59"/>
      <c r="H409" s="61"/>
      <c r="I409" s="62"/>
      <c r="J409" s="63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5"/>
      <c r="AS409" s="63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5"/>
      <c r="CB409" s="60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</row>
    <row r="410" spans="2:130" x14ac:dyDescent="0.15">
      <c r="B410" s="58" t="str">
        <f>IF(G410&lt;&gt;"",SUBTOTAL(3,$G$6:G410),"")</f>
        <v/>
      </c>
      <c r="C410" s="58"/>
      <c r="D410" s="58"/>
      <c r="E410" s="59"/>
      <c r="F410" s="59"/>
      <c r="G410" s="59"/>
      <c r="H410" s="61"/>
      <c r="I410" s="62"/>
      <c r="J410" s="63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5"/>
      <c r="AS410" s="63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5"/>
      <c r="CB410" s="60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</row>
    <row r="411" spans="2:130" x14ac:dyDescent="0.15">
      <c r="B411" s="58" t="str">
        <f>IF(G411&lt;&gt;"",SUBTOTAL(3,$G$6:G411),"")</f>
        <v/>
      </c>
      <c r="C411" s="58"/>
      <c r="D411" s="58"/>
      <c r="E411" s="59"/>
      <c r="F411" s="59"/>
      <c r="G411" s="59"/>
      <c r="H411" s="61"/>
      <c r="I411" s="62"/>
      <c r="J411" s="63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5"/>
      <c r="AS411" s="63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5"/>
      <c r="CB411" s="60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</row>
    <row r="412" spans="2:130" x14ac:dyDescent="0.15">
      <c r="B412" s="58" t="str">
        <f>IF(G412&lt;&gt;"",SUBTOTAL(3,$G$6:G412),"")</f>
        <v/>
      </c>
      <c r="C412" s="58"/>
      <c r="D412" s="58"/>
      <c r="E412" s="59"/>
      <c r="F412" s="59"/>
      <c r="G412" s="59"/>
      <c r="H412" s="61"/>
      <c r="I412" s="62"/>
      <c r="J412" s="63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5"/>
      <c r="AS412" s="63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5"/>
      <c r="CB412" s="60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</row>
    <row r="413" spans="2:130" x14ac:dyDescent="0.15">
      <c r="B413" s="58" t="str">
        <f>IF(G413&lt;&gt;"",SUBTOTAL(3,$G$6:G413),"")</f>
        <v/>
      </c>
      <c r="C413" s="58"/>
      <c r="D413" s="58"/>
      <c r="E413" s="59"/>
      <c r="F413" s="59"/>
      <c r="G413" s="59"/>
      <c r="H413" s="61"/>
      <c r="I413" s="62"/>
      <c r="J413" s="63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5"/>
      <c r="AS413" s="63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5"/>
      <c r="CB413" s="60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</row>
    <row r="414" spans="2:130" ht="15.75" x14ac:dyDescent="0.15">
      <c r="B414" s="58" t="str">
        <f>IF(G414&lt;&gt;"",SUBTOTAL(3,$G$6:G414),"")</f>
        <v/>
      </c>
      <c r="C414" s="58"/>
      <c r="D414" s="58"/>
      <c r="E414" s="59"/>
      <c r="F414" s="59"/>
      <c r="G414" s="59"/>
      <c r="H414" s="61"/>
      <c r="I414" s="62"/>
      <c r="J414" s="40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2"/>
      <c r="AS414" s="63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5"/>
      <c r="CB414" s="60"/>
      <c r="CH414" s="64"/>
      <c r="CI414" s="69"/>
      <c r="CJ414" s="69"/>
      <c r="CK414" s="69"/>
      <c r="CL414" s="69"/>
      <c r="CM414" s="69"/>
      <c r="CN414" s="69"/>
      <c r="CO414" s="69"/>
      <c r="CP414" s="69"/>
      <c r="CQ414" s="69"/>
      <c r="CR414" s="69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9"/>
      <c r="DH414" s="69"/>
      <c r="DI414" s="69"/>
      <c r="DJ414" s="69"/>
      <c r="DK414" s="69"/>
      <c r="DL414" s="69"/>
      <c r="DM414" s="69"/>
      <c r="DN414" s="69"/>
      <c r="DO414" s="69"/>
      <c r="DP414" s="69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</row>
    <row r="415" spans="2:130" x14ac:dyDescent="0.15">
      <c r="B415" s="58" t="str">
        <f>IF(G415&lt;&gt;"",SUBTOTAL(3,$G$6:G415),"")</f>
        <v/>
      </c>
      <c r="C415" s="58"/>
      <c r="D415" s="58"/>
      <c r="E415" s="59"/>
      <c r="F415" s="59"/>
      <c r="G415" s="59"/>
      <c r="H415" s="61"/>
      <c r="I415" s="62"/>
      <c r="J415" s="63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5"/>
      <c r="AS415" s="63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5"/>
      <c r="CB415" s="60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</row>
    <row r="416" spans="2:130" x14ac:dyDescent="0.15">
      <c r="B416" s="58" t="str">
        <f>IF(G416&lt;&gt;"",SUBTOTAL(3,$G$6:G416),"")</f>
        <v/>
      </c>
      <c r="C416" s="58"/>
      <c r="D416" s="58"/>
      <c r="E416" s="59"/>
      <c r="F416" s="59"/>
      <c r="G416" s="59"/>
      <c r="H416" s="61"/>
      <c r="I416" s="62"/>
      <c r="J416" s="63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5"/>
      <c r="AS416" s="63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5"/>
      <c r="CB416" s="60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</row>
    <row r="417" spans="2:130" x14ac:dyDescent="0.15">
      <c r="B417" s="58" t="str">
        <f>IF(G417&lt;&gt;"",SUBTOTAL(3,$G$6:G417),"")</f>
        <v/>
      </c>
      <c r="C417" s="58"/>
      <c r="D417" s="58"/>
      <c r="E417" s="59"/>
      <c r="F417" s="59"/>
      <c r="G417" s="59"/>
      <c r="H417" s="61"/>
      <c r="I417" s="62"/>
      <c r="J417" s="63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5"/>
      <c r="AS417" s="63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5"/>
      <c r="CB417" s="60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</row>
    <row r="418" spans="2:130" x14ac:dyDescent="0.15">
      <c r="B418" s="58" t="str">
        <f>IF(G418&lt;&gt;"",SUBTOTAL(3,$G$6:G418),"")</f>
        <v/>
      </c>
      <c r="C418" s="58"/>
      <c r="D418" s="58"/>
      <c r="E418" s="59"/>
      <c r="F418" s="59"/>
      <c r="G418" s="59"/>
      <c r="H418" s="61"/>
      <c r="I418" s="62"/>
      <c r="J418" s="63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5"/>
      <c r="AS418" s="63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5"/>
      <c r="CB418" s="60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</row>
    <row r="419" spans="2:130" x14ac:dyDescent="0.15">
      <c r="B419" s="58" t="str">
        <f>IF(G419&lt;&gt;"",SUBTOTAL(3,$G$6:G419),"")</f>
        <v/>
      </c>
      <c r="C419" s="58"/>
      <c r="D419" s="58"/>
      <c r="E419" s="59"/>
      <c r="F419" s="59"/>
      <c r="G419" s="59"/>
      <c r="H419" s="61"/>
      <c r="I419" s="62"/>
      <c r="J419" s="63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5"/>
      <c r="AS419" s="63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5"/>
      <c r="CB419" s="60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</row>
    <row r="420" spans="2:130" x14ac:dyDescent="0.15">
      <c r="B420" s="58" t="str">
        <f>IF(G420&lt;&gt;"",SUBTOTAL(3,$G$6:G420),"")</f>
        <v/>
      </c>
      <c r="C420" s="58"/>
      <c r="D420" s="58"/>
      <c r="E420" s="59"/>
      <c r="F420" s="59"/>
      <c r="G420" s="59"/>
      <c r="H420" s="61"/>
      <c r="I420" s="62"/>
      <c r="J420" s="63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5"/>
      <c r="AS420" s="63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5"/>
      <c r="CB420" s="60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</row>
    <row r="421" spans="2:130" x14ac:dyDescent="0.15">
      <c r="B421" s="58" t="str">
        <f>IF(G421&lt;&gt;"",SUBTOTAL(3,$G$6:G421),"")</f>
        <v/>
      </c>
      <c r="C421" s="58"/>
      <c r="D421" s="58"/>
      <c r="E421" s="59"/>
      <c r="F421" s="59"/>
      <c r="G421" s="59"/>
      <c r="H421" s="61"/>
      <c r="I421" s="62"/>
      <c r="J421" s="63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5"/>
      <c r="AS421" s="63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5"/>
      <c r="CB421" s="60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</row>
    <row r="422" spans="2:130" ht="15.75" x14ac:dyDescent="0.15">
      <c r="B422" s="58" t="str">
        <f>IF(G422&lt;&gt;"",SUBTOTAL(3,$G$6:G422),"")</f>
        <v/>
      </c>
      <c r="C422" s="58"/>
      <c r="D422" s="58"/>
      <c r="E422" s="59"/>
      <c r="F422" s="59"/>
      <c r="G422" s="59"/>
      <c r="H422" s="61"/>
      <c r="I422" s="62"/>
      <c r="J422" s="40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2"/>
      <c r="AS422" s="63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5"/>
      <c r="CB422" s="60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</row>
    <row r="423" spans="2:130" x14ac:dyDescent="0.15">
      <c r="B423" s="58" t="str">
        <f>IF(G423&lt;&gt;"",SUBTOTAL(3,$G$6:G423),"")</f>
        <v/>
      </c>
      <c r="C423" s="58"/>
      <c r="D423" s="58"/>
      <c r="E423" s="59"/>
      <c r="F423" s="59"/>
      <c r="G423" s="59"/>
      <c r="H423" s="61"/>
      <c r="I423" s="62"/>
      <c r="J423" s="63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5"/>
      <c r="AS423" s="63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5"/>
      <c r="CB423" s="60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</row>
    <row r="424" spans="2:130" x14ac:dyDescent="0.15">
      <c r="B424" s="58" t="str">
        <f>IF(G424&lt;&gt;"",SUBTOTAL(3,$G$6:G424),"")</f>
        <v/>
      </c>
      <c r="C424" s="58"/>
      <c r="D424" s="58"/>
      <c r="E424" s="59"/>
      <c r="F424" s="59"/>
      <c r="G424" s="59"/>
      <c r="H424" s="61"/>
      <c r="I424" s="62"/>
      <c r="J424" s="63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5"/>
      <c r="AS424" s="63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5"/>
      <c r="CB424" s="60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</row>
    <row r="425" spans="2:130" x14ac:dyDescent="0.15">
      <c r="B425" s="58" t="str">
        <f>IF(G425&lt;&gt;"",SUBTOTAL(3,$G$6:G425),"")</f>
        <v/>
      </c>
      <c r="C425" s="58"/>
      <c r="D425" s="58"/>
      <c r="E425" s="59"/>
      <c r="F425" s="59"/>
      <c r="G425" s="59"/>
      <c r="H425" s="61"/>
      <c r="I425" s="62"/>
      <c r="J425" s="63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5"/>
      <c r="AS425" s="63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5"/>
      <c r="CB425" s="60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</row>
    <row r="426" spans="2:130" x14ac:dyDescent="0.15">
      <c r="B426" s="58" t="str">
        <f>IF(G426&lt;&gt;"",SUBTOTAL(3,$G$6:G426),"")</f>
        <v/>
      </c>
      <c r="C426" s="58"/>
      <c r="D426" s="58"/>
      <c r="E426" s="59"/>
      <c r="F426" s="59"/>
      <c r="G426" s="59"/>
      <c r="H426" s="61"/>
      <c r="I426" s="62"/>
      <c r="J426" s="63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5"/>
      <c r="AS426" s="63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5"/>
      <c r="CB426" s="60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</row>
    <row r="427" spans="2:130" x14ac:dyDescent="0.15">
      <c r="B427" s="58" t="str">
        <f>IF(G427&lt;&gt;"",SUBTOTAL(3,$G$6:G427),"")</f>
        <v/>
      </c>
      <c r="C427" s="58"/>
      <c r="D427" s="58"/>
      <c r="E427" s="59"/>
      <c r="F427" s="59"/>
      <c r="G427" s="59"/>
      <c r="H427" s="61"/>
      <c r="I427" s="62"/>
      <c r="J427" s="63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5"/>
      <c r="AS427" s="63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5"/>
      <c r="CB427" s="60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</row>
    <row r="428" spans="2:130" x14ac:dyDescent="0.15">
      <c r="B428" s="58" t="str">
        <f>IF(G428&lt;&gt;"",SUBTOTAL(3,$G$6:G428),"")</f>
        <v/>
      </c>
      <c r="C428" s="58"/>
      <c r="D428" s="58"/>
      <c r="E428" s="59"/>
      <c r="F428" s="59"/>
      <c r="G428" s="59"/>
      <c r="H428" s="61"/>
      <c r="I428" s="62"/>
      <c r="J428" s="63"/>
      <c r="K428" s="64"/>
      <c r="L428" s="64"/>
      <c r="M428" s="64"/>
      <c r="N428" s="64"/>
      <c r="O428" s="64"/>
      <c r="P428" s="64"/>
      <c r="Q428" s="64"/>
      <c r="R428" s="64"/>
      <c r="S428" s="64"/>
      <c r="T428" s="64"/>
      <c r="U428" s="64"/>
      <c r="V428" s="64"/>
      <c r="W428" s="64"/>
      <c r="X428" s="64"/>
      <c r="Y428" s="64"/>
      <c r="Z428" s="64"/>
      <c r="AA428" s="64"/>
      <c r="AB428" s="64"/>
      <c r="AC428" s="64"/>
      <c r="AD428" s="64"/>
      <c r="AE428" s="64"/>
      <c r="AF428" s="64"/>
      <c r="AG428" s="64"/>
      <c r="AH428" s="64"/>
      <c r="AI428" s="64"/>
      <c r="AJ428" s="64"/>
      <c r="AK428" s="64"/>
      <c r="AL428" s="64"/>
      <c r="AM428" s="64"/>
      <c r="AN428" s="64"/>
      <c r="AO428" s="64"/>
      <c r="AP428" s="64"/>
      <c r="AQ428" s="64"/>
      <c r="AR428" s="65"/>
      <c r="AS428" s="63"/>
      <c r="AT428" s="64"/>
      <c r="AU428" s="64"/>
      <c r="AV428" s="64"/>
      <c r="AW428" s="64"/>
      <c r="AX428" s="64"/>
      <c r="AY428" s="64"/>
      <c r="AZ428" s="64"/>
      <c r="BA428" s="64"/>
      <c r="BB428" s="64"/>
      <c r="BC428" s="64"/>
      <c r="BD428" s="64"/>
      <c r="BE428" s="64"/>
      <c r="BF428" s="64"/>
      <c r="BG428" s="64"/>
      <c r="BH428" s="64"/>
      <c r="BI428" s="64"/>
      <c r="BJ428" s="64"/>
      <c r="BK428" s="64"/>
      <c r="BL428" s="64"/>
      <c r="BM428" s="64"/>
      <c r="BN428" s="64"/>
      <c r="BO428" s="64"/>
      <c r="BP428" s="64"/>
      <c r="BQ428" s="64"/>
      <c r="BR428" s="64"/>
      <c r="BS428" s="64"/>
      <c r="BT428" s="64"/>
      <c r="BU428" s="64"/>
      <c r="BV428" s="64"/>
      <c r="BW428" s="64"/>
      <c r="BX428" s="64"/>
      <c r="BY428" s="64"/>
      <c r="BZ428" s="64"/>
      <c r="CA428" s="65"/>
      <c r="CB428" s="60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</row>
    <row r="429" spans="2:130" x14ac:dyDescent="0.15">
      <c r="B429" s="58" t="str">
        <f>IF(G429&lt;&gt;"",SUBTOTAL(3,$G$6:G429),"")</f>
        <v/>
      </c>
      <c r="C429" s="58"/>
      <c r="D429" s="58"/>
      <c r="E429" s="59"/>
      <c r="F429" s="59"/>
      <c r="G429" s="59"/>
      <c r="H429" s="61"/>
      <c r="I429" s="62"/>
      <c r="J429" s="63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4"/>
      <c r="AG429" s="64"/>
      <c r="AH429" s="64"/>
      <c r="AI429" s="64"/>
      <c r="AJ429" s="64"/>
      <c r="AK429" s="64"/>
      <c r="AL429" s="64"/>
      <c r="AM429" s="64"/>
      <c r="AN429" s="64"/>
      <c r="AO429" s="64"/>
      <c r="AP429" s="64"/>
      <c r="AQ429" s="64"/>
      <c r="AR429" s="65"/>
      <c r="AS429" s="63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  <c r="BI429" s="64"/>
      <c r="BJ429" s="64"/>
      <c r="BK429" s="64"/>
      <c r="BL429" s="64"/>
      <c r="BM429" s="64"/>
      <c r="BN429" s="64"/>
      <c r="BO429" s="64"/>
      <c r="BP429" s="64"/>
      <c r="BQ429" s="64"/>
      <c r="BR429" s="64"/>
      <c r="BS429" s="64"/>
      <c r="BT429" s="64"/>
      <c r="BU429" s="64"/>
      <c r="BV429" s="64"/>
      <c r="BW429" s="64"/>
      <c r="BX429" s="64"/>
      <c r="BY429" s="64"/>
      <c r="BZ429" s="64"/>
      <c r="CA429" s="65"/>
      <c r="CB429" s="60"/>
      <c r="CH429" s="64"/>
      <c r="CI429" s="64"/>
      <c r="CJ429" s="64"/>
      <c r="CK429" s="64"/>
      <c r="CL429" s="64"/>
      <c r="CM429" s="64"/>
      <c r="CN429" s="64"/>
      <c r="CO429" s="64"/>
      <c r="CP429" s="64"/>
      <c r="CQ429" s="64"/>
      <c r="CR429" s="64"/>
      <c r="CS429" s="64"/>
      <c r="CT429" s="64"/>
      <c r="CU429" s="64"/>
      <c r="CV429" s="64"/>
      <c r="CW429" s="64"/>
      <c r="CX429" s="64"/>
      <c r="CY429" s="64"/>
      <c r="CZ429" s="64"/>
      <c r="DA429" s="64"/>
      <c r="DB429" s="64"/>
      <c r="DC429" s="64"/>
      <c r="DD429" s="64"/>
      <c r="DE429" s="64"/>
      <c r="DF429" s="64"/>
      <c r="DG429" s="64"/>
      <c r="DH429" s="64"/>
      <c r="DI429" s="64"/>
      <c r="DJ429" s="64"/>
      <c r="DK429" s="64"/>
      <c r="DL429" s="64"/>
      <c r="DM429" s="64"/>
      <c r="DN429" s="64"/>
      <c r="DO429" s="64"/>
      <c r="DP429" s="64"/>
      <c r="DQ429" s="64"/>
      <c r="DR429" s="64"/>
      <c r="DS429" s="64"/>
      <c r="DT429" s="64"/>
      <c r="DU429" s="64"/>
      <c r="DV429" s="64"/>
      <c r="DW429" s="64"/>
      <c r="DX429" s="64"/>
      <c r="DY429" s="64"/>
      <c r="DZ429" s="64"/>
    </row>
    <row r="430" spans="2:130" x14ac:dyDescent="0.15">
      <c r="B430" s="58" t="str">
        <f>IF(G430&lt;&gt;"",SUBTOTAL(3,$G$6:G430),"")</f>
        <v/>
      </c>
      <c r="C430" s="58"/>
      <c r="D430" s="58"/>
      <c r="E430" s="59"/>
      <c r="F430" s="59"/>
      <c r="G430" s="59"/>
      <c r="H430" s="61"/>
      <c r="I430" s="62"/>
      <c r="J430" s="63"/>
      <c r="K430" s="64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/>
      <c r="AD430" s="64"/>
      <c r="AE430" s="64"/>
      <c r="AF430" s="64"/>
      <c r="AG430" s="64"/>
      <c r="AH430" s="64"/>
      <c r="AI430" s="64"/>
      <c r="AJ430" s="64"/>
      <c r="AK430" s="64"/>
      <c r="AL430" s="64"/>
      <c r="AM430" s="64"/>
      <c r="AN430" s="64"/>
      <c r="AO430" s="64"/>
      <c r="AP430" s="64"/>
      <c r="AQ430" s="64"/>
      <c r="AR430" s="65"/>
      <c r="AS430" s="63"/>
      <c r="AT430" s="64"/>
      <c r="AU430" s="64"/>
      <c r="AV430" s="64"/>
      <c r="AW430" s="64"/>
      <c r="AX430" s="64"/>
      <c r="AY430" s="64"/>
      <c r="AZ430" s="64"/>
      <c r="BA430" s="64"/>
      <c r="BB430" s="64"/>
      <c r="BC430" s="64"/>
      <c r="BD430" s="64"/>
      <c r="BE430" s="64"/>
      <c r="BF430" s="64"/>
      <c r="BG430" s="64"/>
      <c r="BH430" s="64"/>
      <c r="BI430" s="64"/>
      <c r="BJ430" s="64"/>
      <c r="BK430" s="64"/>
      <c r="BL430" s="64"/>
      <c r="BM430" s="64"/>
      <c r="BN430" s="64"/>
      <c r="BO430" s="64"/>
      <c r="BP430" s="64"/>
      <c r="BQ430" s="64"/>
      <c r="BR430" s="64"/>
      <c r="BS430" s="64"/>
      <c r="BT430" s="64"/>
      <c r="BU430" s="64"/>
      <c r="BV430" s="64"/>
      <c r="BW430" s="64"/>
      <c r="BX430" s="64"/>
      <c r="BY430" s="64"/>
      <c r="BZ430" s="64"/>
      <c r="CA430" s="65"/>
      <c r="CB430" s="60"/>
      <c r="CH430" s="64"/>
      <c r="CI430" s="64"/>
      <c r="CJ430" s="64"/>
      <c r="CK430" s="64"/>
      <c r="CL430" s="64"/>
      <c r="CM430" s="64"/>
      <c r="CN430" s="64"/>
      <c r="CO430" s="64"/>
      <c r="CP430" s="64"/>
      <c r="CQ430" s="64"/>
      <c r="CR430" s="64"/>
      <c r="CS430" s="64"/>
      <c r="CT430" s="64"/>
      <c r="CU430" s="64"/>
      <c r="CV430" s="64"/>
      <c r="CW430" s="64"/>
      <c r="CX430" s="64"/>
      <c r="CY430" s="64"/>
      <c r="CZ430" s="64"/>
      <c r="DA430" s="64"/>
      <c r="DB430" s="64"/>
      <c r="DC430" s="64"/>
      <c r="DD430" s="64"/>
      <c r="DE430" s="64"/>
      <c r="DF430" s="64"/>
      <c r="DG430" s="64"/>
      <c r="DH430" s="64"/>
      <c r="DI430" s="64"/>
      <c r="DJ430" s="64"/>
      <c r="DK430" s="64"/>
      <c r="DL430" s="64"/>
      <c r="DM430" s="64"/>
      <c r="DN430" s="64"/>
      <c r="DO430" s="64"/>
      <c r="DP430" s="64"/>
      <c r="DQ430" s="64"/>
      <c r="DR430" s="64"/>
      <c r="DS430" s="64"/>
      <c r="DT430" s="64"/>
      <c r="DU430" s="64"/>
      <c r="DV430" s="64"/>
      <c r="DW430" s="64"/>
      <c r="DX430" s="64"/>
      <c r="DY430" s="64"/>
      <c r="DZ430" s="64"/>
    </row>
    <row r="431" spans="2:130" x14ac:dyDescent="0.15">
      <c r="B431" s="58" t="str">
        <f>IF(G431&lt;&gt;"",SUBTOTAL(3,$G$6:G431),"")</f>
        <v/>
      </c>
      <c r="C431" s="58"/>
      <c r="D431" s="58"/>
      <c r="E431" s="59"/>
      <c r="F431" s="59"/>
      <c r="G431" s="59"/>
      <c r="H431" s="61"/>
      <c r="I431" s="62"/>
      <c r="J431" s="63"/>
      <c r="K431" s="64"/>
      <c r="L431" s="64"/>
      <c r="M431" s="64"/>
      <c r="N431" s="64"/>
      <c r="O431" s="64"/>
      <c r="P431" s="64"/>
      <c r="Q431" s="64"/>
      <c r="R431" s="64"/>
      <c r="S431" s="64"/>
      <c r="T431" s="64"/>
      <c r="U431" s="64"/>
      <c r="V431" s="64"/>
      <c r="W431" s="64"/>
      <c r="X431" s="64"/>
      <c r="Y431" s="64"/>
      <c r="Z431" s="64"/>
      <c r="AA431" s="64"/>
      <c r="AB431" s="64"/>
      <c r="AC431" s="64"/>
      <c r="AD431" s="64"/>
      <c r="AE431" s="64"/>
      <c r="AF431" s="64"/>
      <c r="AG431" s="64"/>
      <c r="AH431" s="64"/>
      <c r="AI431" s="64"/>
      <c r="AJ431" s="64"/>
      <c r="AK431" s="64"/>
      <c r="AL431" s="64"/>
      <c r="AM431" s="64"/>
      <c r="AN431" s="64"/>
      <c r="AO431" s="64"/>
      <c r="AP431" s="64"/>
      <c r="AQ431" s="64"/>
      <c r="AR431" s="65"/>
      <c r="AS431" s="63"/>
      <c r="AT431" s="64"/>
      <c r="AU431" s="64"/>
      <c r="AV431" s="64"/>
      <c r="AW431" s="64"/>
      <c r="AX431" s="64"/>
      <c r="AY431" s="64"/>
      <c r="AZ431" s="64"/>
      <c r="BA431" s="64"/>
      <c r="BB431" s="64"/>
      <c r="BC431" s="64"/>
      <c r="BD431" s="64"/>
      <c r="BE431" s="64"/>
      <c r="BF431" s="64"/>
      <c r="BG431" s="64"/>
      <c r="BH431" s="64"/>
      <c r="BI431" s="64"/>
      <c r="BJ431" s="64"/>
      <c r="BK431" s="64"/>
      <c r="BL431" s="64"/>
      <c r="BM431" s="64"/>
      <c r="BN431" s="64"/>
      <c r="BO431" s="64"/>
      <c r="BP431" s="64"/>
      <c r="BQ431" s="64"/>
      <c r="BR431" s="64"/>
      <c r="BS431" s="64"/>
      <c r="BT431" s="64"/>
      <c r="BU431" s="64"/>
      <c r="BV431" s="64"/>
      <c r="BW431" s="64"/>
      <c r="BX431" s="64"/>
      <c r="BY431" s="64"/>
      <c r="BZ431" s="64"/>
      <c r="CA431" s="65"/>
      <c r="CB431" s="60"/>
      <c r="CH431" s="64"/>
      <c r="CI431" s="64"/>
      <c r="CJ431" s="64"/>
      <c r="CK431" s="64"/>
      <c r="CL431" s="64"/>
      <c r="CM431" s="64"/>
      <c r="CN431" s="64"/>
      <c r="CO431" s="64"/>
      <c r="CP431" s="64"/>
      <c r="CQ431" s="64"/>
      <c r="CR431" s="64"/>
      <c r="CS431" s="64"/>
      <c r="CT431" s="64"/>
      <c r="CU431" s="64"/>
      <c r="CV431" s="64"/>
      <c r="CW431" s="64"/>
      <c r="CX431" s="64"/>
      <c r="CY431" s="64"/>
      <c r="CZ431" s="64"/>
      <c r="DA431" s="64"/>
      <c r="DB431" s="64"/>
      <c r="DC431" s="64"/>
      <c r="DD431" s="64"/>
      <c r="DE431" s="64"/>
      <c r="DF431" s="64"/>
      <c r="DG431" s="64"/>
      <c r="DH431" s="64"/>
      <c r="DI431" s="64"/>
      <c r="DJ431" s="64"/>
      <c r="DK431" s="64"/>
      <c r="DL431" s="64"/>
      <c r="DM431" s="64"/>
      <c r="DN431" s="64"/>
      <c r="DO431" s="64"/>
      <c r="DP431" s="64"/>
      <c r="DQ431" s="64"/>
      <c r="DR431" s="64"/>
      <c r="DS431" s="64"/>
      <c r="DT431" s="64"/>
      <c r="DU431" s="64"/>
      <c r="DV431" s="64"/>
      <c r="DW431" s="64"/>
      <c r="DX431" s="64"/>
      <c r="DY431" s="64"/>
      <c r="DZ431" s="64"/>
    </row>
    <row r="432" spans="2:130" x14ac:dyDescent="0.15">
      <c r="B432" s="58" t="str">
        <f>IF(G432&lt;&gt;"",SUBTOTAL(3,$G$6:G432),"")</f>
        <v/>
      </c>
      <c r="C432" s="58"/>
      <c r="D432" s="58"/>
      <c r="E432" s="59"/>
      <c r="F432" s="59"/>
      <c r="G432" s="59"/>
      <c r="H432" s="61"/>
      <c r="I432" s="62"/>
      <c r="J432" s="63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5"/>
      <c r="AS432" s="63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  <c r="BI432" s="64"/>
      <c r="BJ432" s="64"/>
      <c r="BK432" s="64"/>
      <c r="BL432" s="64"/>
      <c r="BM432" s="64"/>
      <c r="BN432" s="64"/>
      <c r="BO432" s="64"/>
      <c r="BP432" s="64"/>
      <c r="BQ432" s="64"/>
      <c r="BR432" s="64"/>
      <c r="BS432" s="64"/>
      <c r="BT432" s="64"/>
      <c r="BU432" s="64"/>
      <c r="BV432" s="64"/>
      <c r="BW432" s="64"/>
      <c r="BX432" s="64"/>
      <c r="BY432" s="64"/>
      <c r="BZ432" s="64"/>
      <c r="CA432" s="65"/>
      <c r="CB432" s="60"/>
      <c r="CH432" s="64"/>
      <c r="CI432" s="64"/>
      <c r="CJ432" s="64"/>
      <c r="CK432" s="64"/>
      <c r="CL432" s="64"/>
      <c r="CM432" s="64"/>
      <c r="CN432" s="64"/>
      <c r="CO432" s="64"/>
      <c r="CP432" s="64"/>
      <c r="CQ432" s="64"/>
      <c r="CR432" s="64"/>
      <c r="CS432" s="64"/>
      <c r="CT432" s="64"/>
      <c r="CU432" s="64"/>
      <c r="CV432" s="64"/>
      <c r="CW432" s="64"/>
      <c r="CX432" s="64"/>
      <c r="CY432" s="64"/>
      <c r="CZ432" s="64"/>
      <c r="DA432" s="64"/>
      <c r="DB432" s="64"/>
      <c r="DC432" s="64"/>
      <c r="DD432" s="64"/>
      <c r="DE432" s="64"/>
      <c r="DF432" s="64"/>
      <c r="DG432" s="64"/>
      <c r="DH432" s="64"/>
      <c r="DI432" s="64"/>
      <c r="DJ432" s="64"/>
      <c r="DK432" s="64"/>
      <c r="DL432" s="64"/>
      <c r="DM432" s="64"/>
      <c r="DN432" s="64"/>
      <c r="DO432" s="64"/>
      <c r="DP432" s="64"/>
      <c r="DQ432" s="64"/>
      <c r="DR432" s="64"/>
      <c r="DS432" s="64"/>
      <c r="DT432" s="64"/>
      <c r="DU432" s="64"/>
      <c r="DV432" s="64"/>
      <c r="DW432" s="64"/>
      <c r="DX432" s="64"/>
      <c r="DY432" s="64"/>
      <c r="DZ432" s="64"/>
    </row>
    <row r="433" spans="2:130" x14ac:dyDescent="0.15">
      <c r="B433" s="58" t="str">
        <f>IF(G433&lt;&gt;"",SUBTOTAL(3,$G$6:G433),"")</f>
        <v/>
      </c>
      <c r="C433" s="58"/>
      <c r="D433" s="58"/>
      <c r="E433" s="59"/>
      <c r="F433" s="59"/>
      <c r="G433" s="59"/>
      <c r="H433" s="61"/>
      <c r="I433" s="62"/>
      <c r="J433" s="63"/>
      <c r="K433" s="64"/>
      <c r="L433" s="64"/>
      <c r="M433" s="64"/>
      <c r="N433" s="64"/>
      <c r="O433" s="64"/>
      <c r="P433" s="64"/>
      <c r="Q433" s="64"/>
      <c r="R433" s="64"/>
      <c r="S433" s="64"/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64"/>
      <c r="AP433" s="64"/>
      <c r="AQ433" s="64"/>
      <c r="AR433" s="65"/>
      <c r="AS433" s="63"/>
      <c r="AT433" s="64"/>
      <c r="AU433" s="64"/>
      <c r="AV433" s="64"/>
      <c r="AW433" s="64"/>
      <c r="AX433" s="64"/>
      <c r="AY433" s="64"/>
      <c r="AZ433" s="64"/>
      <c r="BA433" s="64"/>
      <c r="BB433" s="64"/>
      <c r="BC433" s="64"/>
      <c r="BD433" s="64"/>
      <c r="BE433" s="64"/>
      <c r="BF433" s="64"/>
      <c r="BG433" s="64"/>
      <c r="BH433" s="64"/>
      <c r="BI433" s="64"/>
      <c r="BJ433" s="64"/>
      <c r="BK433" s="64"/>
      <c r="BL433" s="64"/>
      <c r="BM433" s="64"/>
      <c r="BN433" s="64"/>
      <c r="BO433" s="64"/>
      <c r="BP433" s="64"/>
      <c r="BQ433" s="64"/>
      <c r="BR433" s="64"/>
      <c r="BS433" s="64"/>
      <c r="BT433" s="64"/>
      <c r="BU433" s="64"/>
      <c r="BV433" s="64"/>
      <c r="BW433" s="64"/>
      <c r="BX433" s="64"/>
      <c r="BY433" s="64"/>
      <c r="BZ433" s="64"/>
      <c r="CA433" s="65"/>
      <c r="CB433" s="60"/>
      <c r="CH433" s="64"/>
      <c r="CI433" s="64"/>
      <c r="CJ433" s="64"/>
      <c r="CK433" s="64"/>
      <c r="CL433" s="64"/>
      <c r="CM433" s="64"/>
      <c r="CN433" s="64"/>
      <c r="CO433" s="64"/>
      <c r="CP433" s="64"/>
      <c r="CQ433" s="64"/>
      <c r="CR433" s="64"/>
      <c r="CS433" s="64"/>
      <c r="CT433" s="64"/>
      <c r="CU433" s="64"/>
      <c r="CV433" s="64"/>
      <c r="CW433" s="64"/>
      <c r="CX433" s="64"/>
      <c r="CY433" s="64"/>
      <c r="CZ433" s="64"/>
      <c r="DA433" s="64"/>
      <c r="DB433" s="64"/>
      <c r="DC433" s="64"/>
      <c r="DD433" s="64"/>
      <c r="DE433" s="64"/>
      <c r="DF433" s="64"/>
      <c r="DG433" s="64"/>
      <c r="DH433" s="64"/>
      <c r="DI433" s="64"/>
      <c r="DJ433" s="64"/>
      <c r="DK433" s="64"/>
      <c r="DL433" s="64"/>
      <c r="DM433" s="64"/>
      <c r="DN433" s="64"/>
      <c r="DO433" s="64"/>
      <c r="DP433" s="64"/>
      <c r="DQ433" s="64"/>
      <c r="DR433" s="64"/>
      <c r="DS433" s="64"/>
      <c r="DT433" s="64"/>
      <c r="DU433" s="64"/>
      <c r="DV433" s="64"/>
      <c r="DW433" s="64"/>
      <c r="DX433" s="64"/>
      <c r="DY433" s="64"/>
      <c r="DZ433" s="64"/>
    </row>
    <row r="434" spans="2:130" x14ac:dyDescent="0.15">
      <c r="B434" s="58" t="str">
        <f>IF(G434&lt;&gt;"",SUBTOTAL(3,$G$6:G434),"")</f>
        <v/>
      </c>
      <c r="C434" s="58"/>
      <c r="D434" s="58"/>
      <c r="E434" s="59"/>
      <c r="F434" s="59"/>
      <c r="G434" s="59"/>
      <c r="H434" s="61"/>
      <c r="I434" s="62"/>
      <c r="J434" s="63"/>
      <c r="K434" s="64"/>
      <c r="L434" s="64"/>
      <c r="M434" s="64"/>
      <c r="N434" s="64"/>
      <c r="O434" s="64"/>
      <c r="P434" s="64"/>
      <c r="Q434" s="64"/>
      <c r="R434" s="64"/>
      <c r="S434" s="64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5"/>
      <c r="AS434" s="63"/>
      <c r="AT434" s="64"/>
      <c r="AU434" s="64"/>
      <c r="AV434" s="64"/>
      <c r="AW434" s="64"/>
      <c r="AX434" s="64"/>
      <c r="AY434" s="64"/>
      <c r="AZ434" s="64"/>
      <c r="BA434" s="64"/>
      <c r="BB434" s="64"/>
      <c r="BC434" s="64"/>
      <c r="BD434" s="64"/>
      <c r="BE434" s="64"/>
      <c r="BF434" s="64"/>
      <c r="BG434" s="64"/>
      <c r="BH434" s="64"/>
      <c r="BI434" s="64"/>
      <c r="BJ434" s="64"/>
      <c r="BK434" s="64"/>
      <c r="BL434" s="64"/>
      <c r="BM434" s="64"/>
      <c r="BN434" s="64"/>
      <c r="BO434" s="64"/>
      <c r="BP434" s="64"/>
      <c r="BQ434" s="64"/>
      <c r="BR434" s="64"/>
      <c r="BS434" s="64"/>
      <c r="BT434" s="64"/>
      <c r="BU434" s="64"/>
      <c r="BV434" s="64"/>
      <c r="BW434" s="64"/>
      <c r="BX434" s="64"/>
      <c r="BY434" s="64"/>
      <c r="BZ434" s="64"/>
      <c r="CA434" s="65"/>
      <c r="CB434" s="60"/>
      <c r="CH434" s="64"/>
      <c r="CI434" s="64"/>
      <c r="CJ434" s="64"/>
      <c r="CK434" s="64"/>
      <c r="CL434" s="64"/>
      <c r="CM434" s="64"/>
      <c r="CN434" s="64"/>
      <c r="CO434" s="64"/>
      <c r="CP434" s="64"/>
      <c r="CQ434" s="64"/>
      <c r="CR434" s="64"/>
      <c r="CS434" s="64"/>
      <c r="CT434" s="64"/>
      <c r="CU434" s="64"/>
      <c r="CV434" s="64"/>
      <c r="CW434" s="64"/>
      <c r="CX434" s="64"/>
      <c r="CY434" s="64"/>
      <c r="CZ434" s="64"/>
      <c r="DA434" s="64"/>
      <c r="DB434" s="64"/>
      <c r="DC434" s="64"/>
      <c r="DD434" s="64"/>
      <c r="DE434" s="64"/>
      <c r="DF434" s="64"/>
      <c r="DG434" s="64"/>
      <c r="DH434" s="64"/>
      <c r="DI434" s="64"/>
      <c r="DJ434" s="64"/>
      <c r="DK434" s="64"/>
      <c r="DL434" s="64"/>
      <c r="DM434" s="64"/>
      <c r="DN434" s="64"/>
      <c r="DO434" s="64"/>
      <c r="DP434" s="64"/>
      <c r="DQ434" s="64"/>
      <c r="DR434" s="64"/>
      <c r="DS434" s="64"/>
      <c r="DT434" s="64"/>
      <c r="DU434" s="64"/>
      <c r="DV434" s="64"/>
      <c r="DW434" s="64"/>
      <c r="DX434" s="64"/>
      <c r="DY434" s="64"/>
      <c r="DZ434" s="64"/>
    </row>
    <row r="435" spans="2:130" x14ac:dyDescent="0.15">
      <c r="B435" s="58" t="str">
        <f>IF(G435&lt;&gt;"",SUBTOTAL(3,$G$6:G435),"")</f>
        <v/>
      </c>
      <c r="C435" s="58"/>
      <c r="D435" s="58"/>
      <c r="E435" s="59"/>
      <c r="F435" s="59"/>
      <c r="G435" s="59"/>
      <c r="H435" s="61"/>
      <c r="I435" s="62"/>
      <c r="J435" s="63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5"/>
      <c r="AS435" s="63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  <c r="BI435" s="64"/>
      <c r="BJ435" s="64"/>
      <c r="BK435" s="64"/>
      <c r="BL435" s="64"/>
      <c r="BM435" s="64"/>
      <c r="BN435" s="64"/>
      <c r="BO435" s="64"/>
      <c r="BP435" s="64"/>
      <c r="BQ435" s="64"/>
      <c r="BR435" s="64"/>
      <c r="BS435" s="64"/>
      <c r="BT435" s="64"/>
      <c r="BU435" s="64"/>
      <c r="BV435" s="64"/>
      <c r="BW435" s="64"/>
      <c r="BX435" s="64"/>
      <c r="BY435" s="64"/>
      <c r="BZ435" s="64"/>
      <c r="CA435" s="65"/>
      <c r="CB435" s="60"/>
      <c r="CH435" s="64"/>
      <c r="CI435" s="64"/>
      <c r="CJ435" s="64"/>
      <c r="CK435" s="64"/>
      <c r="CL435" s="64"/>
      <c r="CM435" s="64"/>
      <c r="CN435" s="64"/>
      <c r="CO435" s="64"/>
      <c r="CP435" s="64"/>
      <c r="CQ435" s="64"/>
      <c r="CR435" s="64"/>
      <c r="CS435" s="64"/>
      <c r="CT435" s="64"/>
      <c r="CU435" s="64"/>
      <c r="CV435" s="64"/>
      <c r="CW435" s="64"/>
      <c r="CX435" s="64"/>
      <c r="CY435" s="64"/>
      <c r="CZ435" s="64"/>
      <c r="DA435" s="64"/>
      <c r="DB435" s="64"/>
      <c r="DC435" s="64"/>
      <c r="DD435" s="64"/>
      <c r="DE435" s="64"/>
      <c r="DF435" s="64"/>
      <c r="DG435" s="64"/>
      <c r="DH435" s="64"/>
      <c r="DI435" s="64"/>
      <c r="DJ435" s="64"/>
      <c r="DK435" s="64"/>
      <c r="DL435" s="64"/>
      <c r="DM435" s="64"/>
      <c r="DN435" s="64"/>
      <c r="DO435" s="64"/>
      <c r="DP435" s="64"/>
      <c r="DQ435" s="64"/>
      <c r="DR435" s="64"/>
      <c r="DS435" s="64"/>
      <c r="DT435" s="64"/>
      <c r="DU435" s="64"/>
      <c r="DV435" s="64"/>
      <c r="DW435" s="64"/>
      <c r="DX435" s="64"/>
      <c r="DY435" s="64"/>
      <c r="DZ435" s="64"/>
    </row>
    <row r="436" spans="2:130" x14ac:dyDescent="0.15">
      <c r="B436" s="58" t="str">
        <f>IF(G436&lt;&gt;"",SUBTOTAL(3,$G$6:G436),"")</f>
        <v/>
      </c>
      <c r="C436" s="58"/>
      <c r="D436" s="58"/>
      <c r="E436" s="59"/>
      <c r="F436" s="59"/>
      <c r="G436" s="59"/>
      <c r="H436" s="61"/>
      <c r="I436" s="62"/>
      <c r="J436" s="63"/>
      <c r="K436" s="64"/>
      <c r="L436" s="64"/>
      <c r="M436" s="64"/>
      <c r="N436" s="64"/>
      <c r="O436" s="64"/>
      <c r="P436" s="64"/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64"/>
      <c r="AP436" s="64"/>
      <c r="AQ436" s="64"/>
      <c r="AR436" s="65"/>
      <c r="AS436" s="63"/>
      <c r="AT436" s="64"/>
      <c r="AU436" s="64"/>
      <c r="AV436" s="64"/>
      <c r="AW436" s="64"/>
      <c r="AX436" s="64"/>
      <c r="AY436" s="64"/>
      <c r="AZ436" s="64"/>
      <c r="BA436" s="64"/>
      <c r="BB436" s="64"/>
      <c r="BC436" s="64"/>
      <c r="BD436" s="64"/>
      <c r="BE436" s="64"/>
      <c r="BF436" s="64"/>
      <c r="BG436" s="64"/>
      <c r="BH436" s="64"/>
      <c r="BI436" s="64"/>
      <c r="BJ436" s="64"/>
      <c r="BK436" s="64"/>
      <c r="BL436" s="64"/>
      <c r="BM436" s="64"/>
      <c r="BN436" s="64"/>
      <c r="BO436" s="64"/>
      <c r="BP436" s="64"/>
      <c r="BQ436" s="64"/>
      <c r="BR436" s="64"/>
      <c r="BS436" s="64"/>
      <c r="BT436" s="64"/>
      <c r="BU436" s="64"/>
      <c r="BV436" s="64"/>
      <c r="BW436" s="64"/>
      <c r="BX436" s="64"/>
      <c r="BY436" s="64"/>
      <c r="BZ436" s="64"/>
      <c r="CA436" s="65"/>
      <c r="CB436" s="60"/>
      <c r="CH436" s="64"/>
      <c r="CI436" s="64"/>
      <c r="CJ436" s="64"/>
      <c r="CK436" s="64"/>
      <c r="CL436" s="64"/>
      <c r="CM436" s="64"/>
      <c r="CN436" s="64"/>
      <c r="CO436" s="64"/>
      <c r="CP436" s="64"/>
      <c r="CQ436" s="64"/>
      <c r="CR436" s="64"/>
      <c r="CS436" s="64"/>
      <c r="CT436" s="64"/>
      <c r="CU436" s="64"/>
      <c r="CV436" s="64"/>
      <c r="CW436" s="64"/>
      <c r="CX436" s="64"/>
      <c r="CY436" s="64"/>
      <c r="CZ436" s="64"/>
      <c r="DA436" s="64"/>
      <c r="DB436" s="64"/>
      <c r="DC436" s="64"/>
      <c r="DD436" s="64"/>
      <c r="DE436" s="64"/>
      <c r="DF436" s="64"/>
      <c r="DG436" s="64"/>
      <c r="DH436" s="64"/>
      <c r="DI436" s="64"/>
      <c r="DJ436" s="64"/>
      <c r="DK436" s="64"/>
      <c r="DL436" s="64"/>
      <c r="DM436" s="64"/>
      <c r="DN436" s="64"/>
      <c r="DO436" s="64"/>
      <c r="DP436" s="64"/>
      <c r="DQ436" s="64"/>
      <c r="DR436" s="64"/>
      <c r="DS436" s="64"/>
      <c r="DT436" s="64"/>
      <c r="DU436" s="64"/>
      <c r="DV436" s="64"/>
      <c r="DW436" s="64"/>
      <c r="DX436" s="64"/>
      <c r="DY436" s="64"/>
      <c r="DZ436" s="64"/>
    </row>
    <row r="437" spans="2:130" x14ac:dyDescent="0.15">
      <c r="B437" s="85" t="str">
        <f>IF(G437&lt;&gt;"",SUBTOTAL(3,$G$6:G437),"")</f>
        <v/>
      </c>
      <c r="C437" s="85"/>
      <c r="D437" s="85"/>
      <c r="E437" s="86"/>
      <c r="F437" s="86"/>
      <c r="G437" s="86"/>
      <c r="H437" s="87"/>
      <c r="I437" s="88"/>
      <c r="J437" s="89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1"/>
      <c r="AS437" s="89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1"/>
      <c r="CB437" s="92"/>
      <c r="CH437" s="64"/>
      <c r="CI437" s="64"/>
      <c r="CJ437" s="64"/>
      <c r="CK437" s="64"/>
      <c r="CL437" s="64"/>
      <c r="CM437" s="64"/>
      <c r="CN437" s="64"/>
      <c r="CO437" s="64"/>
      <c r="CP437" s="64"/>
      <c r="CQ437" s="64"/>
      <c r="CR437" s="64"/>
      <c r="CS437" s="64"/>
      <c r="CT437" s="64"/>
      <c r="CU437" s="64"/>
      <c r="CV437" s="64"/>
      <c r="CW437" s="64"/>
      <c r="CX437" s="64"/>
      <c r="CY437" s="64"/>
      <c r="CZ437" s="64"/>
      <c r="DA437" s="64"/>
      <c r="DB437" s="64"/>
      <c r="DC437" s="64"/>
      <c r="DD437" s="64"/>
      <c r="DE437" s="64"/>
      <c r="DF437" s="64"/>
      <c r="DG437" s="64"/>
      <c r="DH437" s="64"/>
      <c r="DI437" s="64"/>
      <c r="DJ437" s="64"/>
      <c r="DK437" s="64"/>
      <c r="DL437" s="64"/>
      <c r="DM437" s="64"/>
      <c r="DN437" s="64"/>
      <c r="DO437" s="64"/>
      <c r="DP437" s="64"/>
      <c r="DQ437" s="64"/>
      <c r="DR437" s="64"/>
      <c r="DS437" s="64"/>
      <c r="DT437" s="64"/>
      <c r="DU437" s="64"/>
      <c r="DV437" s="64"/>
      <c r="DW437" s="64"/>
      <c r="DX437" s="64"/>
      <c r="DY437" s="64"/>
      <c r="DZ437" s="64"/>
    </row>
  </sheetData>
  <autoFilter ref="B5:CB437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408:I408 B422:I422 B414:I414 B45:D45 B52:H52 B61:H61 B409:AR413 B423:AR437 B415:AR421 F45:CB45 B46:CB50 J51:CB52 B62:CB62 K43:CB43 B44:CB44 K63:CB63 K324:CB324 B404:CB404 K403:CB403 K405:CB405 I212:CA212 K104:CB104 J60:CB61 B53:CB59 J64:CB66 B67:CB103 I215:I222 B215:H223 J215:CB223 B406:AR407 AS406:CB437 J223:J225 B213:CB214 J212:J214 B325:CB402 B6:CB42 B269:CB323 B268:I268 K268:CB268 B224:CB267 J160:AR212 AS160:CA211 CB160:CB212 B160:H212 I160:I211 B105:CB159">
    <cfRule type="expression" dxfId="28" priority="101">
      <formula>AND($I6&lt;&gt;1,$I6&lt;&gt;"")</formula>
    </cfRule>
  </conditionalFormatting>
  <conditionalFormatting sqref="I223:AR223">
    <cfRule type="expression" dxfId="27" priority="87">
      <formula>AND($I223&lt;&gt;1,$I223&lt;&gt;"")</formula>
    </cfRule>
  </conditionalFormatting>
  <conditionalFormatting sqref="E45">
    <cfRule type="expression" dxfId="26" priority="76">
      <formula>AND($I45&lt;&gt;1,$I45&lt;&gt;"")</formula>
    </cfRule>
  </conditionalFormatting>
  <conditionalFormatting sqref="B64:H64">
    <cfRule type="expression" dxfId="25" priority="73">
      <formula>AND($I64&lt;&gt;1,$I64&lt;&gt;"")</formula>
    </cfRule>
  </conditionalFormatting>
  <conditionalFormatting sqref="B43:I43">
    <cfRule type="expression" dxfId="24" priority="68">
      <formula>AND($I43&lt;&gt;1,$I43&lt;&gt;"")</formula>
    </cfRule>
  </conditionalFormatting>
  <conditionalFormatting sqref="J43">
    <cfRule type="expression" dxfId="23" priority="62">
      <formula>AND($I43&lt;&gt;1,$I43&lt;&gt;"")</formula>
    </cfRule>
  </conditionalFormatting>
  <conditionalFormatting sqref="B51:H51">
    <cfRule type="expression" dxfId="22" priority="60">
      <formula>AND($I51&lt;&gt;1,$I51&lt;&gt;"")</formula>
    </cfRule>
  </conditionalFormatting>
  <conditionalFormatting sqref="I51">
    <cfRule type="expression" dxfId="21" priority="59">
      <formula>AND($I51&lt;&gt;1,$I51&lt;&gt;"")</formula>
    </cfRule>
  </conditionalFormatting>
  <conditionalFormatting sqref="I52">
    <cfRule type="expression" dxfId="20" priority="58">
      <formula>AND($I52&lt;&gt;1,$I52&lt;&gt;"")</formula>
    </cfRule>
  </conditionalFormatting>
  <conditionalFormatting sqref="B60:I60">
    <cfRule type="expression" dxfId="19" priority="55">
      <formula>AND($I60&lt;&gt;1,$I60&lt;&gt;"")</formula>
    </cfRule>
  </conditionalFormatting>
  <conditionalFormatting sqref="J60">
    <cfRule type="expression" dxfId="18" priority="54">
      <formula>AND($I60&lt;&gt;1,$I60&lt;&gt;"")</formula>
    </cfRule>
  </conditionalFormatting>
  <conditionalFormatting sqref="I61">
    <cfRule type="expression" dxfId="17" priority="53">
      <formula>AND($I61&lt;&gt;1,$I61&lt;&gt;"")</formula>
    </cfRule>
  </conditionalFormatting>
  <conditionalFormatting sqref="B63:I63">
    <cfRule type="expression" dxfId="16" priority="52">
      <formula>AND($I63&lt;&gt;1,$I63&lt;&gt;"")</formula>
    </cfRule>
  </conditionalFormatting>
  <conditionalFormatting sqref="J63">
    <cfRule type="expression" dxfId="15" priority="51">
      <formula>AND($I63&lt;&gt;1,$I63&lt;&gt;"")</formula>
    </cfRule>
  </conditionalFormatting>
  <conditionalFormatting sqref="I64">
    <cfRule type="expression" dxfId="14" priority="50">
      <formula>AND($I64&lt;&gt;1,$I64&lt;&gt;"")</formula>
    </cfRule>
  </conditionalFormatting>
  <conditionalFormatting sqref="B104:I104">
    <cfRule type="expression" dxfId="13" priority="40">
      <formula>AND($I104&lt;&gt;1,$I104&lt;&gt;"")</formula>
    </cfRule>
  </conditionalFormatting>
  <conditionalFormatting sqref="J104">
    <cfRule type="expression" dxfId="12" priority="38">
      <formula>AND($I104&lt;&gt;1,$I104&lt;&gt;"")</formula>
    </cfRule>
  </conditionalFormatting>
  <conditionalFormatting sqref="B324:I324">
    <cfRule type="expression" dxfId="11" priority="23">
      <formula>AND($I324&lt;&gt;1,$I324&lt;&gt;"")</formula>
    </cfRule>
  </conditionalFormatting>
  <conditionalFormatting sqref="B403:I403 B405:I405">
    <cfRule type="expression" dxfId="10" priority="15">
      <formula>AND($I403&lt;&gt;1,$I403&lt;&gt;"")</formula>
    </cfRule>
  </conditionalFormatting>
  <conditionalFormatting sqref="J405">
    <cfRule type="expression" dxfId="9" priority="14">
      <formula>AND($I405&lt;&gt;1,$I405&lt;&gt;"")</formula>
    </cfRule>
  </conditionalFormatting>
  <conditionalFormatting sqref="B66:H66">
    <cfRule type="expression" dxfId="8" priority="12">
      <formula>AND($I66&lt;&gt;1,$I66&lt;&gt;"")</formula>
    </cfRule>
  </conditionalFormatting>
  <conditionalFormatting sqref="I66">
    <cfRule type="expression" dxfId="7" priority="11">
      <formula>AND($I66&lt;&gt;1,$I66&lt;&gt;"")</formula>
    </cfRule>
  </conditionalFormatting>
  <conditionalFormatting sqref="B65:H65">
    <cfRule type="expression" dxfId="6" priority="9">
      <formula>AND($I65&lt;&gt;1,$I65&lt;&gt;"")</formula>
    </cfRule>
  </conditionalFormatting>
  <conditionalFormatting sqref="I65">
    <cfRule type="expression" dxfId="5" priority="8">
      <formula>AND($I65&lt;&gt;1,$I65&lt;&gt;"")</formula>
    </cfRule>
  </conditionalFormatting>
  <conditionalFormatting sqref="J59">
    <cfRule type="expression" dxfId="4" priority="6">
      <formula>AND($I59&lt;&gt;1,$I59&lt;&gt;"")</formula>
    </cfRule>
  </conditionalFormatting>
  <conditionalFormatting sqref="J224">
    <cfRule type="expression" dxfId="3" priority="5">
      <formula>AND($I224&lt;&gt;1,$I224&lt;&gt;"")</formula>
    </cfRule>
  </conditionalFormatting>
  <conditionalFormatting sqref="J223">
    <cfRule type="expression" dxfId="2" priority="4">
      <formula>AND($I223&lt;&gt;1,$I223&lt;&gt;"")</formula>
    </cfRule>
  </conditionalFormatting>
  <conditionalFormatting sqref="J268">
    <cfRule type="expression" dxfId="1" priority="3">
      <formula>AND($I268&lt;&gt;1,$I268&lt;&gt;"")</formula>
    </cfRule>
  </conditionalFormatting>
  <conditionalFormatting sqref="J324">
    <cfRule type="expression" dxfId="0" priority="2">
      <formula>AND($I324&lt;&gt;1,$I324&lt;&gt;"")</formula>
    </cfRule>
  </conditionalFormatting>
  <dataValidations count="1">
    <dataValidation type="list" allowBlank="1" showInputMessage="1" showErrorMessage="1" sqref="I6:I437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26" location="toABC143_C_Slimes" display="(→)" xr:uid="{D0A14FDC-339D-483C-A7FB-42784F1DB2F9}"/>
    <hyperlink ref="CB238" location="toABC147_C_Honest_or_Unkind2" display="(→)" xr:uid="{5E89EE6B-F278-4D19-9890-D06616736879}"/>
    <hyperlink ref="CB244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405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2020-11-04T13:00:54Z</dcterms:modified>
</cp:coreProperties>
</file>
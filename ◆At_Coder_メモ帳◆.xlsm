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0CBA8B24-E557-466B-A989-25F817ED4E19}" xr6:coauthVersionLast="47" xr6:coauthVersionMax="47" xr10:uidLastSave="{00000000-0000-0000-0000-000000000000}"/>
  <bookViews>
    <workbookView xWindow="-120" yWindow="-120" windowWidth="28035" windowHeight="1644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C問題!$B$4:$CC$802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5" i="3" l="1"/>
  <c r="B573" i="3"/>
  <c r="B572" i="3"/>
  <c r="B579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91" i="3"/>
  <c r="B590" i="3"/>
  <c r="B589" i="3"/>
  <c r="B588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802" i="3"/>
  <c r="B801" i="3"/>
  <c r="B596" i="3"/>
  <c r="B595" i="3"/>
  <c r="B594" i="3"/>
  <c r="B593" i="3"/>
  <c r="B592" i="3"/>
  <c r="B587" i="3"/>
  <c r="B586" i="3"/>
  <c r="B585" i="3"/>
  <c r="B584" i="3"/>
  <c r="B583" i="3"/>
  <c r="B582" i="3"/>
  <c r="B581" i="3"/>
  <c r="B580" i="3"/>
  <c r="B578" i="3"/>
  <c r="B577" i="3"/>
  <c r="B576" i="3"/>
  <c r="B571" i="3"/>
  <c r="B570" i="3"/>
  <c r="B569" i="3"/>
  <c r="B568" i="3"/>
  <c r="B566" i="3"/>
  <c r="B565" i="3"/>
  <c r="B564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<sst xmlns="http://schemas.openxmlformats.org/spreadsheetml/2006/main" count="1211" uniqueCount="820">
  <si>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</si>
  <si>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</si>
  <si>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</si>
  <si>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</si>
  <si>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</si>
  <si>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</si>
  <si>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</si>
  <si>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</si>
  <si>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</si>
  <si>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</si>
  <si>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</si>
  <si>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</si>
  <si>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</si>
  <si>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</si>
  <si>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</si>
  <si>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</si>
  <si>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</si>
  <si>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</si>
  <si>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</si>
  <si>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</si>
  <si>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</si>
  <si>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</si>
  <si>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</si>
  <si>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</si>
  <si>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</si>
  <si>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</si>
  <si>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</si>
  <si>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</si>
  <si>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</si>
  <si>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</si>
  <si>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</si>
  <si>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</si>
  <si>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</si>
  <si>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</si>
  <si>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</si>
  <si>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</si>
  <si>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</si>
  <si>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</si>
  <si>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</si>
  <si>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</si>
  <si>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</si>
  <si>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</si>
  <si>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</si>
  <si>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</si>
  <si>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</si>
  <si>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</si>
  <si>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</si>
  <si>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</si>
  <si>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</si>
  <si>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</si>
  <si>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</si>
  <si>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</si>
  <si>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</si>
  <si>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</si>
  <si>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</si>
  <si>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</si>
  <si>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</si>
  <si>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</si>
  <si>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</si>
  <si>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</si>
  <si>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</si>
  <si>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</si>
  <si>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</si>
  <si>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</si>
  <si>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</si>
  <si>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</si>
  <si>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</si>
  <si>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</si>
  <si>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</si>
  <si>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</si>
  <si>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</si>
  <si>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</si>
  <si>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</si>
  <si>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</si>
  <si>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</si>
  <si>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</si>
  <si>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</si>
  <si>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</si>
  <si>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</si>
  <si>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</si>
  <si>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</si>
  <si>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</si>
  <si>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</si>
  <si>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</si>
  <si>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</si>
  <si>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</si>
  <si>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</si>
  <si>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</si>
  <si>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</si>
  <si>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</si>
  <si>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</si>
  <si>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</si>
  <si>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</si>
  <si>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</si>
  <si>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</si>
  <si>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</si>
  <si>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</si>
  <si>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</si>
  <si>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</si>
  <si>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</si>
  <si>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</si>
  <si>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</si>
  <si>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</si>
  <si>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</si>
  <si>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</si>
  <si>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</si>
  <si>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</si>
  <si>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</si>
  <si>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</si>
  <si>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</si>
  <si>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</si>
  <si>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</si>
  <si>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</si>
  <si>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</si>
  <si>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</si>
  <si>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</si>
  <si>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</si>
  <si>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</si>
  <si>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</si>
  <si>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</si>
  <si>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</si>
  <si>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</si>
  <si>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</si>
  <si>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</si>
  <si>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</si>
  <si>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</si>
  <si>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</si>
  <si>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</si>
  <si>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</si>
  <si>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</si>
  <si>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</si>
  <si>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</si>
  <si>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</si>
  <si>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</si>
  <si>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</si>
  <si>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</si>
  <si>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</si>
  <si>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</si>
  <si>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</si>
  <si>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</si>
  <si>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</si>
  <si>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</si>
  <si>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</si>
  <si>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</si>
  <si>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</si>
  <si>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</si>
  <si>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</si>
  <si>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</si>
  <si>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</si>
  <si>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</si>
  <si>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</si>
  <si>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</si>
  <si>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</si>
  <si>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</si>
  <si>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</si>
  <si>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</si>
  <si>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</si>
  <si>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</si>
  <si>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</si>
  <si>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</si>
  <si>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</si>
  <si>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</si>
  <si>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</si>
  <si>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</si>
  <si>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</si>
  <si>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</si>
  <si>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</si>
  <si>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</si>
  <si>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</si>
  <si>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</si>
  <si>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</si>
  <si>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</si>
  <si>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</si>
  <si>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</si>
  <si>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</si>
  <si>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</si>
  <si>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</si>
  <si>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</si>
  <si>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</si>
  <si>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</si>
  <si>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</si>
  <si>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</si>
  <si>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</si>
  <si>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</si>
  <si>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</si>
  <si>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</si>
  <si>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</si>
  <si>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</si>
  <si>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</si>
  <si>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</si>
  <si>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</si>
  <si>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</si>
  <si>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</si>
  <si>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</si>
  <si>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</si>
  <si>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</si>
  <si>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</si>
  <si>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</si>
  <si>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</si>
  <si>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</si>
  <si>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</si>
  <si>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</si>
  <si>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</si>
  <si>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</si>
  <si>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</si>
  <si>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</si>
  <si>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</si>
  <si>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</si>
  <si>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</si>
  <si>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</si>
  <si>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</si>
  <si>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</si>
  <si>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</si>
  <si>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</si>
  <si>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</si>
  <si>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</si>
  <si>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</si>
  <si>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</si>
  <si>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</si>
  <si>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</si>
  <si>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</si>
  <si>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</si>
  <si>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</si>
  <si>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</si>
  <si>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</si>
  <si>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</si>
  <si>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</si>
  <si>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</si>
  <si>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</si>
  <si>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</si>
  <si>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</si>
  <si>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</si>
  <si>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</si>
  <si>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</si>
  <si>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</si>
  <si>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</si>
  <si>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</si>
  <si>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</si>
  <si>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</si>
  <si>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</si>
  <si>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</si>
  <si>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</si>
  <si>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</si>
  <si>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</si>
  <si>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</si>
  <si>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</si>
  <si>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</si>
  <si>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</si>
  <si>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</si>
  <si>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</si>
  <si>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</si>
  <si>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</si>
  <si>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</si>
  <si>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</si>
  <si>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</si>
  <si>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</si>
  <si>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</si>
  <si>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</si>
  <si>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</si>
  <si>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</si>
  <si>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</si>
  <si>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</si>
  <si>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</si>
  <si>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</si>
  <si>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</si>
  <si>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</si>
  <si>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</si>
  <si>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</si>
  <si>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</si>
  <si>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</si>
  <si>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</si>
  <si>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</si>
  <si>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</si>
  <si>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</si>
  <si>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</si>
  <si>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</si>
  <si>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</si>
  <si>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</si>
  <si>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</si>
  <si>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</si>
  <si>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</si>
  <si>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</si>
  <si>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</si>
  <si>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</si>
  <si>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</si>
  <si>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</si>
  <si>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</si>
  <si>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</si>
  <si>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</si>
  <si>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</si>
  <si>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</si>
  <si>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</si>
  <si>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</si>
  <si>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</si>
  <si>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</si>
  <si>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</si>
  <si>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</si>
  <si>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</si>
  <si>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</si>
  <si>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</si>
  <si>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</si>
  <si>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</si>
  <si>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</si>
  <si>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</si>
  <si>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</si>
  <si>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</si>
  <si>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</si>
  <si>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</si>
  <si>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</si>
  <si>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</si>
  <si>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</si>
  <si>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</si>
  <si>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</si>
  <si>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</si>
  <si>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</si>
  <si>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</si>
  <si>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</si>
  <si>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</si>
  <si>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</si>
  <si>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</si>
  <si>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</si>
  <si>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</si>
  <si>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</si>
  <si>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</si>
  <si>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</si>
  <si>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</si>
  <si>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</si>
  <si>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</si>
  <si>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</si>
  <si>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</si>
  <si>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</si>
  <si>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</si>
  <si>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</si>
  <si>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</si>
  <si>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</si>
  <si>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</si>
  <si>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</si>
  <si>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</si>
  <si>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</si>
  <si>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</si>
  <si>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</si>
  <si>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</si>
  <si>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</si>
  <si>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</si>
  <si>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</si>
  <si>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</si>
  <si>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</si>
  <si>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</si>
  <si>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</si>
  <si>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</si>
  <si>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</si>
  <si>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</si>
  <si>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</si>
  <si>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</si>
  <si>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</si>
  <si>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</si>
  <si>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</si>
  <si>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</si>
  <si>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</si>
  <si>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</si>
  <si>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</si>
  <si>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</si>
  <si>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</si>
  <si>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</si>
  <si>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</si>
  <si>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</si>
  <si>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</si>
  <si>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</si>
  <si>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</si>
  <si>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</si>
  <si>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</si>
  <si>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</si>
  <si>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</si>
  <si>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</si>
  <si>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</si>
  <si>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</si>
  <si>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</si>
  <si>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</si>
  <si>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</si>
  <si>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</si>
  <si>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</si>
  <si>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</si>
  <si>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</si>
  <si>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</si>
  <si>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</si>
  <si>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</si>
  <si>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</si>
  <si>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</si>
  <si>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</si>
  <si>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</si>
  <si>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</si>
  <si>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</si>
  <si>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</si>
  <si>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</si>
  <si>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</si>
  <si>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</si>
  <si>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</si>
  <si>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</si>
  <si>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</si>
  <si>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</si>
  <si>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</si>
  <si>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</si>
  <si>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</si>
  <si>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</si>
  <si>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</si>
  <si>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</si>
  <si>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</si>
  <si>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</si>
  <si>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</si>
  <si>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</si>
  <si>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</si>
  <si>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</si>
  <si>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</si>
  <si>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</si>
  <si>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</si>
  <si>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</si>
  <si>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</si>
  <si>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</si>
  <si>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</si>
  <si>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</si>
  <si>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</si>
  <si>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</si>
  <si>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</si>
  <si>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</si>
  <si>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</si>
  <si>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</si>
  <si>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</si>
  <si>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</si>
  <si>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</si>
  <si>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</si>
  <si>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</si>
  <si>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</si>
  <si>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</si>
  <si>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</si>
  <si>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</si>
  <si>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</si>
  <si>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</si>
  <si>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</si>
  <si>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</si>
  <si>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</si>
  <si>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</si>
  <si>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</si>
  <si>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</si>
  <si>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</si>
  <si>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</si>
  <si>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</si>
  <si>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</si>
  <si>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</si>
  <si>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</si>
  <si>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</si>
  <si>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</si>
  <si>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</si>
  <si>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</si>
  <si>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</si>
  <si>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</si>
  <si>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</si>
  <si>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</si>
  <si>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</si>
  <si>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</si>
  <si>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</si>
  <si>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</si>
  <si>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</si>
  <si>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</si>
  <si>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</si>
  <si>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</si>
  <si>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</si>
  <si>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</si>
  <si>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</si>
  <si>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</si>
  <si>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</si>
  <si>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</si>
  <si>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</si>
  <si>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</si>
  <si>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</si>
  <si>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</si>
  <si>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</si>
  <si>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</si>
  <si>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</si>
  <si>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</si>
  <si>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</si>
  <si>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</si>
  <si>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</si>
  <si>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</si>
  <si>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</si>
  <si>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</si>
  <si>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</si>
  <si>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</si>
  <si>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</si>
  <si>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</si>
  <si>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</si>
  <si>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</si>
  <si>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</si>
  <si>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</si>
  <si>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</si>
  <si>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</si>
  <si>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</si>
  <si>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</si>
  <si>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</si>
  <si>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</si>
  <si>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</si>
  <si>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</si>
  <si>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</si>
  <si>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</si>
  <si>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</si>
  <si>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</si>
  <si>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</si>
  <si>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</si>
  <si>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</si>
  <si>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</si>
  <si>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</si>
  <si>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</si>
  <si>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</si>
  <si>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</si>
  <si>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</si>
  <si>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</si>
  <si>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</si>
  <si>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</si>
  <si>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</si>
  <si>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</si>
  <si>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</si>
  <si>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</si>
  <si>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</si>
  <si>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</si>
  <si>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</si>
  <si>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</si>
  <si>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</si>
  <si>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</si>
  <si>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</si>
  <si>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</si>
  <si>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</si>
  <si>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</si>
  <si>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</si>
  <si>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</si>
  <si>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</si>
  <si>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</si>
  <si>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</si>
  <si>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</si>
  <si>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</si>
  <si>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</si>
  <si>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</si>
  <si>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</si>
  <si>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</si>
  <si>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</si>
  <si>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</si>
  <si>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</si>
  <si>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</si>
  <si>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</si>
  <si>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</si>
  <si>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</si>
  <si>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</si>
  <si>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</si>
  <si>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</si>
  <si>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</si>
  <si>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</si>
  <si>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</si>
  <si>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</si>
  <si>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</si>
  <si>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</si>
  <si>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</si>
  <si>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</si>
  <si>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</si>
  <si>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</si>
  <si>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</si>
  <si>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</si>
  <si>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</si>
  <si>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</si>
  <si>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</si>
  <si>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</si>
  <si>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</si>
  <si>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</si>
  <si>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</si>
  <si>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</si>
  <si>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</si>
  <si>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</si>
  <si>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</si>
  <si>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</si>
  <si>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</si>
  <si>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</si>
  <si>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</si>
  <si>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</si>
  <si>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</si>
  <si>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</si>
  <si>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</si>
  <si>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</si>
  <si>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</si>
  <si>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</si>
  <si>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</si>
  <si>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</si>
  <si>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</si>
  <si>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</si>
  <si>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</si>
  <si>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</si>
  <si>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</si>
  <si>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</si>
  <si>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</si>
  <si>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</si>
  <si>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</si>
  <si>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</si>
  <si>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</si>
  <si>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</si>
  <si>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</si>
  <si>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</si>
  <si>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</si>
  <si>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</si>
  <si>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</si>
  <si>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</si>
  <si>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</si>
  <si>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</si>
  <si>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</si>
  <si>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</si>
  <si>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</si>
  <si>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</si>
  <si>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</si>
  <si>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</si>
  <si>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</si>
  <si>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</si>
  <si>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</si>
  <si>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</si>
  <si>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</si>
  <si>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</si>
  <si>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</si>
  <si>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</si>
  <si>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</si>
  <si>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</si>
  <si>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</si>
  <si>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</si>
  <si>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</si>
  <si>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</si>
  <si>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</si>
  <si>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</si>
  <si>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</si>
  <si>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</si>
  <si>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</si>
  <si>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</si>
  <si>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</si>
  <si>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</si>
  <si>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</si>
  <si>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</si>
  <si>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</si>
  <si>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</si>
  <si>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</si>
  <si>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</si>
  <si>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</si>
  <si>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</si>
  <si>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</si>
  <si>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</si>
  <si>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</si>
  <si>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</si>
  <si>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</si>
  <si>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</si>
  <si>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</si>
  <si>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</si>
  <si>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</si>
  <si>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</si>
  <si>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</si>
  <si>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</si>
  <si>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</si>
  <si>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</si>
  <si>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</si>
  <si>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</si>
  <si>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</si>
  <si>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</si>
  <si>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</si>
  <si>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</si>
  <si>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</si>
  <si>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</si>
  <si>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</si>
  <si>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</si>
  <si>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</si>
  <si>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</si>
  <si>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</si>
  <si>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</si>
  <si>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</si>
  <si>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</si>
  <si>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</si>
  <si>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</si>
  <si>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</si>
  <si>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</si>
  <si>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</si>
  <si>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</si>
  <si>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</si>
  <si>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</si>
  <si>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</si>
  <si>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</si>
  <si>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</si>
  <si>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</si>
  <si>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</si>
  <si>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</si>
  <si>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</si>
  <si>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</si>
  <si>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</si>
  <si>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</si>
  <si>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</si>
  <si>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</si>
  <si>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</si>
  <si>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</si>
  <si>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</si>
  <si>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</si>
  <si>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</si>
  <si>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</si>
  <si>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</si>
  <si>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</si>
  <si>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</si>
  <si>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</si>
  <si>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</si>
  <si>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</si>
  <si>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</si>
  <si>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</si>
  <si>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</si>
  <si>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</si>
  <si>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</si>
  <si>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</si>
  <si>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</si>
  <si>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</si>
  <si>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</si>
  <si>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</si>
  <si>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</si>
  <si>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</si>
  <si>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</si>
  <si>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</si>
  <si>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</si>
  <si>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</si>
  <si>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</si>
  <si>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</si>
  <si>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</si>
  <si>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</si>
  <si>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</si>
  <si>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</si>
  <si>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</si>
  <si>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</si>
  <si>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</si>
  <si>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</si>
  <si>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</si>
  <si>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</si>
  <si>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</si>
  <si>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</si>
  <si>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</si>
  <si>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</si>
  <si>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</si>
  <si>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</si>
  <si>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</si>
  <si>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</si>
  <si>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</si>
  <si>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</si>
  <si>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</si>
  <si>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</si>
  <si>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</si>
  <si>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</si>
  <si>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</si>
  <si>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</si>
  <si>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</si>
  <si>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</si>
  <si>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</si>
  <si>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</si>
  <si>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</si>
  <si>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</si>
  <si>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</si>
  <si>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</si>
  <si>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</si>
  <si>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</si>
  <si>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</si>
  <si>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</si>
  <si>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</si>
  <si>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</si>
  <si>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</si>
  <si>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</si>
  <si>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</si>
  <si>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</si>
  <si>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</si>
  <si>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</si>
  <si>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</si>
  <si>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</si>
  <si>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</si>
  <si>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</si>
  <si>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</si>
  <si>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</si>
  <si>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</si>
  <si>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</si>
  <si>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</si>
  <si>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</si>
  <si>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</si>
  <si>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</si>
  <si>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</si>
  <si>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</si>
  <si>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</si>
  <si>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</si>
  <si>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</si>
  <si>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</si>
  <si>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</si>
  <si>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</si>
  <si>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</si>
  <si>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</si>
  <si>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</si>
  <si>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</si>
  <si>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</si>
  <si>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</si>
  <si>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</si>
  <si>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</si>
  <si>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</si>
  <si>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</si>
  <si>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</si>
  <si>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・与えられる文字列を文字列交換に備えて、２要素に格納し、文字の交換のときは、それぞれの位置 (pos) から 文字列の要素 (0 or 1)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rPh sb="28" eb="30">
      <t>モジ</t>
    </rPh>
    <rPh sb="31" eb="33">
      <t>コウカン</t>
    </rPh>
    <rPh sb="43" eb="45">
      <t>イチ</t>
    </rPh>
    <rPh sb="55" eb="58">
      <t>モジレツ</t>
    </rPh>
    <rPh sb="59" eb="61">
      <t>ヨウソ</t>
    </rPh>
    <phoneticPr fontId="2"/>
  </si>
  <si>
    <t xml:space="preserve">  とインデックスを算出し、文字交換を行う</t>
    <rPh sb="10" eb="12">
      <t>サンシュツ</t>
    </rPh>
    <rPh sb="14" eb="16">
      <t>モジ</t>
    </rPh>
    <rPh sb="16" eb="18">
      <t>コウカン</t>
    </rPh>
    <rPh sb="19" eb="20">
      <t>オコナ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</si>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</sst>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802"/>
  <sheetViews>
    <sheetView tabSelected="1" topLeftCell="F1" zoomScale="115" zoomScaleNormal="115" workbookViewId="0">
      <pane ySplit="4" topLeftCell="A546" activePane="bottomLeft" state="frozen"/>
      <selection pane="bottomLeft" activeCell="K559" sqref="K559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32" t="s">
        <v>8</v>
      </c>
      <c r="C2" s="134" t="s">
        <v>717</v>
      </c>
      <c r="D2" s="130" t="s">
        <v>140</v>
      </c>
      <c r="E2" s="131"/>
      <c r="F2" s="131"/>
      <c r="G2" s="147" t="s">
        <v>738</v>
      </c>
      <c r="H2" s="148"/>
      <c r="I2" s="147" t="s">
        <v>739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713</v>
      </c>
      <c r="I3" s="104" t="s">
        <v>10</v>
      </c>
      <c r="J3" s="103" t="s">
        <v>713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714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715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716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724</v>
      </c>
      <c r="G64" s="116">
        <v>44523</v>
      </c>
      <c r="H64" s="112">
        <v>0.5</v>
      </c>
      <c r="I64" s="119"/>
      <c r="J64" s="111"/>
      <c r="K64" s="56" t="s">
        <v>732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726</v>
      </c>
      <c r="G70" s="116">
        <v>44409</v>
      </c>
      <c r="H70" s="112">
        <v>1</v>
      </c>
      <c r="I70" s="119"/>
      <c r="J70" s="111"/>
      <c r="K70" s="56" t="s">
        <v>721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722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723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725</v>
      </c>
      <c r="G74" s="116">
        <v>44409</v>
      </c>
      <c r="H74" s="112">
        <v>1</v>
      </c>
      <c r="I74" s="119"/>
      <c r="J74" s="111"/>
      <c r="K74" s="85" t="s">
        <v>718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720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719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6" t="s">
        <v>648</v>
      </c>
      <c r="AD430" s="127"/>
      <c r="AE430" s="127"/>
      <c r="AF430" s="127"/>
      <c r="AG430" s="127"/>
      <c r="AH430" s="127"/>
      <c r="AI430" s="127"/>
      <c r="AJ430" s="127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7"/>
      <c r="AD431" s="127"/>
      <c r="AE431" s="127"/>
      <c r="AF431" s="127"/>
      <c r="AG431" s="127"/>
      <c r="AH431" s="127"/>
      <c r="AI431" s="127"/>
      <c r="AJ431" s="127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/>
      <c r="J545" s="109"/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701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698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699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700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702</v>
      </c>
      <c r="G556" s="116">
        <v>44315</v>
      </c>
      <c r="H556" s="109">
        <v>1</v>
      </c>
      <c r="I556" s="116"/>
      <c r="J556" s="109"/>
      <c r="K556" s="56" t="s">
        <v>817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818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819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703</v>
      </c>
      <c r="G560" s="116">
        <v>44315</v>
      </c>
      <c r="H560" s="109">
        <v>1</v>
      </c>
      <c r="I560" s="116"/>
      <c r="J560" s="109"/>
      <c r="K560" s="56" t="s">
        <v>704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815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/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/>
      <c r="C563" s="53"/>
      <c r="D563" s="54"/>
      <c r="E563" s="54"/>
      <c r="F563" s="54"/>
      <c r="G563" s="116"/>
      <c r="H563" s="109"/>
      <c r="I563" s="116"/>
      <c r="J563" s="109"/>
      <c r="K563" s="56" t="s">
        <v>816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6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>
        <f>IF(F565&lt;&gt;"",SUBTOTAL(3,$F$5:F565),"")</f>
        <v>113</v>
      </c>
      <c r="C565" s="53"/>
      <c r="D565" s="54" t="s">
        <v>138</v>
      </c>
      <c r="E565" s="54" t="s">
        <v>141</v>
      </c>
      <c r="F565" s="54" t="s">
        <v>705</v>
      </c>
      <c r="G565" s="116">
        <v>44320</v>
      </c>
      <c r="H565" s="109">
        <v>1</v>
      </c>
      <c r="I565" s="116">
        <v>44652</v>
      </c>
      <c r="J565" s="109">
        <v>1</v>
      </c>
      <c r="K565" s="56" t="s">
        <v>808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9" t="s">
        <v>809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/>
      <c r="C567" s="53"/>
      <c r="D567" s="54"/>
      <c r="E567" s="54"/>
      <c r="F567" s="54"/>
      <c r="G567" s="116"/>
      <c r="H567" s="109"/>
      <c r="I567" s="116"/>
      <c r="J567" s="109"/>
      <c r="K567" s="59" t="s">
        <v>810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706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K569" s="56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 t="s">
        <v>813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811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 t="s">
        <v>814</v>
      </c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 t="str">
        <f>IF(F573&lt;&gt;"",SUBTOTAL(3,$F$5:F573),"")</f>
        <v/>
      </c>
      <c r="C573" s="53"/>
      <c r="D573" s="54"/>
      <c r="E573" s="54"/>
      <c r="F573" s="54"/>
      <c r="G573" s="116"/>
      <c r="H573" s="109"/>
      <c r="I573" s="116"/>
      <c r="J573" s="109"/>
      <c r="K573" s="56" t="s">
        <v>812</v>
      </c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/>
      <c r="C574" s="53"/>
      <c r="D574" s="54"/>
      <c r="E574" s="54"/>
      <c r="F574" s="54"/>
      <c r="G574" s="116"/>
      <c r="H574" s="109"/>
      <c r="I574" s="116"/>
      <c r="J574" s="109"/>
      <c r="K574" s="56" t="s">
        <v>706</v>
      </c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>
        <f>IF(F576&lt;&gt;"",SUBTOTAL(3,$F$5:F576),"")</f>
        <v>114</v>
      </c>
      <c r="C576" s="53"/>
      <c r="D576" s="54" t="s">
        <v>138</v>
      </c>
      <c r="E576" s="54" t="s">
        <v>141</v>
      </c>
      <c r="F576" s="54" t="s">
        <v>707</v>
      </c>
      <c r="G576" s="116">
        <v>44321</v>
      </c>
      <c r="H576" s="109">
        <v>1</v>
      </c>
      <c r="I576" s="116">
        <v>44651</v>
      </c>
      <c r="J576" s="109">
        <v>1</v>
      </c>
      <c r="K576" s="56" t="s">
        <v>806</v>
      </c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 t="str">
        <f>IF(F577&lt;&gt;"",SUBTOTAL(3,$F$5:F577),"")</f>
        <v/>
      </c>
      <c r="C577" s="53"/>
      <c r="D577" s="54"/>
      <c r="E577" s="54"/>
      <c r="F577" s="54"/>
      <c r="G577" s="116"/>
      <c r="H577" s="109"/>
      <c r="I577" s="116"/>
      <c r="J577" s="109"/>
      <c r="K577" s="56" t="s">
        <v>807</v>
      </c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 t="s">
        <v>804</v>
      </c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 t="s">
        <v>805</v>
      </c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>
        <f>IF(F581&lt;&gt;"",SUBTOTAL(3,$F$5:F581),"")</f>
        <v>115</v>
      </c>
      <c r="C581" s="53"/>
      <c r="D581" s="54" t="s">
        <v>138</v>
      </c>
      <c r="E581" s="54" t="s">
        <v>141</v>
      </c>
      <c r="F581" s="54" t="s">
        <v>708</v>
      </c>
      <c r="G581" s="116">
        <v>44321</v>
      </c>
      <c r="H581" s="109">
        <v>1</v>
      </c>
      <c r="I581" s="116">
        <v>44650</v>
      </c>
      <c r="J581" s="109">
        <v>1</v>
      </c>
      <c r="K581" s="56" t="s">
        <v>801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 t="s">
        <v>802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803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E584" s="59" t="s">
        <v>1</v>
      </c>
      <c r="CF584" s="59" t="s">
        <v>730</v>
      </c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>
        <f>IF(F585&lt;&gt;"",SUBTOTAL(3,$F$5:F585),"")</f>
        <v>116</v>
      </c>
      <c r="C585" s="53"/>
      <c r="D585" s="54" t="s">
        <v>138</v>
      </c>
      <c r="E585" s="54" t="s">
        <v>141</v>
      </c>
      <c r="F585" s="54" t="s">
        <v>709</v>
      </c>
      <c r="G585" s="116">
        <v>44327</v>
      </c>
      <c r="H585" s="109">
        <v>1</v>
      </c>
      <c r="I585" s="116">
        <v>44649</v>
      </c>
      <c r="J585" s="109">
        <v>1</v>
      </c>
      <c r="K585" s="56" t="s">
        <v>727</v>
      </c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E585" s="59" t="s">
        <v>1</v>
      </c>
      <c r="CF585" s="59" t="s">
        <v>729</v>
      </c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 t="s">
        <v>728</v>
      </c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 t="s">
        <v>731</v>
      </c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>
        <f>IF(F589&lt;&gt;"",SUBTOTAL(3,$F$5:F589),"")</f>
        <v>117</v>
      </c>
      <c r="C589" s="53"/>
      <c r="D589" s="54" t="s">
        <v>138</v>
      </c>
      <c r="E589" s="54" t="s">
        <v>141</v>
      </c>
      <c r="F589" s="54" t="s">
        <v>712</v>
      </c>
      <c r="G589" s="116">
        <v>44327</v>
      </c>
      <c r="H589" s="109">
        <v>0.8</v>
      </c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>
        <f>IF(F593&lt;&gt;"",SUBTOTAL(3,$F$5:F593),"")</f>
        <v>118</v>
      </c>
      <c r="C593" s="53"/>
      <c r="D593" s="54" t="s">
        <v>138</v>
      </c>
      <c r="E593" s="54" t="s">
        <v>141</v>
      </c>
      <c r="F593" s="54" t="s">
        <v>710</v>
      </c>
      <c r="G593" s="116">
        <v>44334</v>
      </c>
      <c r="H593" s="109">
        <v>1</v>
      </c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>
        <f>IF(F597&lt;&gt;"",SUBTOTAL(3,$F$5:F597),"")</f>
        <v>119</v>
      </c>
      <c r="C597" s="53"/>
      <c r="D597" s="54" t="s">
        <v>138</v>
      </c>
      <c r="E597" s="54" t="s">
        <v>141</v>
      </c>
      <c r="F597" s="54" t="s">
        <v>711</v>
      </c>
      <c r="G597" s="116">
        <v>44335</v>
      </c>
      <c r="H597" s="109">
        <v>0.5</v>
      </c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53" t="str">
        <f>IF(F798&lt;&gt;"",SUBTOTAL(3,$F$5:F798),"")</f>
        <v/>
      </c>
      <c r="C798" s="53"/>
      <c r="D798" s="54"/>
      <c r="E798" s="54"/>
      <c r="F798" s="54"/>
      <c r="G798" s="116"/>
      <c r="H798" s="109"/>
      <c r="I798" s="116"/>
      <c r="J798" s="109"/>
      <c r="K798" s="56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/>
      <c r="AD798" s="57"/>
      <c r="AE798" s="57"/>
      <c r="AF798" s="57"/>
      <c r="AG798" s="57"/>
      <c r="AH798" s="57"/>
      <c r="AI798" s="57"/>
      <c r="AJ798" s="57"/>
      <c r="AK798" s="57"/>
      <c r="AL798" s="57"/>
      <c r="AM798" s="57"/>
      <c r="AN798" s="57"/>
      <c r="AO798" s="57"/>
      <c r="AP798" s="57"/>
      <c r="AQ798" s="57"/>
      <c r="AR798" s="57"/>
      <c r="AS798" s="58"/>
      <c r="AT798" s="56"/>
      <c r="AU798" s="57"/>
      <c r="AV798" s="57"/>
      <c r="AW798" s="57"/>
      <c r="AX798" s="57"/>
      <c r="AY798" s="57"/>
      <c r="AZ798" s="57"/>
      <c r="BA798" s="57"/>
      <c r="BB798" s="57"/>
      <c r="BC798" s="57"/>
      <c r="BD798" s="57"/>
      <c r="BE798" s="57"/>
      <c r="BF798" s="57"/>
      <c r="BG798" s="57"/>
      <c r="BH798" s="57"/>
      <c r="BI798" s="57"/>
      <c r="BJ798" s="57"/>
      <c r="BK798" s="57"/>
      <c r="BL798" s="57"/>
      <c r="BM798" s="57"/>
      <c r="BN798" s="57"/>
      <c r="BO798" s="57"/>
      <c r="BP798" s="57"/>
      <c r="BQ798" s="57"/>
      <c r="BR798" s="57"/>
      <c r="BS798" s="57"/>
      <c r="BT798" s="57"/>
      <c r="BU798" s="57"/>
      <c r="BV798" s="57"/>
      <c r="BW798" s="57"/>
      <c r="BX798" s="57"/>
      <c r="BY798" s="57"/>
      <c r="BZ798" s="57"/>
      <c r="CA798" s="57"/>
      <c r="CB798" s="58"/>
      <c r="CC798" s="55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  <row r="799" spans="2:131" x14ac:dyDescent="0.15">
      <c r="B799" s="53" t="str">
        <f>IF(F799&lt;&gt;"",SUBTOTAL(3,$F$5:F799),"")</f>
        <v/>
      </c>
      <c r="C799" s="53"/>
      <c r="D799" s="54"/>
      <c r="E799" s="54"/>
      <c r="F799" s="54"/>
      <c r="G799" s="116"/>
      <c r="H799" s="109"/>
      <c r="I799" s="116"/>
      <c r="J799" s="109"/>
      <c r="K799" s="56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  <c r="AB799" s="57"/>
      <c r="AC799" s="57"/>
      <c r="AD799" s="57"/>
      <c r="AE799" s="57"/>
      <c r="AF799" s="57"/>
      <c r="AG799" s="57"/>
      <c r="AH799" s="57"/>
      <c r="AI799" s="57"/>
      <c r="AJ799" s="57"/>
      <c r="AK799" s="57"/>
      <c r="AL799" s="57"/>
      <c r="AM799" s="57"/>
      <c r="AN799" s="57"/>
      <c r="AO799" s="57"/>
      <c r="AP799" s="57"/>
      <c r="AQ799" s="57"/>
      <c r="AR799" s="57"/>
      <c r="AS799" s="58"/>
      <c r="AT799" s="56"/>
      <c r="AU799" s="57"/>
      <c r="AV799" s="57"/>
      <c r="AW799" s="57"/>
      <c r="AX799" s="57"/>
      <c r="AY799" s="57"/>
      <c r="AZ799" s="57"/>
      <c r="BA799" s="57"/>
      <c r="BB799" s="57"/>
      <c r="BC799" s="57"/>
      <c r="BD799" s="57"/>
      <c r="BE799" s="57"/>
      <c r="BF799" s="57"/>
      <c r="BG799" s="57"/>
      <c r="BH799" s="57"/>
      <c r="BI799" s="57"/>
      <c r="BJ799" s="57"/>
      <c r="BK799" s="57"/>
      <c r="BL799" s="57"/>
      <c r="BM799" s="57"/>
      <c r="BN799" s="57"/>
      <c r="BO799" s="57"/>
      <c r="BP799" s="57"/>
      <c r="BQ799" s="57"/>
      <c r="BR799" s="57"/>
      <c r="BS799" s="57"/>
      <c r="BT799" s="57"/>
      <c r="BU799" s="57"/>
      <c r="BV799" s="57"/>
      <c r="BW799" s="57"/>
      <c r="BX799" s="57"/>
      <c r="BY799" s="57"/>
      <c r="BZ799" s="57"/>
      <c r="CA799" s="57"/>
      <c r="CB799" s="58"/>
      <c r="CC799" s="55"/>
      <c r="CI799" s="57"/>
      <c r="CJ799" s="57"/>
      <c r="CK799" s="57"/>
      <c r="CL799" s="57"/>
      <c r="CM799" s="57"/>
      <c r="CN799" s="57"/>
      <c r="CO799" s="57"/>
      <c r="CP799" s="57"/>
      <c r="CQ799" s="57"/>
      <c r="CR799" s="57"/>
      <c r="CS799" s="57"/>
      <c r="CT799" s="57"/>
      <c r="CU799" s="57"/>
      <c r="CV799" s="57"/>
      <c r="CW799" s="57"/>
      <c r="CX799" s="57"/>
      <c r="CY799" s="57"/>
      <c r="CZ799" s="57"/>
      <c r="DA799" s="57"/>
      <c r="DB799" s="57"/>
      <c r="DC799" s="57"/>
      <c r="DD799" s="57"/>
      <c r="DE799" s="57"/>
      <c r="DF799" s="57"/>
      <c r="DG799" s="57"/>
      <c r="DH799" s="57"/>
      <c r="DI799" s="57"/>
      <c r="DJ799" s="57"/>
      <c r="DK799" s="57"/>
      <c r="DL799" s="57"/>
      <c r="DM799" s="57"/>
      <c r="DN799" s="57"/>
      <c r="DO799" s="57"/>
      <c r="DP799" s="57"/>
      <c r="DQ799" s="57"/>
      <c r="DR799" s="57"/>
      <c r="DS799" s="57"/>
      <c r="DT799" s="57"/>
      <c r="DU799" s="57"/>
      <c r="DV799" s="57"/>
      <c r="DW799" s="57"/>
      <c r="DX799" s="57"/>
      <c r="DY799" s="57"/>
      <c r="DZ799" s="57"/>
      <c r="EA799" s="57"/>
    </row>
    <row r="800" spans="2:131" x14ac:dyDescent="0.15">
      <c r="B800" s="53" t="str">
        <f>IF(F800&lt;&gt;"",SUBTOTAL(3,$F$5:F800),"")</f>
        <v/>
      </c>
      <c r="C800" s="53"/>
      <c r="D800" s="54"/>
      <c r="E800" s="54"/>
      <c r="F800" s="54"/>
      <c r="G800" s="116"/>
      <c r="H800" s="109"/>
      <c r="I800" s="116"/>
      <c r="J800" s="109"/>
      <c r="K800" s="56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  <c r="AB800" s="57"/>
      <c r="AC800" s="57"/>
      <c r="AD800" s="57"/>
      <c r="AE800" s="57"/>
      <c r="AF800" s="57"/>
      <c r="AG800" s="57"/>
      <c r="AH800" s="57"/>
      <c r="AI800" s="57"/>
      <c r="AJ800" s="57"/>
      <c r="AK800" s="57"/>
      <c r="AL800" s="57"/>
      <c r="AM800" s="57"/>
      <c r="AN800" s="57"/>
      <c r="AO800" s="57"/>
      <c r="AP800" s="57"/>
      <c r="AQ800" s="57"/>
      <c r="AR800" s="57"/>
      <c r="AS800" s="58"/>
      <c r="AT800" s="56"/>
      <c r="AU800" s="57"/>
      <c r="AV800" s="57"/>
      <c r="AW800" s="57"/>
      <c r="AX800" s="57"/>
      <c r="AY800" s="57"/>
      <c r="AZ800" s="57"/>
      <c r="BA800" s="57"/>
      <c r="BB800" s="57"/>
      <c r="BC800" s="57"/>
      <c r="BD800" s="57"/>
      <c r="BE800" s="57"/>
      <c r="BF800" s="57"/>
      <c r="BG800" s="57"/>
      <c r="BH800" s="57"/>
      <c r="BI800" s="57"/>
      <c r="BJ800" s="57"/>
      <c r="BK800" s="57"/>
      <c r="BL800" s="57"/>
      <c r="BM800" s="57"/>
      <c r="BN800" s="57"/>
      <c r="BO800" s="57"/>
      <c r="BP800" s="57"/>
      <c r="BQ800" s="57"/>
      <c r="BR800" s="57"/>
      <c r="BS800" s="57"/>
      <c r="BT800" s="57"/>
      <c r="BU800" s="57"/>
      <c r="BV800" s="57"/>
      <c r="BW800" s="57"/>
      <c r="BX800" s="57"/>
      <c r="BY800" s="57"/>
      <c r="BZ800" s="57"/>
      <c r="CA800" s="57"/>
      <c r="CB800" s="58"/>
      <c r="CC800" s="55"/>
      <c r="CI800" s="57"/>
      <c r="CJ800" s="57"/>
      <c r="CK800" s="57"/>
      <c r="CL800" s="57"/>
      <c r="CM800" s="57"/>
      <c r="CN800" s="57"/>
      <c r="CO800" s="57"/>
      <c r="CP800" s="57"/>
      <c r="CQ800" s="57"/>
      <c r="CR800" s="57"/>
      <c r="CS800" s="57"/>
      <c r="CT800" s="57"/>
      <c r="CU800" s="57"/>
      <c r="CV800" s="57"/>
      <c r="CW800" s="57"/>
      <c r="CX800" s="57"/>
      <c r="CY800" s="57"/>
      <c r="CZ800" s="57"/>
      <c r="DA800" s="57"/>
      <c r="DB800" s="57"/>
      <c r="DC800" s="57"/>
      <c r="DD800" s="57"/>
      <c r="DE800" s="57"/>
      <c r="DF800" s="57"/>
      <c r="DG800" s="57"/>
      <c r="DH800" s="57"/>
      <c r="DI800" s="57"/>
      <c r="DJ800" s="57"/>
      <c r="DK800" s="57"/>
      <c r="DL800" s="57"/>
      <c r="DM800" s="57"/>
      <c r="DN800" s="57"/>
      <c r="DO800" s="57"/>
      <c r="DP800" s="57"/>
      <c r="DQ800" s="57"/>
      <c r="DR800" s="57"/>
      <c r="DS800" s="57"/>
      <c r="DT800" s="57"/>
      <c r="DU800" s="57"/>
      <c r="DV800" s="57"/>
      <c r="DW800" s="57"/>
      <c r="DX800" s="57"/>
      <c r="DY800" s="57"/>
      <c r="DZ800" s="57"/>
      <c r="EA800" s="57"/>
    </row>
    <row r="801" spans="2:131" x14ac:dyDescent="0.15">
      <c r="B801" s="53" t="str">
        <f>IF(F801&lt;&gt;"",SUBTOTAL(3,$F$5:F801),"")</f>
        <v/>
      </c>
      <c r="C801" s="53"/>
      <c r="D801" s="54"/>
      <c r="E801" s="54"/>
      <c r="F801" s="54"/>
      <c r="G801" s="116"/>
      <c r="H801" s="109"/>
      <c r="I801" s="116"/>
      <c r="J801" s="109"/>
      <c r="K801" s="56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  <c r="AB801" s="57"/>
      <c r="AC801" s="57"/>
      <c r="AD801" s="57"/>
      <c r="AE801" s="57"/>
      <c r="AF801" s="57"/>
      <c r="AG801" s="57"/>
      <c r="AH801" s="57"/>
      <c r="AI801" s="57"/>
      <c r="AJ801" s="57"/>
      <c r="AK801" s="57"/>
      <c r="AL801" s="57"/>
      <c r="AM801" s="57"/>
      <c r="AN801" s="57"/>
      <c r="AO801" s="57"/>
      <c r="AP801" s="57"/>
      <c r="AQ801" s="57"/>
      <c r="AR801" s="57"/>
      <c r="AS801" s="58"/>
      <c r="AT801" s="56"/>
      <c r="AU801" s="57"/>
      <c r="AV801" s="57"/>
      <c r="AW801" s="57"/>
      <c r="AX801" s="57"/>
      <c r="AY801" s="57"/>
      <c r="AZ801" s="57"/>
      <c r="BA801" s="57"/>
      <c r="BB801" s="57"/>
      <c r="BC801" s="57"/>
      <c r="BD801" s="57"/>
      <c r="BE801" s="57"/>
      <c r="BF801" s="57"/>
      <c r="BG801" s="57"/>
      <c r="BH801" s="57"/>
      <c r="BI801" s="57"/>
      <c r="BJ801" s="57"/>
      <c r="BK801" s="57"/>
      <c r="BL801" s="57"/>
      <c r="BM801" s="57"/>
      <c r="BN801" s="57"/>
      <c r="BO801" s="57"/>
      <c r="BP801" s="57"/>
      <c r="BQ801" s="57"/>
      <c r="BR801" s="57"/>
      <c r="BS801" s="57"/>
      <c r="BT801" s="57"/>
      <c r="BU801" s="57"/>
      <c r="BV801" s="57"/>
      <c r="BW801" s="57"/>
      <c r="BX801" s="57"/>
      <c r="BY801" s="57"/>
      <c r="BZ801" s="57"/>
      <c r="CA801" s="57"/>
      <c r="CB801" s="58"/>
      <c r="CC801" s="55"/>
      <c r="CI801" s="57"/>
      <c r="CJ801" s="57"/>
      <c r="CK801" s="57"/>
      <c r="CL801" s="57"/>
      <c r="CM801" s="57"/>
      <c r="CN801" s="57"/>
      <c r="CO801" s="57"/>
      <c r="CP801" s="57"/>
      <c r="CQ801" s="57"/>
      <c r="CR801" s="57"/>
      <c r="CS801" s="57"/>
      <c r="CT801" s="57"/>
      <c r="CU801" s="57"/>
      <c r="CV801" s="57"/>
      <c r="CW801" s="57"/>
      <c r="CX801" s="57"/>
      <c r="CY801" s="57"/>
      <c r="CZ801" s="57"/>
      <c r="DA801" s="57"/>
      <c r="DB801" s="57"/>
      <c r="DC801" s="57"/>
      <c r="DD801" s="57"/>
      <c r="DE801" s="57"/>
      <c r="DF801" s="57"/>
      <c r="DG801" s="57"/>
      <c r="DH801" s="57"/>
      <c r="DI801" s="57"/>
      <c r="DJ801" s="57"/>
      <c r="DK801" s="57"/>
      <c r="DL801" s="57"/>
      <c r="DM801" s="57"/>
      <c r="DN801" s="57"/>
      <c r="DO801" s="57"/>
      <c r="DP801" s="57"/>
      <c r="DQ801" s="57"/>
      <c r="DR801" s="57"/>
      <c r="DS801" s="57"/>
      <c r="DT801" s="57"/>
      <c r="DU801" s="57"/>
      <c r="DV801" s="57"/>
      <c r="DW801" s="57"/>
      <c r="DX801" s="57"/>
      <c r="DY801" s="57"/>
      <c r="DZ801" s="57"/>
      <c r="EA801" s="57"/>
    </row>
    <row r="802" spans="2:131" x14ac:dyDescent="0.15">
      <c r="B802" s="76" t="str">
        <f>IF(F802&lt;&gt;"",SUBTOTAL(3,$F$5:F802),"")</f>
        <v/>
      </c>
      <c r="C802" s="76"/>
      <c r="D802" s="77"/>
      <c r="E802" s="77"/>
      <c r="F802" s="77"/>
      <c r="G802" s="118"/>
      <c r="H802" s="113"/>
      <c r="I802" s="118"/>
      <c r="J802" s="113"/>
      <c r="K802" s="78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  <c r="AD802" s="79"/>
      <c r="AE802" s="79"/>
      <c r="AF802" s="79"/>
      <c r="AG802" s="79"/>
      <c r="AH802" s="79"/>
      <c r="AI802" s="79"/>
      <c r="AJ802" s="79"/>
      <c r="AK802" s="79"/>
      <c r="AL802" s="79"/>
      <c r="AM802" s="79"/>
      <c r="AN802" s="79"/>
      <c r="AO802" s="79"/>
      <c r="AP802" s="79"/>
      <c r="AQ802" s="79"/>
      <c r="AR802" s="79"/>
      <c r="AS802" s="80"/>
      <c r="AT802" s="78"/>
      <c r="AU802" s="79"/>
      <c r="AV802" s="79"/>
      <c r="AW802" s="79"/>
      <c r="AX802" s="79"/>
      <c r="AY802" s="79"/>
      <c r="AZ802" s="79"/>
      <c r="BA802" s="79"/>
      <c r="BB802" s="79"/>
      <c r="BC802" s="79"/>
      <c r="BD802" s="79"/>
      <c r="BE802" s="79"/>
      <c r="BF802" s="79"/>
      <c r="BG802" s="79"/>
      <c r="BH802" s="79"/>
      <c r="BI802" s="79"/>
      <c r="BJ802" s="79"/>
      <c r="BK802" s="79"/>
      <c r="BL802" s="79"/>
      <c r="BM802" s="79"/>
      <c r="BN802" s="79"/>
      <c r="BO802" s="79"/>
      <c r="BP802" s="79"/>
      <c r="BQ802" s="79"/>
      <c r="BR802" s="79"/>
      <c r="BS802" s="79"/>
      <c r="BT802" s="79"/>
      <c r="BU802" s="79"/>
      <c r="BV802" s="79"/>
      <c r="BW802" s="79"/>
      <c r="BX802" s="79"/>
      <c r="BY802" s="79"/>
      <c r="BZ802" s="79"/>
      <c r="CA802" s="79"/>
      <c r="CB802" s="80"/>
      <c r="CC802" s="81"/>
      <c r="CI802" s="57"/>
      <c r="CJ802" s="57"/>
      <c r="CK802" s="57"/>
      <c r="CL802" s="57"/>
      <c r="CM802" s="57"/>
      <c r="CN802" s="57"/>
      <c r="CO802" s="57"/>
      <c r="CP802" s="57"/>
      <c r="CQ802" s="57"/>
      <c r="CR802" s="57"/>
      <c r="CS802" s="57"/>
      <c r="CT802" s="57"/>
      <c r="CU802" s="57"/>
      <c r="CV802" s="57"/>
      <c r="CW802" s="57"/>
      <c r="CX802" s="57"/>
      <c r="CY802" s="57"/>
      <c r="CZ802" s="57"/>
      <c r="DA802" s="57"/>
      <c r="DB802" s="57"/>
      <c r="DC802" s="57"/>
      <c r="DD802" s="57"/>
      <c r="DE802" s="57"/>
      <c r="DF802" s="57"/>
      <c r="DG802" s="57"/>
      <c r="DH802" s="57"/>
      <c r="DI802" s="57"/>
      <c r="DJ802" s="57"/>
      <c r="DK802" s="57"/>
      <c r="DL802" s="57"/>
      <c r="DM802" s="57"/>
      <c r="DN802" s="57"/>
      <c r="DO802" s="57"/>
      <c r="DP802" s="57"/>
      <c r="DQ802" s="57"/>
      <c r="DR802" s="57"/>
      <c r="DS802" s="57"/>
      <c r="DT802" s="57"/>
      <c r="DU802" s="57"/>
      <c r="DV802" s="57"/>
      <c r="DW802" s="57"/>
      <c r="DX802" s="57"/>
      <c r="DY802" s="57"/>
      <c r="DZ802" s="57"/>
      <c r="EA802" s="57"/>
    </row>
  </sheetData>
  <autoFilter ref="B4:CC802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80:CC802 B5:CC564 B565:J567 L565:CC567 B576:CC578 B568:CC571">
    <cfRule type="expression" dxfId="19" priority="6">
      <formula>AND($H5&lt;&gt;1, $H5&lt;&gt;"",$J5&lt;&gt;1)</formula>
    </cfRule>
  </conditionalFormatting>
  <conditionalFormatting sqref="B579:CC579">
    <cfRule type="expression" dxfId="18" priority="4">
      <formula>AND($H579&lt;&gt;1, $H579&lt;&gt;"",$J579&lt;&gt;1)</formula>
    </cfRule>
  </conditionalFormatting>
  <conditionalFormatting sqref="K570">
    <cfRule type="expression" dxfId="17" priority="26">
      <formula>AND($H565&lt;&gt;1, $H565&lt;&gt;"",$J565&lt;&gt;1)</formula>
    </cfRule>
  </conditionalFormatting>
  <conditionalFormatting sqref="K565">
    <cfRule type="expression" dxfId="16" priority="28">
      <formula>AND($H566&lt;&gt;1, $H566&lt;&gt;"",$J566&lt;&gt;1)</formula>
    </cfRule>
  </conditionalFormatting>
  <conditionalFormatting sqref="B572:CC573 B575:CC575 B574:J574 L574:CC574">
    <cfRule type="expression" dxfId="15" priority="3">
      <formula>AND($H572&lt;&gt;1, $H572&lt;&gt;"",$J572&lt;&gt;1)</formula>
    </cfRule>
  </conditionalFormatting>
  <conditionalFormatting sqref="K574">
    <cfRule type="expression" dxfId="14" priority="2">
      <formula>AND($H574&lt;&gt;1, $H574&lt;&gt;"",$J574&lt;&gt;1)</formula>
    </cfRule>
  </conditionalFormatting>
  <dataValidations count="1">
    <dataValidation type="list" allowBlank="1" showInputMessage="1" showErrorMessage="1" sqref="J5:J802 H5:H802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zoomScale="115" zoomScaleNormal="115" workbookViewId="0">
      <pane ySplit="4" topLeftCell="A5" activePane="bottomLeft" state="frozen"/>
      <selection pane="bottomLeft" activeCell="N42" sqref="N42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32" t="s">
        <v>8</v>
      </c>
      <c r="C2" s="134" t="s">
        <v>717</v>
      </c>
      <c r="D2" s="130" t="s">
        <v>140</v>
      </c>
      <c r="E2" s="131"/>
      <c r="F2" s="131"/>
      <c r="G2" s="147" t="s">
        <v>738</v>
      </c>
      <c r="H2" s="148"/>
      <c r="I2" s="147" t="s">
        <v>739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713</v>
      </c>
      <c r="I3" s="104" t="s">
        <v>10</v>
      </c>
      <c r="J3" s="122" t="s">
        <v>713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734</v>
      </c>
      <c r="E5" s="54" t="s">
        <v>736</v>
      </c>
      <c r="F5" s="54" t="s">
        <v>737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741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742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743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745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740</v>
      </c>
      <c r="L7" s="57" t="s">
        <v>744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733</v>
      </c>
      <c r="E9" s="54" t="s">
        <v>735</v>
      </c>
      <c r="F9" s="54" t="s">
        <v>746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748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749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733</v>
      </c>
      <c r="E12" s="54" t="s">
        <v>735</v>
      </c>
      <c r="F12" s="54" t="s">
        <v>747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750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753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752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751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754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755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756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757</v>
      </c>
      <c r="M19" s="57"/>
      <c r="N19" s="57" t="s">
        <v>758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759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733</v>
      </c>
      <c r="E22" s="54" t="s">
        <v>735</v>
      </c>
      <c r="F22" s="54" t="s">
        <v>760</v>
      </c>
      <c r="G22" s="116">
        <v>44548</v>
      </c>
      <c r="H22" s="109">
        <v>0</v>
      </c>
      <c r="I22" s="116"/>
      <c r="J22" s="109"/>
      <c r="K22" s="56" t="s">
        <v>1</v>
      </c>
      <c r="L22" s="57" t="s">
        <v>761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11">
        <v>0</v>
      </c>
      <c r="I23" s="116"/>
      <c r="J23" s="109"/>
      <c r="K23" s="56" t="s">
        <v>1</v>
      </c>
      <c r="L23" s="57" t="s">
        <v>762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11">
        <v>0</v>
      </c>
      <c r="I24" s="116"/>
      <c r="J24" s="109"/>
      <c r="K24" s="56"/>
      <c r="L24" s="57" t="s">
        <v>763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11">
        <v>0</v>
      </c>
      <c r="I25" s="116"/>
      <c r="J25" s="109"/>
      <c r="K25" s="56"/>
      <c r="L25" s="57" t="s">
        <v>764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11">
        <v>0</v>
      </c>
      <c r="I26" s="116"/>
      <c r="J26" s="109"/>
      <c r="K26" s="56" t="s">
        <v>1</v>
      </c>
      <c r="L26" s="57" t="s">
        <v>766</v>
      </c>
      <c r="M26" s="57"/>
      <c r="N26" s="57"/>
      <c r="O26" s="57"/>
      <c r="P26" s="57" t="s">
        <v>769</v>
      </c>
      <c r="Q26" s="57"/>
      <c r="R26" s="57" t="s">
        <v>770</v>
      </c>
      <c r="S26" s="57"/>
      <c r="T26" s="57"/>
      <c r="U26" s="57" t="s">
        <v>777</v>
      </c>
      <c r="V26" s="57"/>
      <c r="W26" s="57"/>
      <c r="X26" s="57" t="s">
        <v>782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11">
        <v>0</v>
      </c>
      <c r="I27" s="116"/>
      <c r="J27" s="109"/>
      <c r="K27" s="56"/>
      <c r="L27" s="57" t="s">
        <v>767</v>
      </c>
      <c r="M27" s="57"/>
      <c r="N27" s="57"/>
      <c r="O27" s="57"/>
      <c r="P27" s="57" t="s">
        <v>771</v>
      </c>
      <c r="Q27" s="57"/>
      <c r="R27" s="57" t="s">
        <v>772</v>
      </c>
      <c r="S27" s="57"/>
      <c r="T27" s="57"/>
      <c r="U27" s="57" t="s">
        <v>778</v>
      </c>
      <c r="V27" s="57"/>
      <c r="W27" s="57"/>
      <c r="X27" s="57" t="s">
        <v>783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11">
        <v>0</v>
      </c>
      <c r="I28" s="116"/>
      <c r="J28" s="109"/>
      <c r="K28" s="56"/>
      <c r="L28" s="57" t="s">
        <v>768</v>
      </c>
      <c r="M28" s="57"/>
      <c r="N28" s="57"/>
      <c r="O28" s="57"/>
      <c r="P28" s="57" t="s">
        <v>773</v>
      </c>
      <c r="Q28" s="57"/>
      <c r="R28" s="57" t="s">
        <v>774</v>
      </c>
      <c r="S28" s="57"/>
      <c r="T28" s="57"/>
      <c r="U28" s="57" t="s">
        <v>779</v>
      </c>
      <c r="V28" s="57"/>
      <c r="W28" s="57"/>
      <c r="X28" s="57" t="s">
        <v>784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11">
        <v>0</v>
      </c>
      <c r="I29" s="116"/>
      <c r="J29" s="109"/>
      <c r="K29" s="56"/>
      <c r="L29" s="57" t="s">
        <v>788</v>
      </c>
      <c r="M29" s="57"/>
      <c r="N29" s="57"/>
      <c r="O29" s="57"/>
      <c r="P29" s="57" t="s">
        <v>789</v>
      </c>
      <c r="Q29" s="57"/>
      <c r="R29" s="57" t="s">
        <v>790</v>
      </c>
      <c r="S29" s="57"/>
      <c r="T29" s="57"/>
      <c r="U29" s="57" t="s">
        <v>791</v>
      </c>
      <c r="V29" s="57"/>
      <c r="W29" s="57"/>
      <c r="X29" s="57" t="s">
        <v>792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11">
        <v>0</v>
      </c>
      <c r="I30" s="116"/>
      <c r="J30" s="109"/>
      <c r="K30" s="56"/>
      <c r="L30" s="57"/>
      <c r="M30" s="123" t="s">
        <v>765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11">
        <v>0</v>
      </c>
      <c r="I31" s="116"/>
      <c r="J31" s="109"/>
      <c r="K31" s="56"/>
      <c r="L31" s="57" t="s">
        <v>775</v>
      </c>
      <c r="M31" s="57"/>
      <c r="N31" s="57"/>
      <c r="O31" s="57"/>
      <c r="P31" s="57" t="s">
        <v>776</v>
      </c>
      <c r="Q31" s="57"/>
      <c r="R31" s="57"/>
      <c r="S31" s="57"/>
      <c r="T31" s="57"/>
      <c r="U31" s="57" t="s">
        <v>780</v>
      </c>
      <c r="V31" s="57"/>
      <c r="W31" s="57"/>
      <c r="X31" s="57" t="s">
        <v>781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11">
        <v>0</v>
      </c>
      <c r="I32" s="116"/>
      <c r="J32" s="109"/>
      <c r="K32" s="56" t="s">
        <v>1</v>
      </c>
      <c r="L32" s="57" t="s">
        <v>785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11">
        <v>0</v>
      </c>
      <c r="I33" s="116"/>
      <c r="J33" s="109"/>
      <c r="K33" s="56"/>
      <c r="L33" s="57" t="s">
        <v>786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11">
        <v>0</v>
      </c>
      <c r="I34" s="116"/>
      <c r="J34" s="109"/>
      <c r="K34" s="56"/>
      <c r="L34" s="57" t="s">
        <v>787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11">
        <v>0</v>
      </c>
      <c r="I35" s="116"/>
      <c r="J35" s="109"/>
      <c r="K35" s="56"/>
      <c r="L35" s="57"/>
      <c r="M35" s="57"/>
      <c r="N35" s="57"/>
      <c r="O35" s="57"/>
      <c r="P35" s="57"/>
      <c r="Q35" s="123" t="s">
        <v>765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11">
        <v>0</v>
      </c>
      <c r="I36" s="116"/>
      <c r="J36" s="109"/>
      <c r="K36" s="56"/>
      <c r="L36" s="57" t="s">
        <v>793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11">
        <v>0</v>
      </c>
      <c r="I37" s="116"/>
      <c r="J37" s="109"/>
      <c r="K37" s="56" t="s">
        <v>1</v>
      </c>
      <c r="L37" s="57" t="s">
        <v>796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25">
        <v>0</v>
      </c>
      <c r="I38" s="116"/>
      <c r="J38" s="109"/>
      <c r="K38" s="56"/>
      <c r="L38" s="57" t="s">
        <v>797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25">
        <v>0</v>
      </c>
      <c r="I39" s="116"/>
      <c r="J39" s="109"/>
      <c r="K39" s="56" t="s">
        <v>1</v>
      </c>
      <c r="L39" s="57" t="s">
        <v>798</v>
      </c>
      <c r="M39" s="57"/>
      <c r="N39" s="124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25">
        <v>0</v>
      </c>
      <c r="I40" s="116"/>
      <c r="J40" s="109"/>
      <c r="K40" s="56"/>
      <c r="L40" s="57" t="s">
        <v>799</v>
      </c>
      <c r="M40" s="57"/>
      <c r="N40" s="124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25">
        <v>0</v>
      </c>
      <c r="I41" s="116"/>
      <c r="J41" s="109"/>
      <c r="K41" s="56"/>
      <c r="L41" s="57" t="s">
        <v>800</v>
      </c>
      <c r="M41" s="57"/>
      <c r="N41" s="124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25">
        <v>0</v>
      </c>
      <c r="I42" s="116"/>
      <c r="J42" s="109"/>
      <c r="K42" s="56"/>
      <c r="L42" s="57" t="s">
        <v>794</v>
      </c>
      <c r="M42" s="57"/>
      <c r="N42" s="124" t="s">
        <v>795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25">
        <v>0</v>
      </c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6"/>
      <c r="H207" s="109"/>
      <c r="I207" s="116"/>
      <c r="J207" s="109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6"/>
      <c r="H208" s="109"/>
      <c r="I208" s="116"/>
      <c r="J208" s="109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6"/>
      <c r="H209" s="109"/>
      <c r="I209" s="116"/>
      <c r="J209" s="109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6" t="str">
        <f>IF(F210&lt;&gt;"",SUBTOTAL(3,$F$5:F210),"")</f>
        <v/>
      </c>
      <c r="C210" s="76"/>
      <c r="D210" s="77"/>
      <c r="E210" s="77"/>
      <c r="F210" s="77"/>
      <c r="G210" s="118"/>
      <c r="H210" s="113"/>
      <c r="I210" s="118"/>
      <c r="J210" s="113"/>
      <c r="K210" s="78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80"/>
      <c r="AT210" s="78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80"/>
      <c r="CC210" s="81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2022-04-02T14:34:32Z</dcterms:modified>
</cp:coreProperties>
</file>
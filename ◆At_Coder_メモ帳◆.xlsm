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56" documentId="13_ncr:1_{C6853D52-42A5-4BF2-BD6B-A58D634F1162}" xr6:coauthVersionLast="47" xr6:coauthVersionMax="47" xr10:uidLastSave="{DC5CD932-D6D4-4A16-8E74-50B239A77F9B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C問題!$B$4:$CC$806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7" i="3" l="1"/>
  <c r="B563" i="3"/>
  <c r="B590" i="3"/>
  <c r="B588" i="3"/>
  <c r="B587" i="3"/>
  <c r="B594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4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85" i="3"/>
  <c r="B84" i="3"/>
  <c r="B83" i="3"/>
  <c r="B82" i="3"/>
  <c r="B806" i="3"/>
  <c r="B805" i="3"/>
  <c r="B81" i="3"/>
  <c r="B80" i="3"/>
  <c r="B79" i="3"/>
  <c r="B78" i="3"/>
  <c r="B89" i="3"/>
  <c r="B603" i="3"/>
  <c r="B602" i="3"/>
  <c r="B601" i="3"/>
  <c r="B600" i="3"/>
  <c r="B599" i="3"/>
  <c r="B598" i="3"/>
  <c r="B596" i="3"/>
  <c r="B595" i="3"/>
  <c r="B593" i="3"/>
  <c r="B592" i="3"/>
  <c r="B591" i="3"/>
  <c r="B586" i="3"/>
  <c r="B585" i="3"/>
  <c r="B584" i="3"/>
  <c r="B583" i="3"/>
  <c r="B581" i="3"/>
  <c r="B580" i="3"/>
  <c r="B579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<sst xmlns="http://schemas.openxmlformats.org/spreadsheetml/2006/main" count="1223" uniqueCount="829">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</sst>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606</xdr:row>
      <xdr:rowOff>8284</xdr:rowOff>
    </xdr:from>
    <xdr:to>
      <xdr:col>25</xdr:col>
      <xdr:colOff>106639</xdr:colOff>
      <xdr:row>608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605</xdr:row>
      <xdr:rowOff>41415</xdr:rowOff>
    </xdr:from>
    <xdr:to>
      <xdr:col>12</xdr:col>
      <xdr:colOff>62846</xdr:colOff>
      <xdr:row>605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605</xdr:row>
      <xdr:rowOff>41415</xdr:rowOff>
    </xdr:from>
    <xdr:to>
      <xdr:col>19</xdr:col>
      <xdr:colOff>87694</xdr:colOff>
      <xdr:row>605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6"/>
  <sheetViews>
    <sheetView tabSelected="1" topLeftCell="B1" zoomScale="115" zoomScaleNormal="115" workbookViewId="0">
      <pane ySplit="4" topLeftCell="A582" activePane="bottomLeft" state="frozen"/>
      <selection activeCell="N42" sqref="N42"/>
      <selection pane="bottomLeft" activeCell="K596" sqref="K596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703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704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705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817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713</v>
      </c>
      <c r="G64" s="118">
        <v>44523</v>
      </c>
      <c r="H64" s="117">
        <v>0.5</v>
      </c>
      <c r="I64" s="120"/>
      <c r="J64" s="102"/>
      <c r="K64" s="55" t="s">
        <v>720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715</v>
      </c>
      <c r="G70" s="106">
        <v>44409</v>
      </c>
      <c r="H70" s="100">
        <v>1</v>
      </c>
      <c r="I70" s="108"/>
      <c r="J70" s="102"/>
      <c r="K70" s="55" t="s">
        <v>710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711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712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714</v>
      </c>
      <c r="G74" s="106">
        <v>44409</v>
      </c>
      <c r="H74" s="100">
        <v>1</v>
      </c>
      <c r="I74" s="108"/>
      <c r="J74" s="102"/>
      <c r="K74" s="81" t="s">
        <v>707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709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708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699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700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IF(F85&lt;&gt;"",SUBTOTAL(3,$F$5:F604),"")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701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IF(F89&lt;&gt;"",SUBTOTAL(3,$F$5:F604),"")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815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818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819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816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812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813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814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811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809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810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806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807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808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803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804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805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/>
      <c r="J575" s="100"/>
      <c r="K575" s="55" t="s">
        <v>693</v>
      </c>
      <c r="AS575" s="56"/>
      <c r="AT575" s="55"/>
      <c r="CB575" s="56"/>
      <c r="CC575" s="54"/>
    </row>
    <row r="576" spans="2:81" ht="15.75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801</v>
      </c>
      <c r="AS576" s="56"/>
      <c r="AT576" s="55"/>
      <c r="CB576" s="56"/>
      <c r="CC576" s="54"/>
    </row>
    <row r="577" spans="2:81">
      <c r="B577" s="52"/>
      <c r="C577" s="52"/>
      <c r="D577" s="53"/>
      <c r="E577" s="53"/>
      <c r="F577" s="53"/>
      <c r="G577" s="106"/>
      <c r="H577" s="100"/>
      <c r="I577" s="106"/>
      <c r="J577" s="100"/>
      <c r="K577" s="55"/>
      <c r="AS577" s="56"/>
      <c r="AT577" s="55"/>
      <c r="CB577" s="56"/>
      <c r="CC577" s="54"/>
    </row>
    <row r="578" spans="2:81">
      <c r="B578" s="52"/>
      <c r="C578" s="52"/>
      <c r="D578" s="53"/>
      <c r="E578" s="53"/>
      <c r="F578" s="53"/>
      <c r="G578" s="106"/>
      <c r="H578" s="100"/>
      <c r="I578" s="106"/>
      <c r="J578" s="100"/>
      <c r="K578" s="55" t="s">
        <v>802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>
        <f>IF(F580&lt;&gt;"",SUBTOTAL(3,$F$5:F580),"")</f>
        <v>116</v>
      </c>
      <c r="C580" s="52"/>
      <c r="D580" s="53" t="s">
        <v>138</v>
      </c>
      <c r="E580" s="53" t="s">
        <v>141</v>
      </c>
      <c r="F580" s="53" t="s">
        <v>694</v>
      </c>
      <c r="G580" s="106">
        <v>44320</v>
      </c>
      <c r="H580" s="100">
        <v>1</v>
      </c>
      <c r="I580" s="106"/>
      <c r="J580" s="100"/>
      <c r="K580" s="55" t="s">
        <v>794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1" t="s">
        <v>795</v>
      </c>
      <c r="AS581" s="56"/>
      <c r="AT581" s="55"/>
      <c r="CB581" s="56"/>
      <c r="CC581" s="54"/>
    </row>
    <row r="582" spans="2:81">
      <c r="B582" s="52"/>
      <c r="C582" s="52"/>
      <c r="D582" s="53"/>
      <c r="E582" s="53"/>
      <c r="F582" s="53"/>
      <c r="G582" s="106"/>
      <c r="H582" s="100"/>
      <c r="I582" s="106"/>
      <c r="J582" s="100"/>
      <c r="K582" s="51" t="s">
        <v>796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5" t="s">
        <v>695</v>
      </c>
      <c r="AS583" s="56"/>
      <c r="AT583" s="55"/>
      <c r="CB583" s="56"/>
      <c r="CC583" s="54"/>
    </row>
    <row r="584" spans="2:81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/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799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 t="s">
        <v>797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800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798</v>
      </c>
      <c r="AS588" s="56"/>
      <c r="AT588" s="55"/>
      <c r="CB588" s="56"/>
      <c r="CC588" s="54"/>
    </row>
    <row r="589" spans="2:81">
      <c r="B589" s="52"/>
      <c r="C589" s="52"/>
      <c r="D589" s="53"/>
      <c r="E589" s="53"/>
      <c r="F589" s="53"/>
      <c r="G589" s="106"/>
      <c r="H589" s="100"/>
      <c r="I589" s="106"/>
      <c r="J589" s="100"/>
      <c r="K589" s="55" t="s">
        <v>695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/>
      <c r="AS590" s="56"/>
      <c r="AT590" s="55"/>
      <c r="CB590" s="56"/>
      <c r="CC590" s="54"/>
    </row>
    <row r="591" spans="2:81">
      <c r="B591" s="52">
        <f>IF(F591&lt;&gt;"",SUBTOTAL(3,$F$5:F591),"")</f>
        <v>117</v>
      </c>
      <c r="C591" s="52"/>
      <c r="D591" s="53" t="s">
        <v>138</v>
      </c>
      <c r="E591" s="53" t="s">
        <v>141</v>
      </c>
      <c r="F591" s="53" t="s">
        <v>696</v>
      </c>
      <c r="G591" s="106">
        <v>44321</v>
      </c>
      <c r="H591" s="100">
        <v>1</v>
      </c>
      <c r="I591" s="106"/>
      <c r="J591" s="100"/>
      <c r="K591" s="55" t="s">
        <v>792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793</v>
      </c>
      <c r="AS592" s="56"/>
      <c r="AT592" s="55"/>
      <c r="CB592" s="56"/>
      <c r="CC592" s="54"/>
    </row>
    <row r="593" spans="2:84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790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791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118</v>
      </c>
      <c r="C596" s="52"/>
      <c r="D596" s="53" t="s">
        <v>138</v>
      </c>
      <c r="E596" s="53" t="s">
        <v>141</v>
      </c>
      <c r="F596" s="53" t="s">
        <v>697</v>
      </c>
      <c r="G596" s="106">
        <v>44321</v>
      </c>
      <c r="H596" s="100">
        <v>1</v>
      </c>
      <c r="I596" s="106">
        <v>44807</v>
      </c>
      <c r="J596" s="100" t="s">
        <v>723</v>
      </c>
      <c r="K596" s="55" t="s">
        <v>828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826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827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789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/>
      <c r="AS600" s="56"/>
      <c r="AT600" s="55"/>
      <c r="CB600" s="56"/>
      <c r="CC600" s="54"/>
      <c r="CE600" s="51" t="s">
        <v>1</v>
      </c>
      <c r="CF600" s="51" t="s">
        <v>719</v>
      </c>
    </row>
    <row r="601" spans="2:84">
      <c r="B601" s="52">
        <f>IF(F601&lt;&gt;"",SUBTOTAL(3,$F$5:F601),"")</f>
        <v>119</v>
      </c>
      <c r="C601" s="52"/>
      <c r="D601" s="53" t="s">
        <v>138</v>
      </c>
      <c r="E601" s="53" t="s">
        <v>141</v>
      </c>
      <c r="F601" s="53" t="s">
        <v>698</v>
      </c>
      <c r="G601" s="106">
        <v>44327</v>
      </c>
      <c r="H601" s="100">
        <v>1</v>
      </c>
      <c r="I601" s="106">
        <v>44807</v>
      </c>
      <c r="J601" s="100" t="s">
        <v>723</v>
      </c>
      <c r="K601" s="55" t="s">
        <v>716</v>
      </c>
      <c r="AS601" s="56"/>
      <c r="AT601" s="55"/>
      <c r="CB601" s="56"/>
      <c r="CC601" s="54"/>
      <c r="CE601" s="51" t="s">
        <v>1</v>
      </c>
      <c r="CF601" s="51" t="s">
        <v>718</v>
      </c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717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821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820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/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1</v>
      </c>
      <c r="L606"/>
      <c r="M606"/>
      <c r="N606" s="51" t="s">
        <v>823</v>
      </c>
      <c r="U606" s="51" t="s">
        <v>824</v>
      </c>
      <c r="AS606" s="56"/>
      <c r="AT606" s="55"/>
      <c r="CB606" s="56"/>
      <c r="CC606" s="54"/>
      <c r="CE606" s="51" t="s">
        <v>825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M607"/>
      <c r="N607"/>
      <c r="AS607" s="56"/>
      <c r="AT607" s="55"/>
      <c r="CB607" s="56"/>
      <c r="CC607" s="54"/>
      <c r="CE607" s="51" t="s">
        <v>822</v>
      </c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M608"/>
      <c r="AS608" s="56"/>
      <c r="AT608" s="55"/>
      <c r="CB608" s="56"/>
      <c r="CC608" s="54"/>
    </row>
    <row r="609" spans="2:81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1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1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1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1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1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1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1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1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1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1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1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1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1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1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1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72" t="str">
        <f>IF(F806&lt;&gt;"",SUBTOTAL(3,$F$5:F806),"")</f>
        <v/>
      </c>
      <c r="C806" s="72"/>
      <c r="D806" s="73"/>
      <c r="E806" s="73"/>
      <c r="F806" s="73"/>
      <c r="G806" s="107"/>
      <c r="H806" s="104"/>
      <c r="I806" s="107"/>
      <c r="J806" s="104"/>
      <c r="K806" s="74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  <c r="AA806" s="75"/>
      <c r="AB806" s="75"/>
      <c r="AC806" s="75"/>
      <c r="AD806" s="75"/>
      <c r="AE806" s="75"/>
      <c r="AF806" s="75"/>
      <c r="AG806" s="75"/>
      <c r="AH806" s="75"/>
      <c r="AI806" s="75"/>
      <c r="AJ806" s="75"/>
      <c r="AK806" s="75"/>
      <c r="AL806" s="75"/>
      <c r="AM806" s="75"/>
      <c r="AN806" s="75"/>
      <c r="AO806" s="75"/>
      <c r="AP806" s="75"/>
      <c r="AQ806" s="75"/>
      <c r="AR806" s="75"/>
      <c r="AS806" s="76"/>
      <c r="AT806" s="74"/>
      <c r="AU806" s="75"/>
      <c r="AV806" s="75"/>
      <c r="AW806" s="75"/>
      <c r="AX806" s="75"/>
      <c r="AY806" s="75"/>
      <c r="AZ806" s="75"/>
      <c r="BA806" s="75"/>
      <c r="BB806" s="75"/>
      <c r="BC806" s="75"/>
      <c r="BD806" s="75"/>
      <c r="BE806" s="75"/>
      <c r="BF806" s="75"/>
      <c r="BG806" s="75"/>
      <c r="BH806" s="75"/>
      <c r="BI806" s="75"/>
      <c r="BJ806" s="75"/>
      <c r="BK806" s="75"/>
      <c r="BL806" s="75"/>
      <c r="BM806" s="75"/>
      <c r="BN806" s="75"/>
      <c r="BO806" s="75"/>
      <c r="BP806" s="75"/>
      <c r="BQ806" s="75"/>
      <c r="BR806" s="75"/>
      <c r="BS806" s="75"/>
      <c r="BT806" s="75"/>
      <c r="BU806" s="75"/>
      <c r="BV806" s="75"/>
      <c r="BW806" s="75"/>
      <c r="BX806" s="75"/>
      <c r="BY806" s="75"/>
      <c r="BZ806" s="75"/>
      <c r="CA806" s="75"/>
      <c r="CB806" s="76"/>
      <c r="CC806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6" xr:uid="{CDD3132F-D59C-4B0A-9A7C-94B9D9A88440}">
      <formula1>"100%,80%,50%,30%,0%"</formula1>
    </dataValidation>
    <dataValidation type="list" allowBlank="1" showInputMessage="1" showErrorMessage="1" sqref="J5:J806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722</v>
      </c>
      <c r="E5" s="53" t="s">
        <v>724</v>
      </c>
      <c r="F5" s="53" t="s">
        <v>725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729</v>
      </c>
      <c r="AS5" s="56"/>
      <c r="AT5" s="55" t="s">
        <v>1</v>
      </c>
      <c r="AU5" s="51" t="s">
        <v>730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731</v>
      </c>
      <c r="AS6" s="56"/>
      <c r="AT6" s="55" t="s">
        <v>1</v>
      </c>
      <c r="AU6" s="51" t="s">
        <v>733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728</v>
      </c>
      <c r="L7" s="51" t="s">
        <v>732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721</v>
      </c>
      <c r="E9" s="53" t="s">
        <v>723</v>
      </c>
      <c r="F9" s="53" t="s">
        <v>734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736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737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721</v>
      </c>
      <c r="E12" s="53" t="s">
        <v>723</v>
      </c>
      <c r="F12" s="53" t="s">
        <v>735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738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741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740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739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742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743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744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745</v>
      </c>
      <c r="N19" s="51" t="s">
        <v>746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747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721</v>
      </c>
      <c r="E22" s="53" t="s">
        <v>723</v>
      </c>
      <c r="F22" s="53" t="s">
        <v>748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749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750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751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752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754</v>
      </c>
      <c r="P26" s="51" t="s">
        <v>757</v>
      </c>
      <c r="R26" s="51" t="s">
        <v>758</v>
      </c>
      <c r="U26" s="51" t="s">
        <v>765</v>
      </c>
      <c r="X26" s="51" t="s">
        <v>770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755</v>
      </c>
      <c r="P27" s="51" t="s">
        <v>759</v>
      </c>
      <c r="R27" s="51" t="s">
        <v>760</v>
      </c>
      <c r="U27" s="51" t="s">
        <v>766</v>
      </c>
      <c r="X27" s="51" t="s">
        <v>771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756</v>
      </c>
      <c r="P28" s="51" t="s">
        <v>761</v>
      </c>
      <c r="R28" s="51" t="s">
        <v>762</v>
      </c>
      <c r="U28" s="51" t="s">
        <v>767</v>
      </c>
      <c r="X28" s="51" t="s">
        <v>772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776</v>
      </c>
      <c r="P29" s="51" t="s">
        <v>777</v>
      </c>
      <c r="R29" s="51" t="s">
        <v>778</v>
      </c>
      <c r="U29" s="51" t="s">
        <v>779</v>
      </c>
      <c r="X29" s="51" t="s">
        <v>780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753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763</v>
      </c>
      <c r="P31" s="51" t="s">
        <v>764</v>
      </c>
      <c r="U31" s="51" t="s">
        <v>768</v>
      </c>
      <c r="X31" s="51" t="s">
        <v>769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773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775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753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781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784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785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786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787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788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782</v>
      </c>
      <c r="N42" s="110" t="s">
        <v>783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2022-09-03T13:27:23Z</dcterms:modified>
</cp:coreProperties>
</file>
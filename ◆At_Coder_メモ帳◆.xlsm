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B9EFF25-89E7-43DD-A4F1-6B59635F882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At_Coder_C問題!$J$61</definedName>
    <definedName name="fromABC143_C_Slimes">At_Coder_C問題!$J$181</definedName>
    <definedName name="fromABC147_C_Honest_or_Unkind2">At_Coder_C問題!$J$186</definedName>
    <definedName name="fromABC149_C_NextPrime">At_Coder_C問題!$J$188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4" i="3" l="1"/>
  <c r="B231" i="3"/>
  <c r="B232" i="3"/>
  <c r="B230" i="3"/>
  <c r="B233" i="3"/>
  <c r="B20" i="3" l="1"/>
  <c r="B13" i="3"/>
  <c r="B6" i="3" l="1"/>
  <c r="B58" i="3" l="1"/>
  <c r="B59" i="3"/>
  <c r="B275" i="3" l="1"/>
  <c r="B274" i="3"/>
  <c r="B273" i="3"/>
  <c r="B272" i="3"/>
  <c r="B271" i="3"/>
  <c r="B270" i="3"/>
  <c r="B267" i="3"/>
  <c r="B265" i="3"/>
  <c r="B264" i="3"/>
  <c r="B263" i="3"/>
  <c r="B262" i="3"/>
  <c r="B261" i="3"/>
  <c r="B260" i="3"/>
  <c r="B268" i="3"/>
  <c r="B266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37" i="3"/>
  <c r="B236" i="3"/>
  <c r="B235" i="3"/>
  <c r="B234" i="3"/>
  <c r="B228" i="3"/>
  <c r="B227" i="3"/>
  <c r="B226" i="3"/>
  <c r="B225" i="3"/>
  <c r="B224" i="3"/>
  <c r="B223" i="3"/>
  <c r="B222" i="3"/>
  <c r="B219" i="3"/>
  <c r="B218" i="3"/>
  <c r="J214" i="3"/>
  <c r="B214" i="3"/>
  <c r="B213" i="3"/>
  <c r="B212" i="3"/>
  <c r="B211" i="3"/>
  <c r="B210" i="3"/>
  <c r="B209" i="3"/>
  <c r="B208" i="3"/>
  <c r="B180" i="3"/>
  <c r="B179" i="3"/>
  <c r="B178" i="3"/>
  <c r="B177" i="3"/>
  <c r="B176" i="3"/>
  <c r="B175" i="3"/>
  <c r="B174" i="3"/>
  <c r="B173" i="3"/>
  <c r="B172" i="3"/>
  <c r="B171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39" i="3"/>
  <c r="B138" i="3"/>
  <c r="B137" i="3"/>
  <c r="B136" i="3"/>
  <c r="B135" i="3"/>
  <c r="B132" i="3"/>
  <c r="B131" i="3"/>
  <c r="B129" i="3"/>
  <c r="B128" i="3"/>
  <c r="B127" i="3"/>
  <c r="B126" i="3"/>
  <c r="B125" i="3"/>
  <c r="B123" i="3"/>
  <c r="B122" i="3"/>
  <c r="B121" i="3"/>
  <c r="B120" i="3"/>
  <c r="B119" i="3"/>
  <c r="B118" i="3"/>
  <c r="B116" i="3"/>
  <c r="B115" i="3"/>
  <c r="B114" i="3"/>
  <c r="B113" i="3"/>
  <c r="B112" i="3"/>
  <c r="B111" i="3"/>
  <c r="B110" i="3"/>
  <c r="B109" i="3"/>
  <c r="B108" i="3"/>
  <c r="B107" i="3"/>
  <c r="B105" i="3"/>
  <c r="B104" i="3"/>
  <c r="B103" i="3"/>
  <c r="B102" i="3"/>
  <c r="B101" i="3"/>
  <c r="B99" i="3"/>
  <c r="B98" i="3"/>
  <c r="B97" i="3"/>
  <c r="B96" i="3"/>
  <c r="B95" i="3"/>
  <c r="B94" i="3"/>
  <c r="B93" i="3"/>
  <c r="B91" i="3"/>
  <c r="B90" i="3"/>
  <c r="B89" i="3"/>
  <c r="B88" i="3"/>
  <c r="B87" i="3"/>
  <c r="B86" i="3"/>
  <c r="B85" i="3"/>
  <c r="B83" i="3"/>
  <c r="B82" i="3"/>
  <c r="B81" i="3"/>
  <c r="B79" i="3"/>
  <c r="B78" i="3"/>
  <c r="B77" i="3"/>
  <c r="B74" i="3"/>
  <c r="B73" i="3"/>
  <c r="B72" i="3"/>
  <c r="B71" i="3"/>
  <c r="B70" i="3"/>
  <c r="B69" i="3"/>
  <c r="B68" i="3"/>
  <c r="B76" i="3"/>
  <c r="B75" i="3"/>
  <c r="B67" i="3"/>
  <c r="B65" i="3"/>
  <c r="J56" i="3"/>
  <c r="B56" i="3"/>
  <c r="B53" i="3"/>
  <c r="B52" i="3"/>
  <c r="B51" i="3"/>
  <c r="B50" i="3"/>
  <c r="B48" i="3"/>
  <c r="B47" i="3"/>
  <c r="B43" i="3"/>
  <c r="B42" i="3"/>
  <c r="B41" i="3"/>
  <c r="B31" i="3"/>
  <c r="B37" i="3"/>
  <c r="B39" i="3"/>
  <c r="B36" i="3"/>
  <c r="B35" i="3"/>
  <c r="B34" i="3"/>
  <c r="B33" i="3"/>
  <c r="B30" i="3"/>
  <c r="B29" i="3"/>
  <c r="B28" i="3"/>
  <c r="B19" i="3"/>
  <c r="B12" i="3"/>
  <c r="B11" i="3"/>
  <c r="B10" i="3"/>
  <c r="B9" i="3"/>
  <c r="B57" i="3" l="1"/>
  <c r="B276" i="3" l="1"/>
  <c r="B215" i="3" l="1"/>
  <c r="B27" i="3" l="1"/>
  <c r="B38" i="3" l="1"/>
  <c r="B32" i="3" l="1"/>
  <c r="B46" i="3" l="1"/>
  <c r="B49" i="3"/>
  <c r="B54" i="3"/>
  <c r="B55" i="3"/>
  <c r="B60" i="3"/>
  <c r="B61" i="3"/>
  <c r="B62" i="3"/>
  <c r="B63" i="3"/>
  <c r="B64" i="3"/>
  <c r="B66" i="3"/>
  <c r="B80" i="3"/>
  <c r="B84" i="3"/>
  <c r="B92" i="3"/>
  <c r="B40" i="3"/>
  <c r="B100" i="3" l="1"/>
  <c r="B106" i="3" l="1"/>
  <c r="B117" i="3" l="1"/>
  <c r="B124" i="3" l="1"/>
  <c r="B308" i="3" l="1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69" i="3"/>
  <c r="B240" i="3"/>
  <c r="B239" i="3"/>
  <c r="B238" i="3"/>
  <c r="B229" i="3"/>
  <c r="B221" i="3"/>
  <c r="B220" i="3"/>
  <c r="B217" i="3"/>
  <c r="B216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70" i="3"/>
  <c r="B169" i="3"/>
  <c r="B168" i="3"/>
  <c r="B167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3" i="3"/>
  <c r="B130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<sst xmlns="http://schemas.openxmlformats.org/spreadsheetml/2006/main" count="727" uniqueCount="419">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</sst>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269</xdr:row>
      <xdr:rowOff>33337</xdr:rowOff>
    </xdr:from>
    <xdr:to>
      <xdr:col>16</xdr:col>
      <xdr:colOff>38100</xdr:colOff>
      <xdr:row>269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271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270</xdr:row>
      <xdr:rowOff>35719</xdr:rowOff>
    </xdr:from>
    <xdr:to>
      <xdr:col>21</xdr:col>
      <xdr:colOff>133350</xdr:colOff>
      <xdr:row>271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2438400</xdr:colOff>
          <xdr:row>2</xdr:row>
          <xdr:rowOff>19050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08"/>
  <sheetViews>
    <sheetView tabSelected="1" zoomScaleNormal="100" workbookViewId="0">
      <pane xSplit="7" ySplit="4" topLeftCell="T5" activePane="bottomRight" state="frozen"/>
      <selection pane="topRight" activeCell="H1" sqref="H1"/>
      <selection pane="bottomLeft" activeCell="A5" sqref="A5"/>
      <selection pane="bottomRight" activeCell="AS2" sqref="AS2:CA3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6" t="s">
        <v>8</v>
      </c>
      <c r="C2" s="111" t="s">
        <v>234</v>
      </c>
      <c r="D2" s="111" t="s">
        <v>235</v>
      </c>
      <c r="E2" s="104" t="s">
        <v>141</v>
      </c>
      <c r="F2" s="105"/>
      <c r="G2" s="105"/>
      <c r="H2" s="108" t="s">
        <v>10</v>
      </c>
      <c r="I2" s="110" t="s">
        <v>11</v>
      </c>
      <c r="J2" s="104" t="s">
        <v>236</v>
      </c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3"/>
      <c r="AK2" s="113"/>
      <c r="AL2" s="113"/>
      <c r="AM2" s="113"/>
      <c r="AN2" s="113"/>
      <c r="AO2" s="113"/>
      <c r="AP2" s="113"/>
      <c r="AQ2" s="113"/>
      <c r="AR2" s="114"/>
      <c r="AS2" s="104" t="s">
        <v>418</v>
      </c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20"/>
      <c r="CB2" s="102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7"/>
      <c r="C3" s="107"/>
      <c r="D3" s="107"/>
      <c r="E3" s="36" t="s">
        <v>137</v>
      </c>
      <c r="F3" s="36" t="s">
        <v>138</v>
      </c>
      <c r="G3" s="36" t="s">
        <v>9</v>
      </c>
      <c r="H3" s="109"/>
      <c r="I3" s="107"/>
      <c r="J3" s="115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7"/>
      <c r="AK3" s="117"/>
      <c r="AL3" s="117"/>
      <c r="AM3" s="117"/>
      <c r="AN3" s="117"/>
      <c r="AO3" s="117"/>
      <c r="AP3" s="117"/>
      <c r="AQ3" s="117"/>
      <c r="AR3" s="118"/>
      <c r="AS3" s="121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3"/>
      <c r="CB3" s="10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IF(G27&lt;&gt;"",SUBTOTAL(3,$G$5:G27),"")</f>
        <v>15</v>
      </c>
      <c r="C27" s="58"/>
      <c r="D27" s="58"/>
      <c r="E27" s="59" t="s">
        <v>139</v>
      </c>
      <c r="F27" s="59" t="s">
        <v>142</v>
      </c>
      <c r="G27" s="60" t="s">
        <v>233</v>
      </c>
      <c r="H27" s="61">
        <v>44087</v>
      </c>
      <c r="I27" s="62">
        <v>1</v>
      </c>
      <c r="J27" s="63" t="s">
        <v>247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70">
        <v>1</v>
      </c>
      <c r="J28" s="63" t="s">
        <v>248</v>
      </c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70">
        <v>1</v>
      </c>
      <c r="J29" s="63" t="s">
        <v>249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70">
        <v>1</v>
      </c>
      <c r="J30" s="63" t="s">
        <v>250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70">
        <v>1</v>
      </c>
      <c r="J31" s="63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>
        <f>IF(G32&lt;&gt;"",SUBTOTAL(3,$G$5:G32),"")</f>
        <v>16</v>
      </c>
      <c r="C32" s="58"/>
      <c r="D32" s="58"/>
      <c r="E32" s="59" t="s">
        <v>139</v>
      </c>
      <c r="F32" s="59" t="s">
        <v>142</v>
      </c>
      <c r="G32" s="60" t="s">
        <v>232</v>
      </c>
      <c r="H32" s="61">
        <v>44076</v>
      </c>
      <c r="I32" s="62">
        <v>1</v>
      </c>
      <c r="J32" s="63" t="s">
        <v>251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252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253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254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255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>
        <f>IF(G38&lt;&gt;"",SUBTOTAL(3,$G$5:G38),"")</f>
        <v>17</v>
      </c>
      <c r="C38" s="58"/>
      <c r="D38" s="58"/>
      <c r="E38" s="59" t="s">
        <v>139</v>
      </c>
      <c r="F38" s="59" t="s">
        <v>142</v>
      </c>
      <c r="G38" s="60" t="s">
        <v>231</v>
      </c>
      <c r="H38" s="61">
        <v>44080</v>
      </c>
      <c r="I38" s="62">
        <v>1</v>
      </c>
      <c r="J38" s="63" t="s">
        <v>237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>
        <f>IF(G40&lt;&gt;"",SUBTOTAL(3,$G$5:G40),"")</f>
        <v>18</v>
      </c>
      <c r="C40" s="58"/>
      <c r="D40" s="58"/>
      <c r="E40" s="59" t="s">
        <v>139</v>
      </c>
      <c r="F40" s="59" t="s">
        <v>142</v>
      </c>
      <c r="G40" s="60" t="s">
        <v>229</v>
      </c>
      <c r="H40" s="61">
        <v>43871</v>
      </c>
      <c r="I40" s="62">
        <v>0.3</v>
      </c>
      <c r="J40" s="63" t="s">
        <v>256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 t="s">
        <v>380</v>
      </c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68">
        <v>0.3</v>
      </c>
      <c r="J41" s="63" t="s">
        <v>364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68">
        <v>0.3</v>
      </c>
      <c r="J42" s="63" t="s">
        <v>365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68">
        <v>0.3</v>
      </c>
      <c r="J43" s="63" t="s">
        <v>257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/>
      <c r="C44" s="58"/>
      <c r="D44" s="58"/>
      <c r="E44" s="59"/>
      <c r="F44" s="59"/>
      <c r="G44" s="60"/>
      <c r="H44" s="61"/>
      <c r="I44" s="68">
        <v>0.3</v>
      </c>
      <c r="J44" s="71" t="s">
        <v>230</v>
      </c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3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/>
      <c r="C45" s="58"/>
      <c r="D45" s="58"/>
      <c r="E45" s="59"/>
      <c r="F45" s="59"/>
      <c r="G45" s="60"/>
      <c r="H45" s="61"/>
      <c r="I45" s="68">
        <v>0.3</v>
      </c>
      <c r="J45" s="71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3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>
        <f>IF(G46&lt;&gt;"",SUBTOTAL(3,$G$5:G46),"")</f>
        <v>19</v>
      </c>
      <c r="C46" s="58"/>
      <c r="D46" s="58"/>
      <c r="E46" s="59" t="s">
        <v>139</v>
      </c>
      <c r="F46" s="59" t="s">
        <v>135</v>
      </c>
      <c r="G46" s="60" t="s">
        <v>227</v>
      </c>
      <c r="H46" s="61">
        <v>44072</v>
      </c>
      <c r="I46" s="62">
        <v>0.8</v>
      </c>
      <c r="J46" s="63" t="s">
        <v>384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 t="s">
        <v>381</v>
      </c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0.8</v>
      </c>
      <c r="J47" s="63" t="s">
        <v>385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382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0.8</v>
      </c>
      <c r="J48" s="63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>
        <f>IF(G49&lt;&gt;"",SUBTOTAL(3,$G$5:G49),"")</f>
        <v>20</v>
      </c>
      <c r="C49" s="58"/>
      <c r="D49" s="58"/>
      <c r="E49" s="59" t="s">
        <v>139</v>
      </c>
      <c r="F49" s="59" t="s">
        <v>135</v>
      </c>
      <c r="G49" s="60" t="s">
        <v>225</v>
      </c>
      <c r="H49" s="61">
        <v>44070</v>
      </c>
      <c r="I49" s="62">
        <v>0.8</v>
      </c>
      <c r="J49" s="63" t="s">
        <v>386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 t="s">
        <v>383</v>
      </c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0.8</v>
      </c>
      <c r="J50" s="63" t="s">
        <v>258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259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71" t="s">
        <v>226</v>
      </c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 t="str">
        <f>IF(G53&lt;&gt;"",SUBTOTAL(3,$G$5:G53),"")</f>
        <v/>
      </c>
      <c r="C53" s="58"/>
      <c r="D53" s="58"/>
      <c r="E53" s="59"/>
      <c r="F53" s="59"/>
      <c r="G53" s="60"/>
      <c r="H53" s="61"/>
      <c r="I53" s="68">
        <v>0.8</v>
      </c>
      <c r="J53" s="71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71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3"/>
      <c r="AS54" s="71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3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>
        <f>IF(G55&lt;&gt;"",SUBTOTAL(3,$G$5:G55),"")</f>
        <v>21</v>
      </c>
      <c r="C55" s="58"/>
      <c r="D55" s="58"/>
      <c r="E55" s="59" t="s">
        <v>139</v>
      </c>
      <c r="F55" s="59" t="s">
        <v>135</v>
      </c>
      <c r="G55" s="60" t="s">
        <v>221</v>
      </c>
      <c r="H55" s="61">
        <v>44066</v>
      </c>
      <c r="I55" s="62">
        <v>0</v>
      </c>
      <c r="J55" s="63" t="s">
        <v>260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 t="s">
        <v>222</v>
      </c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</v>
      </c>
      <c r="J56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</v>
      </c>
      <c r="J57" s="100" t="s">
        <v>387</v>
      </c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3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</v>
      </c>
      <c r="J58" s="101" t="s">
        <v>372</v>
      </c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</v>
      </c>
      <c r="J59" s="100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3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>
        <f>IF(G60&lt;&gt;"",SUBTOTAL(3,$G$5:G60),"")</f>
        <v>22</v>
      </c>
      <c r="C60" s="58"/>
      <c r="D60" s="58"/>
      <c r="E60" s="59" t="s">
        <v>139</v>
      </c>
      <c r="F60" s="59" t="s">
        <v>135</v>
      </c>
      <c r="G60" s="60" t="s">
        <v>116</v>
      </c>
      <c r="H60" s="61">
        <v>43869</v>
      </c>
      <c r="I60" s="62"/>
      <c r="J60" s="63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>
        <f>IF(G61&lt;&gt;"",SUBTOTAL(3,$G$5:G61),"")</f>
        <v>23</v>
      </c>
      <c r="C61" s="58"/>
      <c r="D61" s="58"/>
      <c r="E61" s="59" t="s">
        <v>139</v>
      </c>
      <c r="F61" s="59" t="s">
        <v>135</v>
      </c>
      <c r="G61" s="60" t="s">
        <v>157</v>
      </c>
      <c r="H61" s="61">
        <v>43995</v>
      </c>
      <c r="I61" s="62"/>
      <c r="J61" s="63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5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7" t="s">
        <v>13</v>
      </c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IF(G62&lt;&gt;"",SUBTOTAL(3,$G$5:G62),"")</f>
        <v>24</v>
      </c>
      <c r="C62" s="58"/>
      <c r="D62" s="58"/>
      <c r="E62" s="59" t="s">
        <v>139</v>
      </c>
      <c r="F62" s="59" t="s">
        <v>135</v>
      </c>
      <c r="G62" s="60" t="s">
        <v>158</v>
      </c>
      <c r="H62" s="61">
        <v>43961</v>
      </c>
      <c r="I62" s="62"/>
      <c r="J62" s="63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>
        <f>IF(G63&lt;&gt;"",SUBTOTAL(3,$G$5:G63),"")</f>
        <v>25</v>
      </c>
      <c r="C63" s="58"/>
      <c r="D63" s="58"/>
      <c r="E63" s="59" t="s">
        <v>139</v>
      </c>
      <c r="F63" s="59" t="s">
        <v>135</v>
      </c>
      <c r="G63" s="60" t="s">
        <v>159</v>
      </c>
      <c r="H63" s="61">
        <v>43995</v>
      </c>
      <c r="I63" s="62"/>
      <c r="J63" s="63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26</v>
      </c>
      <c r="C64" s="58"/>
      <c r="D64" s="58"/>
      <c r="E64" s="59" t="s">
        <v>139</v>
      </c>
      <c r="F64" s="59" t="s">
        <v>135</v>
      </c>
      <c r="G64" s="60" t="s">
        <v>220</v>
      </c>
      <c r="H64" s="61">
        <v>44058</v>
      </c>
      <c r="I64" s="62">
        <v>1</v>
      </c>
      <c r="J64" s="63" t="s">
        <v>388</v>
      </c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IF(G65&lt;&gt;"",SUBTOTAL(3,$G$5:G65),"")</f>
        <v/>
      </c>
      <c r="C65" s="58"/>
      <c r="D65" s="58"/>
      <c r="E65" s="59"/>
      <c r="F65" s="59"/>
      <c r="G65" s="60"/>
      <c r="H65" s="61"/>
      <c r="I65" s="70">
        <v>1</v>
      </c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27</v>
      </c>
      <c r="C66" s="58"/>
      <c r="D66" s="58"/>
      <c r="E66" s="59" t="s">
        <v>139</v>
      </c>
      <c r="F66" s="59" t="s">
        <v>135</v>
      </c>
      <c r="G66" s="60" t="s">
        <v>219</v>
      </c>
      <c r="H66" s="61">
        <v>44057</v>
      </c>
      <c r="I66" s="62">
        <v>1</v>
      </c>
      <c r="J66" s="63" t="s">
        <v>261</v>
      </c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 t="str">
        <f>IF(G67&lt;&gt;"",SUBTOTAL(3,$G$5:G67),"")</f>
        <v/>
      </c>
      <c r="C67" s="58"/>
      <c r="D67" s="58"/>
      <c r="E67" s="59"/>
      <c r="F67" s="59"/>
      <c r="G67" s="60"/>
      <c r="H67" s="61"/>
      <c r="I67" s="70">
        <v>1</v>
      </c>
      <c r="J67" s="63" t="s">
        <v>262</v>
      </c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 t="str">
        <f>IF(G68&lt;&gt;"",SUBTOTAL(3,$G$5:G68),"")</f>
        <v/>
      </c>
      <c r="C68" s="58"/>
      <c r="D68" s="58"/>
      <c r="E68" s="59"/>
      <c r="F68" s="59"/>
      <c r="G68" s="60"/>
      <c r="H68" s="61"/>
      <c r="I68" s="70">
        <v>1</v>
      </c>
      <c r="J68" s="63" t="s">
        <v>263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 t="s">
        <v>264</v>
      </c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 t="str">
        <f>IF(G70&lt;&gt;"",SUBTOTAL(3,$G$5:G70),"")</f>
        <v/>
      </c>
      <c r="C70" s="58"/>
      <c r="D70" s="58"/>
      <c r="E70" s="59"/>
      <c r="F70" s="59"/>
      <c r="G70" s="60"/>
      <c r="H70" s="61"/>
      <c r="I70" s="70">
        <v>1</v>
      </c>
      <c r="J70" s="63" t="s">
        <v>265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266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267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268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269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270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271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272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273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>
        <f>IF(G80&lt;&gt;"",SUBTOTAL(3,$G$5:G80),"")</f>
        <v>28</v>
      </c>
      <c r="C80" s="58"/>
      <c r="D80" s="58"/>
      <c r="E80" s="59" t="s">
        <v>139</v>
      </c>
      <c r="F80" s="59" t="s">
        <v>135</v>
      </c>
      <c r="G80" s="60" t="s">
        <v>218</v>
      </c>
      <c r="H80" s="61">
        <v>44053</v>
      </c>
      <c r="I80" s="62">
        <v>0.3</v>
      </c>
      <c r="J80" s="63" t="s">
        <v>274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 t="s">
        <v>389</v>
      </c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68">
        <v>0.3</v>
      </c>
      <c r="J81" s="63" t="s">
        <v>390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 t="s">
        <v>275</v>
      </c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68">
        <v>0.3</v>
      </c>
      <c r="J82" s="63" t="s">
        <v>391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68">
        <v>0.3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29</v>
      </c>
      <c r="C84" s="58"/>
      <c r="D84" s="58"/>
      <c r="E84" s="59" t="s">
        <v>139</v>
      </c>
      <c r="F84" s="59" t="s">
        <v>135</v>
      </c>
      <c r="G84" s="60" t="s">
        <v>217</v>
      </c>
      <c r="H84" s="61">
        <v>44045</v>
      </c>
      <c r="I84" s="62">
        <v>1</v>
      </c>
      <c r="J84" s="63" t="s">
        <v>276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278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2">
        <v>1</v>
      </c>
      <c r="J85" s="63" t="s">
        <v>277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279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2">
        <v>1</v>
      </c>
      <c r="J86" s="63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 t="s">
        <v>280</v>
      </c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2">
        <v>1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281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2">
        <v>1</v>
      </c>
      <c r="J88" s="63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281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282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283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284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>
        <f>IF(G92&lt;&gt;"",SUBTOTAL(3,$G$5:G92),"")</f>
        <v>30</v>
      </c>
      <c r="C92" s="58"/>
      <c r="D92" s="58"/>
      <c r="E92" s="59" t="s">
        <v>139</v>
      </c>
      <c r="F92" s="59" t="s">
        <v>135</v>
      </c>
      <c r="G92" s="60" t="s">
        <v>214</v>
      </c>
      <c r="H92" s="61">
        <v>44045</v>
      </c>
      <c r="I92" s="62">
        <v>0.8</v>
      </c>
      <c r="J92" s="63" t="s">
        <v>285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290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8">
        <v>0.8</v>
      </c>
      <c r="J93" s="63" t="s">
        <v>286</v>
      </c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291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8">
        <v>0.8</v>
      </c>
      <c r="J94" s="63" t="s">
        <v>287</v>
      </c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292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8">
        <v>0.8</v>
      </c>
      <c r="J95" s="63" t="s">
        <v>288</v>
      </c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295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68">
        <v>0.8</v>
      </c>
      <c r="J96" s="63" t="s">
        <v>289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296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71" t="s">
        <v>215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293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294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>
        <f>IF(G100&lt;&gt;"",SUBTOTAL(3,$G$5:G100),"")</f>
        <v>31</v>
      </c>
      <c r="C100" s="58"/>
      <c r="D100" s="58"/>
      <c r="E100" s="59" t="s">
        <v>139</v>
      </c>
      <c r="F100" s="59" t="s">
        <v>135</v>
      </c>
      <c r="G100" s="60" t="s">
        <v>213</v>
      </c>
      <c r="H100" s="61">
        <v>44045</v>
      </c>
      <c r="I100" s="62">
        <v>1</v>
      </c>
      <c r="J100" s="63" t="s">
        <v>297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70">
        <v>1</v>
      </c>
      <c r="J101" s="63" t="s">
        <v>298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70">
        <v>1</v>
      </c>
      <c r="J102" s="63" t="s">
        <v>299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70">
        <v>1</v>
      </c>
      <c r="J103" s="63" t="s">
        <v>300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70">
        <v>1</v>
      </c>
      <c r="J104" s="63" t="s">
        <v>301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>
        <f>IF(G106&lt;&gt;"",SUBTOTAL(3,$G$5:G106),"")</f>
        <v>32</v>
      </c>
      <c r="C106" s="58"/>
      <c r="D106" s="58"/>
      <c r="E106" s="59" t="s">
        <v>139</v>
      </c>
      <c r="F106" s="59" t="s">
        <v>135</v>
      </c>
      <c r="G106" s="60" t="s">
        <v>212</v>
      </c>
      <c r="H106" s="61">
        <v>44044</v>
      </c>
      <c r="I106" s="62">
        <v>1</v>
      </c>
      <c r="J106" s="63" t="s">
        <v>302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 t="s">
        <v>278</v>
      </c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366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 t="s">
        <v>392</v>
      </c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303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 t="s">
        <v>393</v>
      </c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 t="s">
        <v>394</v>
      </c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395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282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304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305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306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>
        <f>IF(G117&lt;&gt;"",SUBTOTAL(3,$G$5:G117),"")</f>
        <v>33</v>
      </c>
      <c r="C117" s="58"/>
      <c r="D117" s="58"/>
      <c r="E117" s="59" t="s">
        <v>139</v>
      </c>
      <c r="F117" s="59" t="s">
        <v>135</v>
      </c>
      <c r="G117" s="60" t="s">
        <v>211</v>
      </c>
      <c r="H117" s="61">
        <v>44038</v>
      </c>
      <c r="I117" s="62">
        <v>1</v>
      </c>
      <c r="J117" s="63" t="s">
        <v>307</v>
      </c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278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 t="s">
        <v>308</v>
      </c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396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 t="s">
        <v>367</v>
      </c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 t="s">
        <v>368</v>
      </c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 t="s">
        <v>309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310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IF(G124&lt;&gt;"",SUBTOTAL(3,$G$5:G124),"")</f>
        <v>34</v>
      </c>
      <c r="C124" s="58"/>
      <c r="D124" s="58"/>
      <c r="E124" s="59" t="s">
        <v>139</v>
      </c>
      <c r="F124" s="59" t="s">
        <v>135</v>
      </c>
      <c r="G124" s="60" t="s">
        <v>210</v>
      </c>
      <c r="H124" s="61">
        <v>44038</v>
      </c>
      <c r="I124" s="62">
        <v>1</v>
      </c>
      <c r="J124" s="63" t="s">
        <v>397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278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7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398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311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7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 t="s">
        <v>399</v>
      </c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7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 t="s">
        <v>400</v>
      </c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7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401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>
        <f>IF(G130&lt;&gt;"",SUBTOTAL(3,$G$5:G130),"")</f>
        <v>35</v>
      </c>
      <c r="C130" s="58"/>
      <c r="D130" s="58"/>
      <c r="E130" s="59" t="s">
        <v>139</v>
      </c>
      <c r="F130" s="59" t="s">
        <v>135</v>
      </c>
      <c r="G130" s="60" t="s">
        <v>160</v>
      </c>
      <c r="H130" s="61">
        <v>43960</v>
      </c>
      <c r="I130" s="62">
        <v>1</v>
      </c>
      <c r="J130" s="63" t="s">
        <v>312</v>
      </c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278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 t="s">
        <v>313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402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ht="15.75" x14ac:dyDescent="0.15">
      <c r="B133" s="58">
        <f>IF(G133&lt;&gt;"",SUBTOTAL(3,$G$5:G133),"")</f>
        <v>36</v>
      </c>
      <c r="C133" s="58"/>
      <c r="D133" s="58"/>
      <c r="E133" s="59" t="s">
        <v>139</v>
      </c>
      <c r="F133" s="59" t="s">
        <v>135</v>
      </c>
      <c r="G133" s="60" t="s">
        <v>161</v>
      </c>
      <c r="H133" s="61">
        <v>44036</v>
      </c>
      <c r="I133" s="62">
        <v>0.3</v>
      </c>
      <c r="J133" s="63" t="s">
        <v>314</v>
      </c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4" t="s">
        <v>376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0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68">
        <v>0.3</v>
      </c>
      <c r="J134" s="63" t="s">
        <v>374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4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0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68">
        <v>0.3</v>
      </c>
      <c r="J135" s="63" t="s">
        <v>375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4" t="s">
        <v>316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0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68">
        <v>0.3</v>
      </c>
      <c r="J136" s="63" t="s">
        <v>369</v>
      </c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0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 t="str">
        <f>IF(G137&lt;&gt;"",SUBTOTAL(3,$G$5:G137),"")</f>
        <v/>
      </c>
      <c r="C137" s="58"/>
      <c r="D137" s="58"/>
      <c r="E137" s="59"/>
      <c r="F137" s="59"/>
      <c r="G137" s="60"/>
      <c r="H137" s="61"/>
      <c r="I137" s="68">
        <v>0.3</v>
      </c>
      <c r="J137" s="63" t="s">
        <v>315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>
        <f>IF(G140&lt;&gt;"",SUBTOTAL(3,$G$5:G140),"")</f>
        <v>37</v>
      </c>
      <c r="C140" s="58"/>
      <c r="D140" s="58"/>
      <c r="E140" s="59" t="s">
        <v>139</v>
      </c>
      <c r="F140" s="59" t="s">
        <v>135</v>
      </c>
      <c r="G140" s="60" t="s">
        <v>162</v>
      </c>
      <c r="H140" s="61">
        <v>44013</v>
      </c>
      <c r="I140" s="62"/>
      <c r="J140" s="63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3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>
        <f>IF(G141&lt;&gt;"",SUBTOTAL(3,$G$5:G141),"")</f>
        <v>38</v>
      </c>
      <c r="C141" s="58"/>
      <c r="D141" s="58"/>
      <c r="E141" s="59" t="s">
        <v>139</v>
      </c>
      <c r="F141" s="59" t="s">
        <v>135</v>
      </c>
      <c r="G141" s="60" t="s">
        <v>163</v>
      </c>
      <c r="H141" s="61">
        <v>44010</v>
      </c>
      <c r="I141" s="62"/>
      <c r="J141" s="63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3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>
        <f>IF(G142&lt;&gt;"",SUBTOTAL(3,$G$5:G142),"")</f>
        <v>39</v>
      </c>
      <c r="C142" s="58"/>
      <c r="D142" s="58"/>
      <c r="E142" s="59" t="s">
        <v>139</v>
      </c>
      <c r="F142" s="59" t="s">
        <v>135</v>
      </c>
      <c r="G142" s="60" t="s">
        <v>164</v>
      </c>
      <c r="H142" s="61">
        <v>44010</v>
      </c>
      <c r="I142" s="62"/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3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>
        <f>IF(G143&lt;&gt;"",SUBTOTAL(3,$G$5:G143),"")</f>
        <v>40</v>
      </c>
      <c r="C143" s="58"/>
      <c r="D143" s="58"/>
      <c r="E143" s="59" t="s">
        <v>139</v>
      </c>
      <c r="F143" s="59" t="s">
        <v>135</v>
      </c>
      <c r="G143" s="60" t="s">
        <v>165</v>
      </c>
      <c r="H143" s="61">
        <v>44007</v>
      </c>
      <c r="I143" s="62"/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3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41</v>
      </c>
      <c r="C144" s="58"/>
      <c r="D144" s="58"/>
      <c r="E144" s="59" t="s">
        <v>139</v>
      </c>
      <c r="F144" s="59" t="s">
        <v>135</v>
      </c>
      <c r="G144" s="60" t="s">
        <v>166</v>
      </c>
      <c r="H144" s="61">
        <v>44006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42</v>
      </c>
      <c r="C145" s="58"/>
      <c r="D145" s="58"/>
      <c r="E145" s="59" t="s">
        <v>139</v>
      </c>
      <c r="F145" s="59" t="s">
        <v>135</v>
      </c>
      <c r="G145" s="60" t="s">
        <v>167</v>
      </c>
      <c r="H145" s="61">
        <v>44003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43</v>
      </c>
      <c r="C146" s="58"/>
      <c r="D146" s="58"/>
      <c r="E146" s="59" t="s">
        <v>139</v>
      </c>
      <c r="F146" s="59" t="s">
        <v>135</v>
      </c>
      <c r="G146" s="60" t="s">
        <v>168</v>
      </c>
      <c r="H146" s="61">
        <v>44000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44</v>
      </c>
      <c r="C147" s="58"/>
      <c r="D147" s="58"/>
      <c r="E147" s="59" t="s">
        <v>139</v>
      </c>
      <c r="F147" s="59" t="s">
        <v>135</v>
      </c>
      <c r="G147" s="60" t="s">
        <v>169</v>
      </c>
      <c r="H147" s="61">
        <v>43996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45</v>
      </c>
      <c r="C148" s="58"/>
      <c r="D148" s="58"/>
      <c r="E148" s="59" t="s">
        <v>139</v>
      </c>
      <c r="F148" s="59" t="s">
        <v>135</v>
      </c>
      <c r="G148" s="60" t="s">
        <v>170</v>
      </c>
      <c r="H148" s="61">
        <v>43996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46</v>
      </c>
      <c r="C149" s="58"/>
      <c r="D149" s="58"/>
      <c r="E149" s="59" t="s">
        <v>139</v>
      </c>
      <c r="F149" s="59" t="s">
        <v>135</v>
      </c>
      <c r="G149" s="60" t="s">
        <v>171</v>
      </c>
      <c r="H149" s="61">
        <v>43996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47</v>
      </c>
      <c r="C150" s="58"/>
      <c r="D150" s="58"/>
      <c r="E150" s="59" t="s">
        <v>139</v>
      </c>
      <c r="F150" s="59" t="s">
        <v>135</v>
      </c>
      <c r="G150" s="60" t="s">
        <v>172</v>
      </c>
      <c r="H150" s="61">
        <v>43995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48</v>
      </c>
      <c r="C151" s="58"/>
      <c r="D151" s="58"/>
      <c r="E151" s="59" t="s">
        <v>139</v>
      </c>
      <c r="F151" s="59" t="s">
        <v>135</v>
      </c>
      <c r="G151" s="60" t="s">
        <v>173</v>
      </c>
      <c r="H151" s="61">
        <v>43995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49</v>
      </c>
      <c r="C152" s="58"/>
      <c r="D152" s="58"/>
      <c r="E152" s="59" t="s">
        <v>139</v>
      </c>
      <c r="F152" s="59" t="s">
        <v>135</v>
      </c>
      <c r="G152" s="74" t="s">
        <v>174</v>
      </c>
      <c r="H152" s="61">
        <v>43982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s="46" customFormat="1" ht="13.5" customHeight="1" x14ac:dyDescent="0.15">
      <c r="B153" s="75">
        <f>IF(G153&lt;&gt;"",SUBTOTAL(3,$G$5:G153),"")</f>
        <v>50</v>
      </c>
      <c r="C153" s="75"/>
      <c r="D153" s="75"/>
      <c r="E153" s="76" t="s">
        <v>139</v>
      </c>
      <c r="F153" s="76" t="s">
        <v>135</v>
      </c>
      <c r="G153" s="74" t="s">
        <v>175</v>
      </c>
      <c r="H153" s="61">
        <v>43995</v>
      </c>
      <c r="I153" s="62"/>
      <c r="J153" s="77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78"/>
      <c r="AS153" s="77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78"/>
      <c r="CB153" s="74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B153" s="43"/>
      <c r="DC153" s="43"/>
      <c r="DD153" s="43"/>
      <c r="DE153" s="43"/>
      <c r="DF153" s="43"/>
      <c r="DG153" s="43"/>
      <c r="DH153" s="43"/>
      <c r="DI153" s="43"/>
      <c r="DJ153" s="43"/>
      <c r="DK153" s="43"/>
      <c r="DL153" s="43"/>
      <c r="DM153" s="43"/>
      <c r="DN153" s="43"/>
      <c r="DO153" s="43"/>
      <c r="DP153" s="43"/>
      <c r="DQ153" s="43"/>
      <c r="DR153" s="43"/>
      <c r="DS153" s="43"/>
      <c r="DT153" s="43"/>
      <c r="DU153" s="43"/>
      <c r="DV153" s="43"/>
      <c r="DW153" s="43"/>
      <c r="DX153" s="43"/>
      <c r="DY153" s="43"/>
      <c r="DZ153" s="43"/>
    </row>
    <row r="154" spans="2:130" s="46" customFormat="1" x14ac:dyDescent="0.15">
      <c r="B154" s="75">
        <f>IF(G154&lt;&gt;"",SUBTOTAL(3,$G$5:G154),"")</f>
        <v>51</v>
      </c>
      <c r="C154" s="75"/>
      <c r="D154" s="75"/>
      <c r="E154" s="76" t="s">
        <v>139</v>
      </c>
      <c r="F154" s="76" t="s">
        <v>135</v>
      </c>
      <c r="G154" s="74" t="s">
        <v>176</v>
      </c>
      <c r="H154" s="61">
        <v>43955</v>
      </c>
      <c r="I154" s="62">
        <v>1</v>
      </c>
      <c r="J154" s="79" t="s">
        <v>317</v>
      </c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1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74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</row>
    <row r="155" spans="2:130" s="46" customFormat="1" x14ac:dyDescent="0.15">
      <c r="B155" s="75" t="str">
        <f>IF(G155&lt;&gt;"",SUBTOTAL(3,$G$5:G155),"")</f>
        <v/>
      </c>
      <c r="C155" s="75"/>
      <c r="D155" s="75"/>
      <c r="E155" s="76"/>
      <c r="F155" s="76"/>
      <c r="G155" s="74"/>
      <c r="H155" s="61"/>
      <c r="I155" s="70">
        <v>1</v>
      </c>
      <c r="J155" s="79" t="s">
        <v>262</v>
      </c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1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74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</row>
    <row r="156" spans="2:130" s="46" customFormat="1" x14ac:dyDescent="0.15">
      <c r="B156" s="75" t="str">
        <f>IF(G156&lt;&gt;"",SUBTOTAL(3,$G$5:G156),"")</f>
        <v/>
      </c>
      <c r="C156" s="75"/>
      <c r="D156" s="75"/>
      <c r="E156" s="76"/>
      <c r="F156" s="76"/>
      <c r="G156" s="74"/>
      <c r="H156" s="61"/>
      <c r="I156" s="70">
        <v>1</v>
      </c>
      <c r="J156" s="79" t="s">
        <v>318</v>
      </c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1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74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</row>
    <row r="157" spans="2:130" s="46" customFormat="1" x14ac:dyDescent="0.15">
      <c r="B157" s="75" t="str">
        <f>IF(G157&lt;&gt;"",SUBTOTAL(3,$G$5:G157),"")</f>
        <v/>
      </c>
      <c r="C157" s="75"/>
      <c r="D157" s="75"/>
      <c r="E157" s="76"/>
      <c r="F157" s="76"/>
      <c r="G157" s="74"/>
      <c r="H157" s="61"/>
      <c r="I157" s="70">
        <v>1</v>
      </c>
      <c r="J157" s="79" t="s">
        <v>319</v>
      </c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1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x14ac:dyDescent="0.15">
      <c r="B158" s="75" t="str">
        <f>IF(G158&lt;&gt;"",SUBTOTAL(3,$G$5:G158),"")</f>
        <v/>
      </c>
      <c r="C158" s="75"/>
      <c r="D158" s="75"/>
      <c r="E158" s="76"/>
      <c r="F158" s="76"/>
      <c r="G158" s="74"/>
      <c r="H158" s="61"/>
      <c r="I158" s="70">
        <v>1</v>
      </c>
      <c r="J158" s="79" t="s">
        <v>266</v>
      </c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1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x14ac:dyDescent="0.15">
      <c r="B159" s="75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9" t="s">
        <v>320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1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321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322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323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324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272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325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/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75">
        <f>IF(G167&lt;&gt;"",SUBTOTAL(3,$G$5:G167),"")</f>
        <v>52</v>
      </c>
      <c r="C167" s="75"/>
      <c r="D167" s="75"/>
      <c r="E167" s="76" t="s">
        <v>139</v>
      </c>
      <c r="F167" s="76" t="s">
        <v>135</v>
      </c>
      <c r="G167" s="74" t="s">
        <v>177</v>
      </c>
      <c r="H167" s="61">
        <v>43967</v>
      </c>
      <c r="I167" s="62"/>
      <c r="J167" s="77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75">
        <f>IF(G168&lt;&gt;"",SUBTOTAL(3,$G$5:G168),"")</f>
        <v>53</v>
      </c>
      <c r="C168" s="75"/>
      <c r="D168" s="75"/>
      <c r="E168" s="76" t="s">
        <v>139</v>
      </c>
      <c r="F168" s="76" t="s">
        <v>135</v>
      </c>
      <c r="G168" s="74" t="s">
        <v>178</v>
      </c>
      <c r="H168" s="61">
        <v>43870</v>
      </c>
      <c r="I168" s="62"/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IF(G169&lt;&gt;"",SUBTOTAL(3,$G$5:G169),"")</f>
        <v>54</v>
      </c>
      <c r="C169" s="75"/>
      <c r="D169" s="75"/>
      <c r="E169" s="76" t="s">
        <v>139</v>
      </c>
      <c r="F169" s="76" t="s">
        <v>135</v>
      </c>
      <c r="G169" s="74" t="s">
        <v>179</v>
      </c>
      <c r="H169" s="61">
        <v>43869</v>
      </c>
      <c r="I169" s="62"/>
      <c r="J169" s="77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78"/>
      <c r="AS169" s="77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78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>
        <f>IF(G170&lt;&gt;"",SUBTOTAL(3,$G$5:G170),"")</f>
        <v>55</v>
      </c>
      <c r="C170" s="75"/>
      <c r="D170" s="75"/>
      <c r="E170" s="76" t="s">
        <v>139</v>
      </c>
      <c r="F170" s="76" t="s">
        <v>135</v>
      </c>
      <c r="G170" s="74" t="s">
        <v>89</v>
      </c>
      <c r="H170" s="61">
        <v>43961</v>
      </c>
      <c r="I170" s="62">
        <v>1</v>
      </c>
      <c r="J170" s="79" t="s">
        <v>326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262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327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328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266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 t="s">
        <v>320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329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1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330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1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323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272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75">
        <f>IF(G181&lt;&gt;"",SUBTOTAL(3,$G$5:G181),"")</f>
        <v>56</v>
      </c>
      <c r="C181" s="75"/>
      <c r="D181" s="75"/>
      <c r="E181" s="76" t="s">
        <v>139</v>
      </c>
      <c r="F181" s="76" t="s">
        <v>135</v>
      </c>
      <c r="G181" s="74" t="s">
        <v>180</v>
      </c>
      <c r="H181" s="61">
        <v>43961</v>
      </c>
      <c r="I181" s="62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82" t="s">
        <v>13</v>
      </c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75">
        <f>IF(G182&lt;&gt;"",SUBTOTAL(3,$G$5:G182),"")</f>
        <v>57</v>
      </c>
      <c r="C182" s="75"/>
      <c r="D182" s="75"/>
      <c r="E182" s="76" t="s">
        <v>139</v>
      </c>
      <c r="F182" s="76" t="s">
        <v>135</v>
      </c>
      <c r="G182" s="74" t="s">
        <v>181</v>
      </c>
      <c r="H182" s="61">
        <v>43995</v>
      </c>
      <c r="I182" s="62"/>
      <c r="J182" s="77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IF(G183&lt;&gt;"",SUBTOTAL(3,$G$5:G183),"")</f>
        <v>58</v>
      </c>
      <c r="C183" s="75"/>
      <c r="D183" s="75"/>
      <c r="E183" s="76" t="s">
        <v>139</v>
      </c>
      <c r="F183" s="76" t="s">
        <v>135</v>
      </c>
      <c r="G183" s="74" t="s">
        <v>182</v>
      </c>
      <c r="H183" s="61">
        <v>43961</v>
      </c>
      <c r="I183" s="62"/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75">
        <f>IF(G184&lt;&gt;"",SUBTOTAL(3,$G$5:G184),"")</f>
        <v>59</v>
      </c>
      <c r="C184" s="75"/>
      <c r="D184" s="75"/>
      <c r="E184" s="76" t="s">
        <v>139</v>
      </c>
      <c r="F184" s="76" t="s">
        <v>135</v>
      </c>
      <c r="G184" s="74" t="s">
        <v>183</v>
      </c>
      <c r="H184" s="61">
        <v>43961</v>
      </c>
      <c r="I184" s="62"/>
      <c r="J184" s="77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75">
        <f>IF(G185&lt;&gt;"",SUBTOTAL(3,$G$5:G185),"")</f>
        <v>60</v>
      </c>
      <c r="C185" s="75"/>
      <c r="D185" s="75"/>
      <c r="E185" s="76" t="s">
        <v>139</v>
      </c>
      <c r="F185" s="76" t="s">
        <v>135</v>
      </c>
      <c r="G185" s="74" t="s">
        <v>184</v>
      </c>
      <c r="H185" s="61">
        <v>43995</v>
      </c>
      <c r="I185" s="62"/>
      <c r="J185" s="77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75">
        <f>IF(G186&lt;&gt;"",SUBTOTAL(3,$G$5:G186),"")</f>
        <v>61</v>
      </c>
      <c r="C186" s="75"/>
      <c r="D186" s="75"/>
      <c r="E186" s="76" t="s">
        <v>139</v>
      </c>
      <c r="F186" s="76" t="s">
        <v>135</v>
      </c>
      <c r="G186" s="74" t="s">
        <v>185</v>
      </c>
      <c r="H186" s="61">
        <v>44006</v>
      </c>
      <c r="I186" s="62"/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82" t="s">
        <v>13</v>
      </c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IF(G187&lt;&gt;"",SUBTOTAL(3,$G$5:G187),"")</f>
        <v>62</v>
      </c>
      <c r="C187" s="75"/>
      <c r="D187" s="75"/>
      <c r="E187" s="76" t="s">
        <v>139</v>
      </c>
      <c r="F187" s="76" t="s">
        <v>135</v>
      </c>
      <c r="G187" s="74" t="s">
        <v>15</v>
      </c>
      <c r="H187" s="61">
        <v>43995</v>
      </c>
      <c r="I187" s="62"/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82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75">
        <f>IF(G188&lt;&gt;"",SUBTOTAL(3,$G$5:G188),"")</f>
        <v>63</v>
      </c>
      <c r="C188" s="75"/>
      <c r="D188" s="75"/>
      <c r="E188" s="76" t="s">
        <v>139</v>
      </c>
      <c r="F188" s="76" t="s">
        <v>135</v>
      </c>
      <c r="G188" s="74" t="s">
        <v>186</v>
      </c>
      <c r="H188" s="61">
        <v>43871</v>
      </c>
      <c r="I188" s="62"/>
      <c r="J188" s="77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82" t="s">
        <v>13</v>
      </c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75">
        <f>IF(G189&lt;&gt;"",SUBTOTAL(3,$G$5:G189),"")</f>
        <v>64</v>
      </c>
      <c r="C189" s="75"/>
      <c r="D189" s="75"/>
      <c r="E189" s="76" t="s">
        <v>139</v>
      </c>
      <c r="F189" s="76" t="s">
        <v>135</v>
      </c>
      <c r="G189" s="74" t="s">
        <v>187</v>
      </c>
      <c r="H189" s="61">
        <v>43936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75">
        <f>IF(G190&lt;&gt;"",SUBTOTAL(3,$G$5:G190),"")</f>
        <v>65</v>
      </c>
      <c r="C190" s="75"/>
      <c r="D190" s="75"/>
      <c r="E190" s="76" t="s">
        <v>139</v>
      </c>
      <c r="F190" s="76" t="s">
        <v>135</v>
      </c>
      <c r="G190" s="74" t="s">
        <v>188</v>
      </c>
      <c r="H190" s="61">
        <v>43935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66</v>
      </c>
      <c r="C191" s="75"/>
      <c r="D191" s="75"/>
      <c r="E191" s="76" t="s">
        <v>139</v>
      </c>
      <c r="F191" s="76" t="s">
        <v>135</v>
      </c>
      <c r="G191" s="74" t="s">
        <v>189</v>
      </c>
      <c r="H191" s="61">
        <v>43919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67</v>
      </c>
      <c r="C192" s="75"/>
      <c r="D192" s="75"/>
      <c r="E192" s="76" t="s">
        <v>139</v>
      </c>
      <c r="F192" s="76" t="s">
        <v>135</v>
      </c>
      <c r="G192" s="74" t="s">
        <v>190</v>
      </c>
      <c r="H192" s="61">
        <v>43995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68</v>
      </c>
      <c r="C193" s="75"/>
      <c r="D193" s="75"/>
      <c r="E193" s="76" t="s">
        <v>139</v>
      </c>
      <c r="F193" s="76" t="s">
        <v>135</v>
      </c>
      <c r="G193" s="74" t="s">
        <v>191</v>
      </c>
      <c r="H193" s="61">
        <v>43975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69</v>
      </c>
      <c r="C194" s="75"/>
      <c r="D194" s="75"/>
      <c r="E194" s="76" t="s">
        <v>139</v>
      </c>
      <c r="F194" s="76" t="s">
        <v>135</v>
      </c>
      <c r="G194" s="74" t="s">
        <v>192</v>
      </c>
      <c r="H194" s="61">
        <v>43975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70</v>
      </c>
      <c r="C195" s="75"/>
      <c r="D195" s="75"/>
      <c r="E195" s="76" t="s">
        <v>139</v>
      </c>
      <c r="F195" s="76" t="s">
        <v>135</v>
      </c>
      <c r="G195" s="74" t="s">
        <v>193</v>
      </c>
      <c r="H195" s="61">
        <v>43975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71</v>
      </c>
      <c r="C196" s="75"/>
      <c r="D196" s="75"/>
      <c r="E196" s="76" t="s">
        <v>139</v>
      </c>
      <c r="F196" s="76" t="s">
        <v>135</v>
      </c>
      <c r="G196" s="74" t="s">
        <v>194</v>
      </c>
      <c r="H196" s="61">
        <v>43975</v>
      </c>
      <c r="I196" s="62"/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72</v>
      </c>
      <c r="C197" s="75"/>
      <c r="D197" s="75"/>
      <c r="E197" s="76" t="s">
        <v>139</v>
      </c>
      <c r="F197" s="76" t="s">
        <v>135</v>
      </c>
      <c r="G197" s="74" t="s">
        <v>195</v>
      </c>
      <c r="H197" s="61">
        <v>43977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73</v>
      </c>
      <c r="C198" s="75"/>
      <c r="D198" s="75"/>
      <c r="E198" s="76" t="s">
        <v>139</v>
      </c>
      <c r="F198" s="76" t="s">
        <v>135</v>
      </c>
      <c r="G198" s="74" t="s">
        <v>196</v>
      </c>
      <c r="H198" s="61">
        <v>43977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74</v>
      </c>
      <c r="C199" s="75"/>
      <c r="D199" s="75"/>
      <c r="E199" s="76" t="s">
        <v>139</v>
      </c>
      <c r="F199" s="76" t="s">
        <v>135</v>
      </c>
      <c r="G199" s="74" t="s">
        <v>197</v>
      </c>
      <c r="H199" s="61">
        <v>43977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75</v>
      </c>
      <c r="C200" s="75"/>
      <c r="D200" s="75"/>
      <c r="E200" s="76" t="s">
        <v>139</v>
      </c>
      <c r="F200" s="76" t="s">
        <v>135</v>
      </c>
      <c r="G200" s="74" t="s">
        <v>198</v>
      </c>
      <c r="H200" s="61">
        <v>43995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76</v>
      </c>
      <c r="C201" s="75"/>
      <c r="D201" s="75"/>
      <c r="E201" s="76" t="s">
        <v>139</v>
      </c>
      <c r="F201" s="76" t="s">
        <v>135</v>
      </c>
      <c r="G201" s="74" t="s">
        <v>199</v>
      </c>
      <c r="H201" s="61">
        <v>43982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77</v>
      </c>
      <c r="C202" s="75"/>
      <c r="D202" s="75"/>
      <c r="E202" s="76" t="s">
        <v>139</v>
      </c>
      <c r="F202" s="76" t="s">
        <v>135</v>
      </c>
      <c r="G202" s="74" t="s">
        <v>200</v>
      </c>
      <c r="H202" s="61">
        <v>43989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78</v>
      </c>
      <c r="C203" s="75"/>
      <c r="D203" s="75"/>
      <c r="E203" s="76" t="s">
        <v>139</v>
      </c>
      <c r="F203" s="76" t="s">
        <v>135</v>
      </c>
      <c r="G203" s="74" t="s">
        <v>201</v>
      </c>
      <c r="H203" s="61">
        <v>43989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79</v>
      </c>
      <c r="C204" s="75"/>
      <c r="D204" s="75"/>
      <c r="E204" s="76" t="s">
        <v>139</v>
      </c>
      <c r="F204" s="76" t="s">
        <v>135</v>
      </c>
      <c r="G204" s="74" t="s">
        <v>202</v>
      </c>
      <c r="H204" s="61">
        <v>43991</v>
      </c>
      <c r="I204" s="62"/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IF(G205&lt;&gt;"",SUBTOTAL(3,$G$5:G205),"")</f>
        <v>80</v>
      </c>
      <c r="C205" s="75"/>
      <c r="D205" s="75"/>
      <c r="E205" s="76" t="s">
        <v>139</v>
      </c>
      <c r="F205" s="76" t="s">
        <v>135</v>
      </c>
      <c r="G205" s="74" t="s">
        <v>203</v>
      </c>
      <c r="H205" s="61">
        <v>43991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IF(G206&lt;&gt;"",SUBTOTAL(3,$G$5:G206),"")</f>
        <v>81</v>
      </c>
      <c r="C206" s="75"/>
      <c r="D206" s="75"/>
      <c r="E206" s="76" t="s">
        <v>139</v>
      </c>
      <c r="F206" s="76" t="s">
        <v>135</v>
      </c>
      <c r="G206" s="74" t="s">
        <v>204</v>
      </c>
      <c r="H206" s="61">
        <v>43992</v>
      </c>
      <c r="I206" s="62"/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x14ac:dyDescent="0.15">
      <c r="B207" s="75">
        <f>IF(G207&lt;&gt;"",SUBTOTAL(3,$G$5:G207),"")</f>
        <v>82</v>
      </c>
      <c r="C207" s="75"/>
      <c r="D207" s="75"/>
      <c r="E207" s="76" t="s">
        <v>139</v>
      </c>
      <c r="F207" s="76" t="s">
        <v>135</v>
      </c>
      <c r="G207" s="74" t="s">
        <v>205</v>
      </c>
      <c r="H207" s="61">
        <v>43994</v>
      </c>
      <c r="I207" s="62">
        <v>0.8</v>
      </c>
      <c r="J207" s="77" t="s">
        <v>331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x14ac:dyDescent="0.15">
      <c r="B208" s="75" t="str">
        <f>IF(G208&lt;&gt;"",SUBTOTAL(3,$G$5:G208),"")</f>
        <v/>
      </c>
      <c r="C208" s="75"/>
      <c r="D208" s="75"/>
      <c r="E208" s="76"/>
      <c r="F208" s="76"/>
      <c r="G208" s="74"/>
      <c r="H208" s="61"/>
      <c r="I208" s="68">
        <v>0.8</v>
      </c>
      <c r="J208" s="77" t="s">
        <v>332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x14ac:dyDescent="0.15">
      <c r="B209" s="75" t="str">
        <f>IF(G209&lt;&gt;"",SUBTOTAL(3,$G$5:G209),"")</f>
        <v/>
      </c>
      <c r="C209" s="75"/>
      <c r="D209" s="75"/>
      <c r="E209" s="76"/>
      <c r="F209" s="76"/>
      <c r="G209" s="74"/>
      <c r="H209" s="61"/>
      <c r="I209" s="68">
        <v>0.8</v>
      </c>
      <c r="J209" s="77" t="s">
        <v>333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x14ac:dyDescent="0.15">
      <c r="B210" s="75" t="str">
        <f>IF(G210&lt;&gt;"",SUBTOTAL(3,$G$5:G210),"")</f>
        <v/>
      </c>
      <c r="C210" s="75"/>
      <c r="D210" s="75"/>
      <c r="E210" s="76"/>
      <c r="F210" s="76"/>
      <c r="G210" s="74"/>
      <c r="H210" s="61"/>
      <c r="I210" s="68">
        <v>0.8</v>
      </c>
      <c r="J210" s="77" t="s">
        <v>334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x14ac:dyDescent="0.15">
      <c r="B211" s="75" t="str">
        <f>IF(G211&lt;&gt;"",SUBTOTAL(3,$G$5:G211),"")</f>
        <v/>
      </c>
      <c r="C211" s="75"/>
      <c r="D211" s="75"/>
      <c r="E211" s="76"/>
      <c r="F211" s="76"/>
      <c r="G211" s="74"/>
      <c r="H211" s="61"/>
      <c r="I211" s="68">
        <v>0.8</v>
      </c>
      <c r="J211" s="77" t="s">
        <v>335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x14ac:dyDescent="0.15">
      <c r="B212" s="75" t="str">
        <f>IF(G212&lt;&gt;"",SUBTOTAL(3,$G$5:G212),"")</f>
        <v/>
      </c>
      <c r="C212" s="75"/>
      <c r="D212" s="75"/>
      <c r="E212" s="76"/>
      <c r="F212" s="76"/>
      <c r="G212" s="74"/>
      <c r="H212" s="61"/>
      <c r="I212" s="68">
        <v>0.8</v>
      </c>
      <c r="J212" s="77" t="s">
        <v>336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x14ac:dyDescent="0.15">
      <c r="B213" s="75" t="str">
        <f>IF(G213&lt;&gt;"",SUBTOTAL(3,$G$5:G213),"")</f>
        <v/>
      </c>
      <c r="C213" s="75"/>
      <c r="D213" s="75"/>
      <c r="E213" s="76"/>
      <c r="F213" s="76"/>
      <c r="G213" s="74"/>
      <c r="H213" s="61"/>
      <c r="I213" s="68">
        <v>0.8</v>
      </c>
      <c r="J213" s="77" t="s">
        <v>337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x14ac:dyDescent="0.15">
      <c r="B214" s="75" t="str">
        <f>IF(G214&lt;&gt;"",SUBTOTAL(3,$G$5:G214),"")</f>
        <v/>
      </c>
      <c r="C214" s="75"/>
      <c r="D214" s="75"/>
      <c r="E214" s="76"/>
      <c r="F214" s="76"/>
      <c r="G214" s="74"/>
      <c r="H214" s="61"/>
      <c r="I214" s="68">
        <v>0.8</v>
      </c>
      <c r="J214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x14ac:dyDescent="0.15">
      <c r="B215" s="75" t="str">
        <f>IF(G215&lt;&gt;"",SUBTOTAL(3,$G$5:G215),"")</f>
        <v/>
      </c>
      <c r="C215" s="75"/>
      <c r="D215" s="75"/>
      <c r="E215" s="76"/>
      <c r="F215" s="76"/>
      <c r="G215" s="74"/>
      <c r="H215" s="61"/>
      <c r="I215" s="68">
        <v>0.8</v>
      </c>
      <c r="J215" s="37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9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83</v>
      </c>
      <c r="C216" s="75"/>
      <c r="D216" s="75"/>
      <c r="E216" s="76" t="s">
        <v>139</v>
      </c>
      <c r="F216" s="76" t="s">
        <v>135</v>
      </c>
      <c r="G216" s="74" t="s">
        <v>206</v>
      </c>
      <c r="H216" s="61">
        <v>43995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x14ac:dyDescent="0.15">
      <c r="B217" s="75">
        <f>IF(G217&lt;&gt;"",SUBTOTAL(3,$G$5:G217),"")</f>
        <v>84</v>
      </c>
      <c r="C217" s="75"/>
      <c r="D217" s="75"/>
      <c r="E217" s="76" t="s">
        <v>139</v>
      </c>
      <c r="F217" s="76" t="s">
        <v>135</v>
      </c>
      <c r="G217" s="74" t="s">
        <v>207</v>
      </c>
      <c r="H217" s="61">
        <v>43997</v>
      </c>
      <c r="I217" s="62">
        <v>1</v>
      </c>
      <c r="J217" s="77" t="s">
        <v>404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 t="s">
        <v>339</v>
      </c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x14ac:dyDescent="0.15">
      <c r="B218" s="75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403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 t="s">
        <v>405</v>
      </c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x14ac:dyDescent="0.15">
      <c r="B219" s="75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338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 t="s">
        <v>406</v>
      </c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85</v>
      </c>
      <c r="C220" s="75"/>
      <c r="D220" s="75"/>
      <c r="E220" s="76" t="s">
        <v>139</v>
      </c>
      <c r="F220" s="76" t="s">
        <v>135</v>
      </c>
      <c r="G220" s="74" t="s">
        <v>208</v>
      </c>
      <c r="H220" s="61">
        <v>44004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x14ac:dyDescent="0.15">
      <c r="B221" s="75">
        <f>IF(G221&lt;&gt;"",SUBTOTAL(3,$G$5:G221),"")</f>
        <v>86</v>
      </c>
      <c r="C221" s="75"/>
      <c r="D221" s="75"/>
      <c r="E221" s="76" t="s">
        <v>139</v>
      </c>
      <c r="F221" s="76" t="s">
        <v>142</v>
      </c>
      <c r="G221" s="76" t="s">
        <v>209</v>
      </c>
      <c r="H221" s="61">
        <v>44030</v>
      </c>
      <c r="I221" s="62">
        <v>1</v>
      </c>
      <c r="J221" s="77" t="s">
        <v>340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 t="s">
        <v>407</v>
      </c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x14ac:dyDescent="0.15">
      <c r="B222" s="75" t="str">
        <f>IF(G222&lt;&gt;"",SUBTOTAL(3,$G$5:G222),"")</f>
        <v/>
      </c>
      <c r="C222" s="75"/>
      <c r="D222" s="75"/>
      <c r="E222" s="76"/>
      <c r="F222" s="76"/>
      <c r="G222" s="76"/>
      <c r="H222" s="61"/>
      <c r="I222" s="70">
        <v>1</v>
      </c>
      <c r="J222" s="77" t="s">
        <v>341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x14ac:dyDescent="0.15">
      <c r="B223" s="75" t="str">
        <f>IF(G223&lt;&gt;"",SUBTOTAL(3,$G$5:G223),"")</f>
        <v/>
      </c>
      <c r="C223" s="75"/>
      <c r="D223" s="75"/>
      <c r="E223" s="76"/>
      <c r="F223" s="76"/>
      <c r="G223" s="76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 t="s">
        <v>408</v>
      </c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x14ac:dyDescent="0.15">
      <c r="B224" s="75" t="str">
        <f>IF(G224&lt;&gt;"",SUBTOTAL(3,$G$5:G224),"")</f>
        <v/>
      </c>
      <c r="C224" s="75"/>
      <c r="D224" s="75"/>
      <c r="E224" s="76"/>
      <c r="F224" s="76"/>
      <c r="G224" s="76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 t="s">
        <v>342</v>
      </c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5.75" x14ac:dyDescent="0.15">
      <c r="B225" s="75" t="str">
        <f>IF(G225&lt;&gt;"",SUBTOTAL(3,$G$5:G225),"")</f>
        <v/>
      </c>
      <c r="C225" s="75"/>
      <c r="D225" s="75"/>
      <c r="E225" s="76"/>
      <c r="F225" s="76"/>
      <c r="G225" s="76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 t="s">
        <v>370</v>
      </c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x14ac:dyDescent="0.15">
      <c r="B226" s="75" t="str">
        <f>IF(G226&lt;&gt;"",SUBTOTAL(3,$G$5:G226),"")</f>
        <v/>
      </c>
      <c r="C226" s="75"/>
      <c r="D226" s="75"/>
      <c r="E226" s="76"/>
      <c r="F226" s="76"/>
      <c r="G226" s="76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 t="s">
        <v>409</v>
      </c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x14ac:dyDescent="0.15">
      <c r="B227" s="75" t="str">
        <f>IF(G227&lt;&gt;"",SUBTOTAL(3,$G$5:G227),"")</f>
        <v/>
      </c>
      <c r="C227" s="75"/>
      <c r="D227" s="75"/>
      <c r="E227" s="76"/>
      <c r="F227" s="76"/>
      <c r="G227" s="76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 t="s">
        <v>410</v>
      </c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x14ac:dyDescent="0.15">
      <c r="B228" s="75" t="str">
        <f>IF(G228&lt;&gt;"",SUBTOTAL(3,$G$5:G228),"")</f>
        <v/>
      </c>
      <c r="C228" s="75"/>
      <c r="D228" s="75"/>
      <c r="E228" s="76"/>
      <c r="F228" s="76"/>
      <c r="G228" s="76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x14ac:dyDescent="0.15">
      <c r="B229" s="75">
        <f>IF(G229&lt;&gt;"",SUBTOTAL(3,$G$5:G229),"")</f>
        <v>87</v>
      </c>
      <c r="C229" s="75"/>
      <c r="D229" s="75"/>
      <c r="E229" s="76" t="s">
        <v>139</v>
      </c>
      <c r="F229" s="76" t="s">
        <v>142</v>
      </c>
      <c r="G229" s="76" t="s">
        <v>216</v>
      </c>
      <c r="H229" s="61">
        <v>44052</v>
      </c>
      <c r="I229" s="62">
        <v>0.5</v>
      </c>
      <c r="J229" s="77" t="s">
        <v>343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 t="s">
        <v>412</v>
      </c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x14ac:dyDescent="0.15">
      <c r="B230" s="124" t="str">
        <f>IF(G230&lt;&gt;"",SUBTOTAL(3,$G$5:G230),"")</f>
        <v/>
      </c>
      <c r="C230" s="75"/>
      <c r="D230" s="75"/>
      <c r="E230" s="76"/>
      <c r="F230" s="76"/>
      <c r="G230" s="76"/>
      <c r="H230" s="61"/>
      <c r="I230" s="68">
        <v>0.5</v>
      </c>
      <c r="J230" s="77" t="s">
        <v>371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 t="s">
        <v>411</v>
      </c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124" t="str">
        <f>IF(G231&lt;&gt;"",SUBTOTAL(3,$G$5:G231),"")</f>
        <v/>
      </c>
      <c r="C231" s="75"/>
      <c r="D231" s="75"/>
      <c r="E231" s="76"/>
      <c r="F231" s="76"/>
      <c r="G231" s="76"/>
      <c r="H231" s="61"/>
      <c r="I231" s="68">
        <v>0.5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 t="s">
        <v>413</v>
      </c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x14ac:dyDescent="0.15">
      <c r="B232" s="124" t="str">
        <f>IF(G232&lt;&gt;"",SUBTOTAL(3,$G$5:G232),"")</f>
        <v/>
      </c>
      <c r="C232" s="75"/>
      <c r="D232" s="75"/>
      <c r="E232" s="76"/>
      <c r="F232" s="76"/>
      <c r="G232" s="76"/>
      <c r="H232" s="61"/>
      <c r="I232" s="68">
        <v>0.5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 t="s">
        <v>414</v>
      </c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x14ac:dyDescent="0.15">
      <c r="B233" s="124" t="str">
        <f>IF(G233&lt;&gt;"",SUBTOTAL(3,$G$5:G233),"")</f>
        <v/>
      </c>
      <c r="C233" s="75"/>
      <c r="D233" s="75"/>
      <c r="E233" s="76"/>
      <c r="F233" s="76"/>
      <c r="G233" s="76"/>
      <c r="H233" s="61"/>
      <c r="I233" s="68">
        <v>0.5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 t="s">
        <v>416</v>
      </c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6"/>
      <c r="H234" s="61"/>
      <c r="I234" s="68">
        <v>0.5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 t="s">
        <v>415</v>
      </c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6"/>
      <c r="H235" s="61"/>
      <c r="I235" s="68">
        <v>0.5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 t="s">
        <v>417</v>
      </c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6"/>
      <c r="H236" s="61"/>
      <c r="I236" s="68">
        <v>0.5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6"/>
      <c r="H237" s="61"/>
      <c r="I237" s="68">
        <v>0.5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88</v>
      </c>
      <c r="C238" s="75"/>
      <c r="D238" s="75"/>
      <c r="E238" s="76" t="s">
        <v>139</v>
      </c>
      <c r="F238" s="76" t="s">
        <v>142</v>
      </c>
      <c r="G238" s="76" t="s">
        <v>223</v>
      </c>
      <c r="H238" s="61">
        <v>44062</v>
      </c>
      <c r="I238" s="62">
        <v>1</v>
      </c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75">
        <f>IF(G239&lt;&gt;"",SUBTOTAL(3,$G$5:G239),"")</f>
        <v>89</v>
      </c>
      <c r="C239" s="75"/>
      <c r="D239" s="75"/>
      <c r="E239" s="76" t="s">
        <v>139</v>
      </c>
      <c r="F239" s="76" t="s">
        <v>142</v>
      </c>
      <c r="G239" s="76" t="s">
        <v>224</v>
      </c>
      <c r="H239" s="61">
        <v>44071</v>
      </c>
      <c r="I239" s="62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>
        <f>IF(G240&lt;&gt;"",SUBTOTAL(3,$G$5:G240),"")</f>
        <v>90</v>
      </c>
      <c r="C240" s="75"/>
      <c r="D240" s="75"/>
      <c r="E240" s="76" t="s">
        <v>139</v>
      </c>
      <c r="F240" s="76" t="s">
        <v>142</v>
      </c>
      <c r="G240" s="76" t="s">
        <v>228</v>
      </c>
      <c r="H240" s="61">
        <v>44073</v>
      </c>
      <c r="I240" s="62">
        <v>1</v>
      </c>
      <c r="J240" s="98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98" t="s">
        <v>354</v>
      </c>
      <c r="AT240" s="43" t="s">
        <v>355</v>
      </c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6"/>
      <c r="H241" s="61"/>
      <c r="I241" s="70">
        <v>1</v>
      </c>
      <c r="J241" s="99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99" t="s">
        <v>344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6"/>
      <c r="H242" s="61"/>
      <c r="I242" s="70">
        <v>1</v>
      </c>
      <c r="J242" s="99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99" t="s">
        <v>345</v>
      </c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6"/>
      <c r="H243" s="61"/>
      <c r="I243" s="70">
        <v>1</v>
      </c>
      <c r="J243" s="99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99" t="s">
        <v>346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6"/>
      <c r="H244" s="61"/>
      <c r="I244" s="70">
        <v>1</v>
      </c>
      <c r="J244" s="99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99" t="s">
        <v>347</v>
      </c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70">
        <v>1</v>
      </c>
      <c r="J245" s="99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99" t="s">
        <v>359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99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99" t="s">
        <v>348</v>
      </c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70">
        <v>1</v>
      </c>
      <c r="J247" s="99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99" t="s">
        <v>349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70">
        <v>1</v>
      </c>
      <c r="J248" s="98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98" t="s">
        <v>354</v>
      </c>
      <c r="AT248" s="43" t="s">
        <v>356</v>
      </c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360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361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99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99" t="s">
        <v>344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99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99" t="s">
        <v>345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99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99" t="s">
        <v>346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99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99" t="s">
        <v>347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99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99" t="s">
        <v>362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99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99" t="s">
        <v>350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99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99" t="s">
        <v>348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99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99" t="s">
        <v>349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8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98" t="s">
        <v>357</v>
      </c>
      <c r="AT259" s="43" t="s">
        <v>358</v>
      </c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363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99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99" t="s">
        <v>344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99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99" t="s">
        <v>345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9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99" t="s">
        <v>346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9" t="s">
        <v>347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351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9" t="s">
        <v>348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99" t="s">
        <v>349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4.25" customHeight="1" x14ac:dyDescent="0.15">
      <c r="B269" s="75">
        <f>IF(G269&lt;&gt;"",SUBTOTAL(3,$G$5:G269),"")</f>
        <v>91</v>
      </c>
      <c r="C269" s="75"/>
      <c r="D269" s="75"/>
      <c r="E269" s="76" t="s">
        <v>139</v>
      </c>
      <c r="F269" s="76" t="s">
        <v>142</v>
      </c>
      <c r="G269" s="76" t="s">
        <v>239</v>
      </c>
      <c r="H269" s="61">
        <v>44108</v>
      </c>
      <c r="I269" s="62">
        <v>0.5</v>
      </c>
      <c r="J269" s="77" t="s">
        <v>1</v>
      </c>
      <c r="K269" s="43" t="s">
        <v>353</v>
      </c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4.25" customHeigh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68">
        <v>0.5</v>
      </c>
      <c r="J270" s="83"/>
      <c r="K270" s="84"/>
      <c r="L270" s="84"/>
      <c r="M270" s="84"/>
      <c r="N270" s="84"/>
      <c r="O270" s="84"/>
      <c r="P270" s="84"/>
      <c r="Q270" s="84"/>
      <c r="R270" s="85" t="s">
        <v>352</v>
      </c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6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4.25" customHeigh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68">
        <v>0.5</v>
      </c>
      <c r="J271" s="87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6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4.25" customHeigh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68">
        <v>0.5</v>
      </c>
      <c r="J272" s="83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6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4.25" customHeigh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83" t="s">
        <v>240</v>
      </c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6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4.25" customHeigh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83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6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4.25" customHeigh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68">
        <v>0.5</v>
      </c>
      <c r="J275" s="83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4"/>
      <c r="AQ275" s="84"/>
      <c r="AR275" s="86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4.25" customHeigh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83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6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4.25" customHeigh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83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6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2"/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ht="13.5" customHeight="1" x14ac:dyDescent="0.15">
      <c r="B279" s="58" t="str">
        <f>IF(G279&lt;&gt;"",SUBTOTAL(3,$G$5:G279),"")</f>
        <v/>
      </c>
      <c r="C279" s="58"/>
      <c r="D279" s="58"/>
      <c r="E279" s="59"/>
      <c r="F279" s="59"/>
      <c r="G279" s="59"/>
      <c r="H279" s="61"/>
      <c r="I279" s="62"/>
      <c r="J279" s="40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2"/>
      <c r="AS279" s="63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  <c r="BI279" s="64"/>
      <c r="BJ279" s="64"/>
      <c r="BK279" s="64"/>
      <c r="BL279" s="64"/>
      <c r="BM279" s="64"/>
      <c r="BN279" s="64"/>
      <c r="BO279" s="64"/>
      <c r="BP279" s="64"/>
      <c r="BQ279" s="64"/>
      <c r="BR279" s="64"/>
      <c r="BS279" s="64"/>
      <c r="BT279" s="64"/>
      <c r="BU279" s="64"/>
      <c r="BV279" s="64"/>
      <c r="BW279" s="64"/>
      <c r="BX279" s="64"/>
      <c r="BY279" s="64"/>
      <c r="BZ279" s="64"/>
      <c r="CA279" s="65"/>
      <c r="CB279" s="60"/>
      <c r="CH279" s="64"/>
      <c r="CI279" s="64"/>
      <c r="CJ279" s="64"/>
      <c r="CK279" s="64"/>
      <c r="CL279" s="64"/>
      <c r="CM279" s="64"/>
      <c r="CN279" s="64"/>
      <c r="CO279" s="64"/>
      <c r="CP279" s="64"/>
      <c r="CQ279" s="64"/>
      <c r="CR279" s="64"/>
      <c r="CS279" s="64"/>
      <c r="CT279" s="64"/>
      <c r="CU279" s="64"/>
      <c r="CV279" s="64"/>
      <c r="CW279" s="64"/>
      <c r="CX279" s="64"/>
      <c r="CY279" s="64"/>
      <c r="CZ279" s="64"/>
      <c r="DA279" s="64"/>
      <c r="DB279" s="64"/>
      <c r="DC279" s="64"/>
      <c r="DD279" s="64"/>
      <c r="DE279" s="64"/>
      <c r="DF279" s="64"/>
      <c r="DG279" s="64"/>
      <c r="DH279" s="64"/>
      <c r="DI279" s="64"/>
      <c r="DJ279" s="64"/>
      <c r="DK279" s="64"/>
      <c r="DL279" s="64"/>
      <c r="DM279" s="64"/>
      <c r="DN279" s="64"/>
      <c r="DO279" s="64"/>
      <c r="DP279" s="64"/>
      <c r="DQ279" s="64"/>
      <c r="DR279" s="64"/>
      <c r="DS279" s="64"/>
      <c r="DT279" s="64"/>
      <c r="DU279" s="64"/>
      <c r="DV279" s="64"/>
      <c r="DW279" s="64"/>
      <c r="DX279" s="64"/>
      <c r="DY279" s="64"/>
      <c r="DZ279" s="64"/>
    </row>
    <row r="280" spans="2:130" ht="13.5" customHeight="1" x14ac:dyDescent="0.15">
      <c r="B280" s="58" t="str">
        <f>IF(G280&lt;&gt;"",SUBTOTAL(3,$G$5:G280),"")</f>
        <v/>
      </c>
      <c r="C280" s="58"/>
      <c r="D280" s="58"/>
      <c r="E280" s="59"/>
      <c r="F280" s="59"/>
      <c r="G280" s="59"/>
      <c r="H280" s="61"/>
      <c r="I280" s="62"/>
      <c r="J280" s="63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  <c r="AI280" s="64"/>
      <c r="AJ280" s="64"/>
      <c r="AK280" s="64"/>
      <c r="AL280" s="64"/>
      <c r="AM280" s="64"/>
      <c r="AN280" s="64"/>
      <c r="AO280" s="64"/>
      <c r="AP280" s="64"/>
      <c r="AQ280" s="64"/>
      <c r="AR280" s="65"/>
      <c r="AS280" s="63"/>
      <c r="AT280" s="64"/>
      <c r="AU280" s="64"/>
      <c r="AV280" s="64"/>
      <c r="AW280" s="64"/>
      <c r="AX280" s="64"/>
      <c r="AY280" s="64"/>
      <c r="AZ280" s="64"/>
      <c r="BA280" s="64"/>
      <c r="BB280" s="64"/>
      <c r="BC280" s="64"/>
      <c r="BD280" s="64"/>
      <c r="BE280" s="64"/>
      <c r="BF280" s="64"/>
      <c r="BG280" s="64"/>
      <c r="BH280" s="64"/>
      <c r="BI280" s="64"/>
      <c r="BJ280" s="64"/>
      <c r="BK280" s="64"/>
      <c r="BL280" s="64"/>
      <c r="BM280" s="64"/>
      <c r="BN280" s="64"/>
      <c r="BO280" s="64"/>
      <c r="BP280" s="64"/>
      <c r="BQ280" s="64"/>
      <c r="BR280" s="64"/>
      <c r="BS280" s="64"/>
      <c r="BT280" s="64"/>
      <c r="BU280" s="64"/>
      <c r="BV280" s="64"/>
      <c r="BW280" s="64"/>
      <c r="BX280" s="64"/>
      <c r="BY280" s="64"/>
      <c r="BZ280" s="64"/>
      <c r="CA280" s="65"/>
      <c r="CB280" s="60"/>
      <c r="CH280" s="64"/>
      <c r="CI280" s="64"/>
      <c r="CJ280" s="64"/>
      <c r="CK280" s="64"/>
      <c r="CL280" s="64"/>
      <c r="CM280" s="64"/>
      <c r="CN280" s="64"/>
      <c r="CO280" s="64"/>
      <c r="CP280" s="64"/>
      <c r="CQ280" s="64"/>
      <c r="CR280" s="64"/>
      <c r="CS280" s="64"/>
      <c r="CT280" s="64"/>
      <c r="CU280" s="64"/>
      <c r="CV280" s="64"/>
      <c r="CW280" s="64"/>
      <c r="CX280" s="64"/>
      <c r="CY280" s="64"/>
      <c r="CZ280" s="64"/>
      <c r="DA280" s="64"/>
      <c r="DB280" s="64"/>
      <c r="DC280" s="64"/>
      <c r="DD280" s="64"/>
      <c r="DE280" s="64"/>
      <c r="DF280" s="64"/>
      <c r="DG280" s="64"/>
      <c r="DH280" s="64"/>
      <c r="DI280" s="64"/>
      <c r="DJ280" s="64"/>
      <c r="DK280" s="64"/>
      <c r="DL280" s="64"/>
      <c r="DM280" s="64"/>
      <c r="DN280" s="64"/>
      <c r="DO280" s="64"/>
      <c r="DP280" s="64"/>
      <c r="DQ280" s="64"/>
      <c r="DR280" s="64"/>
      <c r="DS280" s="64"/>
      <c r="DT280" s="64"/>
      <c r="DU280" s="64"/>
      <c r="DV280" s="64"/>
      <c r="DW280" s="64"/>
      <c r="DX280" s="64"/>
      <c r="DY280" s="64"/>
      <c r="DZ280" s="64"/>
    </row>
    <row r="281" spans="2:130" x14ac:dyDescent="0.15">
      <c r="B281" s="58" t="str">
        <f>IF(G281&lt;&gt;"",SUBTOTAL(3,$G$5:G281),"")</f>
        <v/>
      </c>
      <c r="C281" s="58"/>
      <c r="D281" s="58"/>
      <c r="E281" s="59"/>
      <c r="F281" s="59"/>
      <c r="G281" s="59"/>
      <c r="H281" s="61"/>
      <c r="I281" s="62"/>
      <c r="J281" s="63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  <c r="AI281" s="64"/>
      <c r="AJ281" s="64"/>
      <c r="AK281" s="64"/>
      <c r="AL281" s="64"/>
      <c r="AM281" s="64"/>
      <c r="AN281" s="64"/>
      <c r="AO281" s="64"/>
      <c r="AP281" s="64"/>
      <c r="AQ281" s="64"/>
      <c r="AR281" s="65"/>
      <c r="AS281" s="63"/>
      <c r="AT281" s="64"/>
      <c r="AU281" s="64"/>
      <c r="AV281" s="64"/>
      <c r="AW281" s="64"/>
      <c r="AX281" s="64"/>
      <c r="AY281" s="64"/>
      <c r="AZ281" s="64"/>
      <c r="BA281" s="64"/>
      <c r="BB281" s="64"/>
      <c r="BC281" s="64"/>
      <c r="BD281" s="64"/>
      <c r="BE281" s="64"/>
      <c r="BF281" s="64"/>
      <c r="BG281" s="64"/>
      <c r="BH281" s="64"/>
      <c r="BI281" s="64"/>
      <c r="BJ281" s="64"/>
      <c r="BK281" s="64"/>
      <c r="BL281" s="64"/>
      <c r="BM281" s="64"/>
      <c r="BN281" s="64"/>
      <c r="BO281" s="64"/>
      <c r="BP281" s="64"/>
      <c r="BQ281" s="64"/>
      <c r="BR281" s="64"/>
      <c r="BS281" s="64"/>
      <c r="BT281" s="64"/>
      <c r="BU281" s="64"/>
      <c r="BV281" s="64"/>
      <c r="BW281" s="64"/>
      <c r="BX281" s="64"/>
      <c r="BY281" s="64"/>
      <c r="BZ281" s="64"/>
      <c r="CA281" s="65"/>
      <c r="CB281" s="60"/>
      <c r="CH281" s="64"/>
      <c r="CI281" s="64"/>
      <c r="CJ281" s="64"/>
      <c r="CK281" s="64"/>
      <c r="CL281" s="64"/>
      <c r="CM281" s="64"/>
      <c r="CN281" s="64"/>
      <c r="CO281" s="64"/>
      <c r="CP281" s="64"/>
      <c r="CQ281" s="64"/>
      <c r="CR281" s="64"/>
      <c r="CS281" s="64"/>
      <c r="CT281" s="64"/>
      <c r="CU281" s="64"/>
      <c r="CV281" s="64"/>
      <c r="CW281" s="64"/>
      <c r="CX281" s="64"/>
      <c r="CY281" s="64"/>
      <c r="CZ281" s="64"/>
      <c r="DA281" s="64"/>
      <c r="DB281" s="64"/>
      <c r="DC281" s="64"/>
      <c r="DD281" s="64"/>
      <c r="DE281" s="64"/>
      <c r="DF281" s="64"/>
      <c r="DG281" s="64"/>
      <c r="DH281" s="64"/>
      <c r="DI281" s="64"/>
      <c r="DJ281" s="64"/>
      <c r="DK281" s="64"/>
      <c r="DL281" s="64"/>
      <c r="DM281" s="64"/>
      <c r="DN281" s="64"/>
      <c r="DO281" s="64"/>
      <c r="DP281" s="64"/>
      <c r="DQ281" s="64"/>
      <c r="DR281" s="64"/>
      <c r="DS281" s="64"/>
      <c r="DT281" s="64"/>
      <c r="DU281" s="64"/>
      <c r="DV281" s="64"/>
      <c r="DW281" s="64"/>
      <c r="DX281" s="64"/>
      <c r="DY281" s="64"/>
      <c r="DZ281" s="64"/>
    </row>
    <row r="282" spans="2:130" x14ac:dyDescent="0.15">
      <c r="B282" s="58" t="str">
        <f>IF(G282&lt;&gt;"",SUBTOTAL(3,$G$5:G282),"")</f>
        <v/>
      </c>
      <c r="C282" s="58"/>
      <c r="D282" s="58"/>
      <c r="E282" s="59"/>
      <c r="F282" s="59"/>
      <c r="G282" s="59"/>
      <c r="H282" s="61"/>
      <c r="I282" s="62"/>
      <c r="J282" s="63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  <c r="AI282" s="64"/>
      <c r="AJ282" s="64"/>
      <c r="AK282" s="64"/>
      <c r="AL282" s="64"/>
      <c r="AM282" s="64"/>
      <c r="AN282" s="64"/>
      <c r="AO282" s="64"/>
      <c r="AP282" s="64"/>
      <c r="AQ282" s="64"/>
      <c r="AR282" s="65"/>
      <c r="AS282" s="63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4"/>
      <c r="BR282" s="64"/>
      <c r="BS282" s="64"/>
      <c r="BT282" s="64"/>
      <c r="BU282" s="64"/>
      <c r="BV282" s="64"/>
      <c r="BW282" s="64"/>
      <c r="BX282" s="64"/>
      <c r="BY282" s="64"/>
      <c r="BZ282" s="64"/>
      <c r="CA282" s="65"/>
      <c r="CB282" s="60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4"/>
      <c r="CV282" s="64"/>
      <c r="CW282" s="64"/>
      <c r="CX282" s="64"/>
      <c r="CY282" s="64"/>
      <c r="CZ282" s="64"/>
      <c r="DA282" s="64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</row>
    <row r="283" spans="2:130" x14ac:dyDescent="0.15">
      <c r="B283" s="58" t="str">
        <f>IF(G283&lt;&gt;"",SUBTOTAL(3,$G$5:G283),"")</f>
        <v/>
      </c>
      <c r="C283" s="58"/>
      <c r="D283" s="58"/>
      <c r="E283" s="59"/>
      <c r="F283" s="59"/>
      <c r="G283" s="59"/>
      <c r="H283" s="61"/>
      <c r="I283" s="62"/>
      <c r="J283" s="63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4"/>
      <c r="AN283" s="64"/>
      <c r="AO283" s="64"/>
      <c r="AP283" s="64"/>
      <c r="AQ283" s="64"/>
      <c r="AR283" s="65"/>
      <c r="AS283" s="63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4"/>
      <c r="BR283" s="64"/>
      <c r="BS283" s="64"/>
      <c r="BT283" s="64"/>
      <c r="BU283" s="64"/>
      <c r="BV283" s="64"/>
      <c r="BW283" s="64"/>
      <c r="BX283" s="64"/>
      <c r="BY283" s="64"/>
      <c r="BZ283" s="64"/>
      <c r="CA283" s="65"/>
      <c r="CB283" s="60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4"/>
      <c r="CV283" s="64"/>
      <c r="CW283" s="64"/>
      <c r="CX283" s="64"/>
      <c r="CY283" s="64"/>
      <c r="CZ283" s="64"/>
      <c r="DA283" s="64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</row>
    <row r="284" spans="2:130" x14ac:dyDescent="0.15">
      <c r="B284" s="58" t="str">
        <f>IF(G284&lt;&gt;"",SUBTOTAL(3,$G$5:G284),"")</f>
        <v/>
      </c>
      <c r="C284" s="58"/>
      <c r="D284" s="58"/>
      <c r="E284" s="59"/>
      <c r="F284" s="59"/>
      <c r="G284" s="59"/>
      <c r="H284" s="61"/>
      <c r="I284" s="62"/>
      <c r="J284" s="63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4"/>
      <c r="AN284" s="64"/>
      <c r="AO284" s="64"/>
      <c r="AP284" s="64"/>
      <c r="AQ284" s="64"/>
      <c r="AR284" s="65"/>
      <c r="AS284" s="63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4"/>
      <c r="BR284" s="64"/>
      <c r="BS284" s="64"/>
      <c r="BT284" s="64"/>
      <c r="BU284" s="64"/>
      <c r="BV284" s="64"/>
      <c r="BW284" s="64"/>
      <c r="BX284" s="64"/>
      <c r="BY284" s="64"/>
      <c r="BZ284" s="64"/>
      <c r="CA284" s="65"/>
      <c r="CB284" s="60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4"/>
      <c r="CV284" s="64"/>
      <c r="CW284" s="64"/>
      <c r="CX284" s="64"/>
      <c r="CY284" s="64"/>
      <c r="CZ284" s="64"/>
      <c r="DA284" s="64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</row>
    <row r="285" spans="2:130" ht="15.75" x14ac:dyDescent="0.15">
      <c r="B285" s="58" t="str">
        <f>IF(G285&lt;&gt;"",SUBTOTAL(3,$G$5:G285),"")</f>
        <v/>
      </c>
      <c r="C285" s="58"/>
      <c r="D285" s="58"/>
      <c r="E285" s="59"/>
      <c r="F285" s="59"/>
      <c r="G285" s="59"/>
      <c r="H285" s="61"/>
      <c r="I285" s="62"/>
      <c r="J285" s="40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2"/>
      <c r="AS285" s="63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4"/>
      <c r="BR285" s="64"/>
      <c r="BS285" s="64"/>
      <c r="BT285" s="64"/>
      <c r="BU285" s="64"/>
      <c r="BV285" s="64"/>
      <c r="BW285" s="64"/>
      <c r="BX285" s="64"/>
      <c r="BY285" s="64"/>
      <c r="BZ285" s="64"/>
      <c r="CA285" s="65"/>
      <c r="CB285" s="60"/>
      <c r="CH285" s="64"/>
      <c r="CI285" s="69"/>
      <c r="CJ285" s="69"/>
      <c r="CK285" s="69"/>
      <c r="CL285" s="69"/>
      <c r="CM285" s="69"/>
      <c r="CN285" s="69"/>
      <c r="CO285" s="69"/>
      <c r="CP285" s="69"/>
      <c r="CQ285" s="69"/>
      <c r="CR285" s="69"/>
      <c r="CS285" s="64"/>
      <c r="CT285" s="64"/>
      <c r="CU285" s="64"/>
      <c r="CV285" s="64"/>
      <c r="CW285" s="64"/>
      <c r="CX285" s="64"/>
      <c r="CY285" s="64"/>
      <c r="CZ285" s="64"/>
      <c r="DA285" s="64"/>
      <c r="DB285" s="64"/>
      <c r="DC285" s="64"/>
      <c r="DD285" s="64"/>
      <c r="DE285" s="64"/>
      <c r="DF285" s="64"/>
      <c r="DG285" s="69"/>
      <c r="DH285" s="69"/>
      <c r="DI285" s="69"/>
      <c r="DJ285" s="69"/>
      <c r="DK285" s="69"/>
      <c r="DL285" s="69"/>
      <c r="DM285" s="69"/>
      <c r="DN285" s="69"/>
      <c r="DO285" s="69"/>
      <c r="DP285" s="69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</row>
    <row r="286" spans="2:130" x14ac:dyDescent="0.15">
      <c r="B286" s="58" t="str">
        <f>IF(G286&lt;&gt;"",SUBTOTAL(3,$G$5:G286),"")</f>
        <v/>
      </c>
      <c r="C286" s="58"/>
      <c r="D286" s="58"/>
      <c r="E286" s="59"/>
      <c r="F286" s="59"/>
      <c r="G286" s="59"/>
      <c r="H286" s="61"/>
      <c r="I286" s="62"/>
      <c r="J286" s="63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5"/>
      <c r="AS286" s="63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5"/>
      <c r="CB286" s="60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</row>
    <row r="287" spans="2:130" x14ac:dyDescent="0.15">
      <c r="B287" s="58" t="str">
        <f>IF(G287&lt;&gt;"",SUBTOTAL(3,$G$5:G287),"")</f>
        <v/>
      </c>
      <c r="C287" s="58"/>
      <c r="D287" s="58"/>
      <c r="E287" s="59"/>
      <c r="F287" s="59"/>
      <c r="G287" s="59"/>
      <c r="H287" s="61"/>
      <c r="I287" s="62"/>
      <c r="J287" s="63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4"/>
      <c r="AN287" s="64"/>
      <c r="AO287" s="64"/>
      <c r="AP287" s="64"/>
      <c r="AQ287" s="64"/>
      <c r="AR287" s="65"/>
      <c r="AS287" s="63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5"/>
      <c r="CB287" s="60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</row>
    <row r="288" spans="2:130" x14ac:dyDescent="0.15">
      <c r="B288" s="58" t="str">
        <f>IF(G288&lt;&gt;"",SUBTOTAL(3,$G$5:G288),"")</f>
        <v/>
      </c>
      <c r="C288" s="58"/>
      <c r="D288" s="58"/>
      <c r="E288" s="59"/>
      <c r="F288" s="59"/>
      <c r="G288" s="59"/>
      <c r="H288" s="61"/>
      <c r="I288" s="62"/>
      <c r="J288" s="63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5"/>
      <c r="AS288" s="63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5"/>
      <c r="CB288" s="60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</row>
    <row r="289" spans="2:130" x14ac:dyDescent="0.15">
      <c r="B289" s="58" t="str">
        <f>IF(G289&lt;&gt;"",SUBTOTAL(3,$G$5:G289),"")</f>
        <v/>
      </c>
      <c r="C289" s="58"/>
      <c r="D289" s="58"/>
      <c r="E289" s="59"/>
      <c r="F289" s="59"/>
      <c r="G289" s="59"/>
      <c r="H289" s="61"/>
      <c r="I289" s="62"/>
      <c r="J289" s="63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5"/>
      <c r="AS289" s="63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5"/>
      <c r="CB289" s="60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</row>
    <row r="290" spans="2:130" x14ac:dyDescent="0.15">
      <c r="B290" s="58" t="str">
        <f>IF(G290&lt;&gt;"",SUBTOTAL(3,$G$5:G290),"")</f>
        <v/>
      </c>
      <c r="C290" s="58"/>
      <c r="D290" s="58"/>
      <c r="E290" s="59"/>
      <c r="F290" s="59"/>
      <c r="G290" s="59"/>
      <c r="H290" s="61"/>
      <c r="I290" s="62"/>
      <c r="J290" s="63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5"/>
      <c r="AS290" s="63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5"/>
      <c r="CB290" s="60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</row>
    <row r="291" spans="2:130" x14ac:dyDescent="0.15">
      <c r="B291" s="58" t="str">
        <f>IF(G291&lt;&gt;"",SUBTOTAL(3,$G$5:G291),"")</f>
        <v/>
      </c>
      <c r="C291" s="58"/>
      <c r="D291" s="58"/>
      <c r="E291" s="59"/>
      <c r="F291" s="59"/>
      <c r="G291" s="59"/>
      <c r="H291" s="61"/>
      <c r="I291" s="62"/>
      <c r="J291" s="63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5"/>
      <c r="AS291" s="63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5"/>
      <c r="CB291" s="60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</row>
    <row r="292" spans="2:130" x14ac:dyDescent="0.15">
      <c r="B292" s="58" t="str">
        <f>IF(G292&lt;&gt;"",SUBTOTAL(3,$G$5:G292),"")</f>
        <v/>
      </c>
      <c r="C292" s="58"/>
      <c r="D292" s="58"/>
      <c r="E292" s="59"/>
      <c r="F292" s="59"/>
      <c r="G292" s="59"/>
      <c r="H292" s="61"/>
      <c r="I292" s="62"/>
      <c r="J292" s="63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5"/>
      <c r="AS292" s="63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5"/>
      <c r="CB292" s="60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</row>
    <row r="293" spans="2:130" ht="15.75" x14ac:dyDescent="0.15">
      <c r="B293" s="58" t="str">
        <f>IF(G293&lt;&gt;"",SUBTOTAL(3,$G$5:G293),"")</f>
        <v/>
      </c>
      <c r="C293" s="58"/>
      <c r="D293" s="58"/>
      <c r="E293" s="59"/>
      <c r="F293" s="59"/>
      <c r="G293" s="59"/>
      <c r="H293" s="61"/>
      <c r="I293" s="62"/>
      <c r="J293" s="40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2"/>
      <c r="AS293" s="63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5"/>
      <c r="CB293" s="60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</row>
    <row r="294" spans="2:130" x14ac:dyDescent="0.15">
      <c r="B294" s="58" t="str">
        <f>IF(G294&lt;&gt;"",SUBTOTAL(3,$G$5:G294),"")</f>
        <v/>
      </c>
      <c r="C294" s="58"/>
      <c r="D294" s="58"/>
      <c r="E294" s="59"/>
      <c r="F294" s="59"/>
      <c r="G294" s="59"/>
      <c r="H294" s="61"/>
      <c r="I294" s="62"/>
      <c r="J294" s="63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5"/>
      <c r="AS294" s="63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5"/>
      <c r="CB294" s="60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</row>
    <row r="295" spans="2:130" x14ac:dyDescent="0.15">
      <c r="B295" s="58" t="str">
        <f>IF(G295&lt;&gt;"",SUBTOTAL(3,$G$5:G295),"")</f>
        <v/>
      </c>
      <c r="C295" s="58"/>
      <c r="D295" s="58"/>
      <c r="E295" s="59"/>
      <c r="F295" s="59"/>
      <c r="G295" s="59"/>
      <c r="H295" s="61"/>
      <c r="I295" s="62"/>
      <c r="J295" s="63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5"/>
      <c r="AS295" s="63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5"/>
      <c r="CB295" s="60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</row>
    <row r="296" spans="2:130" x14ac:dyDescent="0.15">
      <c r="B296" s="58" t="str">
        <f>IF(G296&lt;&gt;"",SUBTOTAL(3,$G$5:G296),"")</f>
        <v/>
      </c>
      <c r="C296" s="58"/>
      <c r="D296" s="58"/>
      <c r="E296" s="59"/>
      <c r="F296" s="59"/>
      <c r="G296" s="59"/>
      <c r="H296" s="61"/>
      <c r="I296" s="62"/>
      <c r="J296" s="63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5"/>
      <c r="AS296" s="63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5"/>
      <c r="CB296" s="60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</row>
    <row r="297" spans="2:130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63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5"/>
      <c r="AS297" s="63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5"/>
      <c r="CB297" s="60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</row>
    <row r="298" spans="2:130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5"/>
      <c r="AS298" s="63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5"/>
      <c r="CB298" s="60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</row>
    <row r="299" spans="2:13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5"/>
      <c r="AS299" s="63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5"/>
      <c r="CB299" s="60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</row>
    <row r="300" spans="2:13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5"/>
      <c r="AS300" s="63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5"/>
      <c r="CB300" s="60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</row>
    <row r="301" spans="2:130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63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5"/>
      <c r="AS301" s="63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5"/>
      <c r="CB301" s="60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</row>
    <row r="302" spans="2:13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5"/>
      <c r="AS302" s="63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5"/>
      <c r="CB302" s="60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</row>
    <row r="303" spans="2:13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5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5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5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88" t="str">
        <f>IF(G308&lt;&gt;"",SUBTOTAL(3,$G$5:G308),"")</f>
        <v/>
      </c>
      <c r="C308" s="88"/>
      <c r="D308" s="88"/>
      <c r="E308" s="89"/>
      <c r="F308" s="89"/>
      <c r="G308" s="89"/>
      <c r="H308" s="90"/>
      <c r="I308" s="91"/>
      <c r="J308" s="92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2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4"/>
      <c r="CB308" s="95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I167:I169 B279:I279 B293:I293 B285:I285 B38:D38 B45:H45 B54:H54 I140:I153 B140:H154 CB140:CB154 J140:AR154 B167:H170 J167:CB170 B280:AR284 B294:AR308 B5:CB35 B274:AR278 B286:AR292 AS274:CB308 F38:CB38 B39:CB43 J44:CB45 B55:CB55 AS140:CA153 B155:CB166 B171:CB213 K36:CB36 B37:CB37 K56:CB56 K214:CB214 B272:CB272 K271:CB271 K273:CB273 I154:CA154 K97:CB97 J53:CB54 B46:CB52 J57:CB59 B60:CB96 B98:CB139 B215:CB270">
    <cfRule type="expression" dxfId="25" priority="96">
      <formula>AND($I5&lt;&gt;1,$I5&lt;&gt;"")</formula>
    </cfRule>
  </conditionalFormatting>
  <conditionalFormatting sqref="I170:AR170">
    <cfRule type="expression" dxfId="24" priority="82">
      <formula>AND($I170&lt;&gt;1,$I170&lt;&gt;"")</formula>
    </cfRule>
  </conditionalFormatting>
  <conditionalFormatting sqref="E38">
    <cfRule type="expression" dxfId="23" priority="71">
      <formula>AND($I38&lt;&gt;1,$I38&lt;&gt;"")</formula>
    </cfRule>
  </conditionalFormatting>
  <conditionalFormatting sqref="B57:H57">
    <cfRule type="expression" dxfId="22" priority="68">
      <formula>AND($I57&lt;&gt;1,$I57&lt;&gt;"")</formula>
    </cfRule>
  </conditionalFormatting>
  <conditionalFormatting sqref="B36:I36">
    <cfRule type="expression" dxfId="21" priority="63">
      <formula>AND($I36&lt;&gt;1,$I36&lt;&gt;"")</formula>
    </cfRule>
  </conditionalFormatting>
  <conditionalFormatting sqref="J36">
    <cfRule type="expression" dxfId="20" priority="57">
      <formula>AND($I36&lt;&gt;1,$I36&lt;&gt;"")</formula>
    </cfRule>
  </conditionalFormatting>
  <conditionalFormatting sqref="B44:H44">
    <cfRule type="expression" dxfId="19" priority="55">
      <formula>AND($I44&lt;&gt;1,$I44&lt;&gt;"")</formula>
    </cfRule>
  </conditionalFormatting>
  <conditionalFormatting sqref="I44">
    <cfRule type="expression" dxfId="18" priority="54">
      <formula>AND($I44&lt;&gt;1,$I44&lt;&gt;"")</formula>
    </cfRule>
  </conditionalFormatting>
  <conditionalFormatting sqref="I45">
    <cfRule type="expression" dxfId="17" priority="53">
      <formula>AND($I45&lt;&gt;1,$I45&lt;&gt;"")</formula>
    </cfRule>
  </conditionalFormatting>
  <conditionalFormatting sqref="B53:I53">
    <cfRule type="expression" dxfId="16" priority="50">
      <formula>AND($I53&lt;&gt;1,$I53&lt;&gt;"")</formula>
    </cfRule>
  </conditionalFormatting>
  <conditionalFormatting sqref="J53">
    <cfRule type="expression" dxfId="15" priority="49">
      <formula>AND($I53&lt;&gt;1,$I53&lt;&gt;"")</formula>
    </cfRule>
  </conditionalFormatting>
  <conditionalFormatting sqref="I54">
    <cfRule type="expression" dxfId="14" priority="48">
      <formula>AND($I54&lt;&gt;1,$I54&lt;&gt;"")</formula>
    </cfRule>
  </conditionalFormatting>
  <conditionalFormatting sqref="B56:I56">
    <cfRule type="expression" dxfId="13" priority="47">
      <formula>AND($I56&lt;&gt;1,$I56&lt;&gt;"")</formula>
    </cfRule>
  </conditionalFormatting>
  <conditionalFormatting sqref="J56">
    <cfRule type="expression" dxfId="12" priority="46">
      <formula>AND($I56&lt;&gt;1,$I56&lt;&gt;"")</formula>
    </cfRule>
  </conditionalFormatting>
  <conditionalFormatting sqref="I57">
    <cfRule type="expression" dxfId="11" priority="45">
      <formula>AND($I57&lt;&gt;1,$I57&lt;&gt;"")</formula>
    </cfRule>
  </conditionalFormatting>
  <conditionalFormatting sqref="B97:I97">
    <cfRule type="expression" dxfId="10" priority="35">
      <formula>AND($I97&lt;&gt;1,$I97&lt;&gt;"")</formula>
    </cfRule>
  </conditionalFormatting>
  <conditionalFormatting sqref="J97">
    <cfRule type="expression" dxfId="9" priority="33">
      <formula>AND($I97&lt;&gt;1,$I97&lt;&gt;"")</formula>
    </cfRule>
  </conditionalFormatting>
  <conditionalFormatting sqref="B214:I214">
    <cfRule type="expression" dxfId="8" priority="18">
      <formula>AND($I214&lt;&gt;1,$I214&lt;&gt;"")</formula>
    </cfRule>
  </conditionalFormatting>
  <conditionalFormatting sqref="J214">
    <cfRule type="expression" dxfId="7" priority="17">
      <formula>AND($I214&lt;&gt;1,$I214&lt;&gt;"")</formula>
    </cfRule>
  </conditionalFormatting>
  <conditionalFormatting sqref="B271:I271 B273:I273">
    <cfRule type="expression" dxfId="6" priority="10">
      <formula>AND($I271&lt;&gt;1,$I271&lt;&gt;"")</formula>
    </cfRule>
  </conditionalFormatting>
  <conditionalFormatting sqref="J273">
    <cfRule type="expression" dxfId="5" priority="9">
      <formula>AND($I273&lt;&gt;1,$I273&lt;&gt;"")</formula>
    </cfRule>
  </conditionalFormatting>
  <conditionalFormatting sqref="B59:H59">
    <cfRule type="expression" dxfId="4" priority="7">
      <formula>AND($I59&lt;&gt;1,$I59&lt;&gt;"")</formula>
    </cfRule>
  </conditionalFormatting>
  <conditionalFormatting sqref="I59">
    <cfRule type="expression" dxfId="3" priority="6">
      <formula>AND($I59&lt;&gt;1,$I59&lt;&gt;"")</formula>
    </cfRule>
  </conditionalFormatting>
  <conditionalFormatting sqref="B58:H58">
    <cfRule type="expression" dxfId="2" priority="4">
      <formula>AND($I58&lt;&gt;1,$I58&lt;&gt;"")</formula>
    </cfRule>
  </conditionalFormatting>
  <conditionalFormatting sqref="I58">
    <cfRule type="expression" dxfId="1" priority="3">
      <formula>AND($I58&lt;&gt;1,$I58&lt;&gt;"")</formula>
    </cfRule>
  </conditionalFormatting>
  <conditionalFormatting sqref="J52">
    <cfRule type="expression" dxfId="0" priority="1">
      <formula>AND($I52&lt;&gt;1,$I52&lt;&gt;"")</formula>
    </cfRule>
  </conditionalFormatting>
  <dataValidations count="1">
    <dataValidation type="list" allowBlank="1" showInputMessage="1" showErrorMessage="1" sqref="I5:I308" xr:uid="{CDD3132F-D59C-4B0A-9A7C-94B9D9A88440}">
      <formula1>"100%,80%,50%,30%,0%"</formula1>
    </dataValidation>
  </dataValidations>
  <hyperlinks>
    <hyperlink ref="CB61" location="toABC114_C_755" display="(→)" xr:uid="{C3DBC3A8-8FB5-4AEF-8FA5-1088932AB54B}"/>
    <hyperlink ref="CB181" location="toABC143_C_Slimes" display="(→)" xr:uid="{D0A14FDC-339D-483C-A7FB-42784F1DB2F9}"/>
    <hyperlink ref="CB186" location="toABC147_C_Honest_or_Unkind2" display="(→)" xr:uid="{5E89EE6B-F278-4D19-9890-D06616736879}"/>
    <hyperlink ref="CB188" location="toABC149_C_NextPrime" display="(→)" xr:uid="{B7EC79F3-9ECE-482D-BD97-C57882E1060F}"/>
    <hyperlink ref="J44" r:id="rId1" xr:uid="{55DF2281-CA3A-49E3-A548-9C77168C683F}"/>
    <hyperlink ref="J97" r:id="rId2" xr:uid="{38E0EAF4-C8D9-4697-98F9-FFD2638747C7}"/>
    <hyperlink ref="J273" r:id="rId3" xr:uid="{9EDCCA2D-396F-4375-BE7A-B1954A66EC32}"/>
    <hyperlink ref="J58" r:id="rId4" xr:uid="{A5E407FA-9175-4245-9950-2C7E04570900}"/>
    <hyperlink ref="J52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2438400</xdr:colOff>
                    <xdr:row>2</xdr:row>
                    <xdr:rowOff>19050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2020-10-11T00:45:14Z</dcterms:modified>
</cp:coreProperties>
</file>
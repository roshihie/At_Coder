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3C297E92-A453-42C4-985B-29FD42FD57E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At_Coder_C問題!$J$192</definedName>
    <definedName name="fromABC147_C_Honest_or_Unkind2">At_Coder_C問題!$J$200</definedName>
    <definedName name="fromABC149_C_NextPrime">At_Coder_C問題!$J$204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6" i="3" l="1"/>
  <c r="B195" i="3"/>
  <c r="B194" i="3" l="1"/>
  <c r="B180" i="3"/>
  <c r="B158" i="3"/>
  <c r="B159" i="3"/>
  <c r="B205" i="3" l="1"/>
  <c r="B206" i="3"/>
  <c r="B211" i="3"/>
  <c r="B210" i="3"/>
  <c r="B209" i="3"/>
  <c r="B208" i="3"/>
  <c r="B214" i="3" l="1"/>
  <c r="B213" i="3"/>
  <c r="B203" i="3"/>
  <c r="B202" i="3"/>
  <c r="B174" i="3" l="1"/>
  <c r="B177" i="3"/>
  <c r="B178" i="3"/>
  <c r="B176" i="3"/>
  <c r="B30" i="3"/>
  <c r="B29" i="3"/>
  <c r="B28" i="3"/>
  <c r="B27" i="3"/>
  <c r="B138" i="3" l="1"/>
  <c r="B255" i="3"/>
  <c r="B256" i="3"/>
  <c r="B254" i="3"/>
  <c r="B257" i="3"/>
  <c r="B20" i="3" l="1"/>
  <c r="B13" i="3"/>
  <c r="B6" i="3" l="1"/>
  <c r="B62" i="3" l="1"/>
  <c r="B63" i="3"/>
  <c r="B299" i="3" l="1"/>
  <c r="B298" i="3"/>
  <c r="B297" i="3"/>
  <c r="B296" i="3"/>
  <c r="B295" i="3"/>
  <c r="B294" i="3"/>
  <c r="B291" i="3"/>
  <c r="B289" i="3"/>
  <c r="B288" i="3"/>
  <c r="B287" i="3"/>
  <c r="B286" i="3"/>
  <c r="B285" i="3"/>
  <c r="B284" i="3"/>
  <c r="B292" i="3"/>
  <c r="B290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1" i="3"/>
  <c r="B260" i="3"/>
  <c r="B259" i="3"/>
  <c r="B258" i="3"/>
  <c r="B252" i="3"/>
  <c r="B251" i="3"/>
  <c r="B250" i="3"/>
  <c r="B249" i="3"/>
  <c r="B248" i="3"/>
  <c r="B247" i="3"/>
  <c r="B246" i="3"/>
  <c r="B243" i="3"/>
  <c r="B242" i="3"/>
  <c r="J238" i="3"/>
  <c r="B238" i="3"/>
  <c r="B237" i="3"/>
  <c r="B236" i="3"/>
  <c r="B235" i="3"/>
  <c r="B234" i="3"/>
  <c r="B233" i="3"/>
  <c r="B232" i="3"/>
  <c r="B191" i="3"/>
  <c r="B190" i="3"/>
  <c r="B189" i="3"/>
  <c r="B188" i="3"/>
  <c r="B187" i="3"/>
  <c r="B186" i="3"/>
  <c r="B185" i="3"/>
  <c r="B184" i="3"/>
  <c r="B183" i="3"/>
  <c r="B182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00" i="3" l="1"/>
  <c r="B239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32" i="3" l="1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293" i="3"/>
  <c r="B264" i="3"/>
  <c r="B263" i="3"/>
  <c r="B262" i="3"/>
  <c r="B253" i="3"/>
  <c r="B245" i="3"/>
  <c r="B244" i="3"/>
  <c r="B241" i="3"/>
  <c r="B240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2" i="3"/>
  <c r="B207" i="3"/>
  <c r="B204" i="3"/>
  <c r="B201" i="3"/>
  <c r="B200" i="3"/>
  <c r="B199" i="3"/>
  <c r="B198" i="3"/>
  <c r="B197" i="3"/>
  <c r="B193" i="3"/>
  <c r="B192" i="3"/>
  <c r="B181" i="3"/>
  <c r="B179" i="3"/>
  <c r="B175" i="3"/>
  <c r="B173" i="3"/>
  <c r="B160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<sst xmlns="http://schemas.openxmlformats.org/spreadsheetml/2006/main" count="754" uniqueCount="444">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</sst>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293</xdr:row>
      <xdr:rowOff>33337</xdr:rowOff>
    </xdr:from>
    <xdr:to>
      <xdr:col>16</xdr:col>
      <xdr:colOff>38100</xdr:colOff>
      <xdr:row>293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295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294</xdr:row>
      <xdr:rowOff>35719</xdr:rowOff>
    </xdr:from>
    <xdr:to>
      <xdr:col>21</xdr:col>
      <xdr:colOff>133350</xdr:colOff>
      <xdr:row>295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32"/>
  <sheetViews>
    <sheetView tabSelected="1" zoomScaleNormal="100" workbookViewId="0">
      <pane xSplit="7" ySplit="4" topLeftCell="H176" activePane="bottomRight" state="frozen"/>
      <selection pane="topRight" activeCell="H1" sqref="H1"/>
      <selection pane="bottomLeft" activeCell="A5" sqref="A5"/>
      <selection pane="bottomRight" activeCell="J196" sqref="J196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49</v>
      </c>
      <c r="C156" s="58"/>
      <c r="D156" s="58"/>
      <c r="E156" s="59" t="s">
        <v>139</v>
      </c>
      <c r="F156" s="59" t="s">
        <v>135</v>
      </c>
      <c r="G156" s="74" t="s">
        <v>174</v>
      </c>
      <c r="H156" s="61">
        <v>43982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s="46" customFormat="1" ht="13.5" customHeight="1" x14ac:dyDescent="0.15">
      <c r="B157" s="75">
        <f>IF(G157&lt;&gt;"",SUBTOTAL(3,$G$5:G157),"")</f>
        <v>50</v>
      </c>
      <c r="C157" s="75"/>
      <c r="D157" s="75"/>
      <c r="E157" s="76" t="s">
        <v>139</v>
      </c>
      <c r="F157" s="76" t="s">
        <v>135</v>
      </c>
      <c r="G157" s="74" t="s">
        <v>175</v>
      </c>
      <c r="H157" s="61">
        <v>43995</v>
      </c>
      <c r="I157" s="62">
        <v>1</v>
      </c>
      <c r="J157" s="77" t="s">
        <v>438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78"/>
      <c r="AS157" s="77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78"/>
      <c r="CB157" s="74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</row>
    <row r="158" spans="2:130" s="46" customFormat="1" ht="13.5" customHeight="1" x14ac:dyDescent="0.15">
      <c r="B158" s="102" t="str">
        <f>IF(G158&lt;&gt;"",SUBTOTAL(3,$G$5:G158),"")</f>
        <v/>
      </c>
      <c r="C158" s="75"/>
      <c r="D158" s="75"/>
      <c r="E158" s="76"/>
      <c r="F158" s="76"/>
      <c r="G158" s="74"/>
      <c r="H158" s="61"/>
      <c r="I158" s="70">
        <v>1</v>
      </c>
      <c r="J158" s="77" t="s">
        <v>439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78"/>
      <c r="AS158" s="77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78"/>
      <c r="CB158" s="74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</row>
    <row r="159" spans="2:130" s="46" customFormat="1" ht="13.5" customHeight="1" x14ac:dyDescent="0.15">
      <c r="B159" s="102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7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78"/>
      <c r="AS159" s="77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78"/>
      <c r="CB159" s="74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</row>
    <row r="160" spans="2:130" s="46" customFormat="1" x14ac:dyDescent="0.15">
      <c r="B160" s="75">
        <f>IF(G160&lt;&gt;"",SUBTOTAL(3,$G$5:G160),"")</f>
        <v>51</v>
      </c>
      <c r="C160" s="75"/>
      <c r="D160" s="75"/>
      <c r="E160" s="76" t="s">
        <v>139</v>
      </c>
      <c r="F160" s="76" t="s">
        <v>135</v>
      </c>
      <c r="G160" s="74" t="s">
        <v>176</v>
      </c>
      <c r="H160" s="61">
        <v>43955</v>
      </c>
      <c r="I160" s="62">
        <v>1</v>
      </c>
      <c r="J160" s="79" t="s">
        <v>317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262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318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319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266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320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321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322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323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324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272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325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/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75">
        <f>IF(G173&lt;&gt;"",SUBTOTAL(3,$G$5:G173),"")</f>
        <v>52</v>
      </c>
      <c r="C173" s="75"/>
      <c r="D173" s="75"/>
      <c r="E173" s="76" t="s">
        <v>139</v>
      </c>
      <c r="F173" s="76" t="s">
        <v>135</v>
      </c>
      <c r="G173" s="74" t="s">
        <v>177</v>
      </c>
      <c r="H173" s="61">
        <v>43967</v>
      </c>
      <c r="I173" s="103">
        <v>1</v>
      </c>
      <c r="J173" s="77" t="s">
        <v>426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102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7" t="s">
        <v>427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75">
        <f>IF(G175&lt;&gt;"",SUBTOTAL(3,$G$5:G175),"")</f>
        <v>53</v>
      </c>
      <c r="C175" s="75"/>
      <c r="D175" s="75"/>
      <c r="E175" s="76" t="s">
        <v>139</v>
      </c>
      <c r="F175" s="76" t="s">
        <v>135</v>
      </c>
      <c r="G175" s="74" t="s">
        <v>178</v>
      </c>
      <c r="H175" s="61">
        <v>43870</v>
      </c>
      <c r="I175" s="62">
        <v>1</v>
      </c>
      <c r="J175" s="77" t="s">
        <v>423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102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 t="s">
        <v>424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68"/>
      <c r="J177" s="77" t="s">
        <v>425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102" t="str">
        <f>IF(G178&lt;&gt;"",SUBTOTAL(3,$G$5:G178),"")</f>
        <v/>
      </c>
      <c r="C178" s="75"/>
      <c r="D178" s="75"/>
      <c r="E178" s="76"/>
      <c r="F178" s="76"/>
      <c r="G178" s="74"/>
      <c r="H178" s="61"/>
      <c r="I178" s="68"/>
      <c r="J178" s="77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>
        <f>IF(G179&lt;&gt;"",SUBTOTAL(3,$G$5:G179),"")</f>
        <v>54</v>
      </c>
      <c r="C179" s="75"/>
      <c r="D179" s="75"/>
      <c r="E179" s="76" t="s">
        <v>139</v>
      </c>
      <c r="F179" s="76" t="s">
        <v>135</v>
      </c>
      <c r="G179" s="74" t="s">
        <v>179</v>
      </c>
      <c r="H179" s="61">
        <v>43869</v>
      </c>
      <c r="I179" s="62">
        <v>1</v>
      </c>
      <c r="J179" s="77" t="s">
        <v>440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7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>
        <f>IF(G181&lt;&gt;"",SUBTOTAL(3,$G$5:G181),"")</f>
        <v>55</v>
      </c>
      <c r="C181" s="75"/>
      <c r="D181" s="75"/>
      <c r="E181" s="76" t="s">
        <v>139</v>
      </c>
      <c r="F181" s="76" t="s">
        <v>135</v>
      </c>
      <c r="G181" s="74" t="s">
        <v>89</v>
      </c>
      <c r="H181" s="61">
        <v>43961</v>
      </c>
      <c r="I181" s="62">
        <v>1</v>
      </c>
      <c r="J181" s="79" t="s">
        <v>326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262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327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1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 t="s">
        <v>328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266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320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329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330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323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272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IF(G192&lt;&gt;"",SUBTOTAL(3,$G$5:G192),"")</f>
        <v>56</v>
      </c>
      <c r="C192" s="75"/>
      <c r="D192" s="75"/>
      <c r="E192" s="76" t="s">
        <v>139</v>
      </c>
      <c r="F192" s="76" t="s">
        <v>135</v>
      </c>
      <c r="G192" s="74" t="s">
        <v>180</v>
      </c>
      <c r="H192" s="61">
        <v>43961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82" t="s">
        <v>13</v>
      </c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75">
        <f>IF(G193&lt;&gt;"",SUBTOTAL(3,$G$5:G193),"")</f>
        <v>57</v>
      </c>
      <c r="C193" s="75"/>
      <c r="D193" s="75"/>
      <c r="E193" s="76" t="s">
        <v>139</v>
      </c>
      <c r="F193" s="76" t="s">
        <v>135</v>
      </c>
      <c r="G193" s="74" t="s">
        <v>181</v>
      </c>
      <c r="H193" s="61">
        <v>43995</v>
      </c>
      <c r="I193" s="62">
        <v>1</v>
      </c>
      <c r="J193" s="77" t="s">
        <v>441</v>
      </c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102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7" t="s">
        <v>442</v>
      </c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102" t="str">
        <f>IF(G195&lt;&gt;"",SUBTOTAL(3,$G$5:G195),"")</f>
        <v/>
      </c>
      <c r="C195" s="75"/>
      <c r="D195" s="75"/>
      <c r="E195" s="76"/>
      <c r="F195" s="76"/>
      <c r="G195" s="74"/>
      <c r="H195" s="61"/>
      <c r="I195" s="70">
        <v>1</v>
      </c>
      <c r="J195" s="77" t="s">
        <v>443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102" t="str">
        <f>IF(G196&lt;&gt;"",SUBTOTAL(3,$G$5:G196),"")</f>
        <v/>
      </c>
      <c r="C196" s="75"/>
      <c r="D196" s="75"/>
      <c r="E196" s="76"/>
      <c r="F196" s="76"/>
      <c r="G196" s="74"/>
      <c r="H196" s="61"/>
      <c r="I196" s="70">
        <v>1</v>
      </c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75">
        <f>IF(G197&lt;&gt;"",SUBTOTAL(3,$G$5:G197),"")</f>
        <v>58</v>
      </c>
      <c r="C197" s="75"/>
      <c r="D197" s="75"/>
      <c r="E197" s="76" t="s">
        <v>139</v>
      </c>
      <c r="F197" s="76" t="s">
        <v>135</v>
      </c>
      <c r="G197" s="74" t="s">
        <v>182</v>
      </c>
      <c r="H197" s="61">
        <v>43961</v>
      </c>
      <c r="I197" s="62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59</v>
      </c>
      <c r="C198" s="75"/>
      <c r="D198" s="75"/>
      <c r="E198" s="76" t="s">
        <v>139</v>
      </c>
      <c r="F198" s="76" t="s">
        <v>135</v>
      </c>
      <c r="G198" s="74" t="s">
        <v>183</v>
      </c>
      <c r="H198" s="61">
        <v>43961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IF(G199&lt;&gt;"",SUBTOTAL(3,$G$5:G199),"")</f>
        <v>60</v>
      </c>
      <c r="C199" s="75"/>
      <c r="D199" s="75"/>
      <c r="E199" s="76" t="s">
        <v>139</v>
      </c>
      <c r="F199" s="76" t="s">
        <v>135</v>
      </c>
      <c r="G199" s="74" t="s">
        <v>184</v>
      </c>
      <c r="H199" s="61">
        <v>43995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61</v>
      </c>
      <c r="C200" s="75"/>
      <c r="D200" s="75"/>
      <c r="E200" s="76" t="s">
        <v>139</v>
      </c>
      <c r="F200" s="76" t="s">
        <v>135</v>
      </c>
      <c r="G200" s="74" t="s">
        <v>185</v>
      </c>
      <c r="H200" s="61">
        <v>44006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82" t="s">
        <v>13</v>
      </c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62</v>
      </c>
      <c r="C201" s="75"/>
      <c r="D201" s="75"/>
      <c r="E201" s="76" t="s">
        <v>139</v>
      </c>
      <c r="F201" s="76" t="s">
        <v>135</v>
      </c>
      <c r="G201" s="74" t="s">
        <v>15</v>
      </c>
      <c r="H201" s="61">
        <v>43995</v>
      </c>
      <c r="I201" s="62">
        <v>1</v>
      </c>
      <c r="J201" s="77" t="s">
        <v>428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82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102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429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82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102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63</v>
      </c>
      <c r="C204" s="75"/>
      <c r="D204" s="75"/>
      <c r="E204" s="76" t="s">
        <v>139</v>
      </c>
      <c r="F204" s="76" t="s">
        <v>135</v>
      </c>
      <c r="G204" s="74" t="s">
        <v>186</v>
      </c>
      <c r="H204" s="61">
        <v>43871</v>
      </c>
      <c r="I204" s="62">
        <v>1</v>
      </c>
      <c r="J204" s="77" t="s">
        <v>436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 t="s">
        <v>13</v>
      </c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437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64</v>
      </c>
      <c r="C207" s="75"/>
      <c r="D207" s="75"/>
      <c r="E207" s="76" t="s">
        <v>139</v>
      </c>
      <c r="F207" s="76" t="s">
        <v>135</v>
      </c>
      <c r="G207" s="74" t="s">
        <v>187</v>
      </c>
      <c r="H207" s="61">
        <v>43936</v>
      </c>
      <c r="I207" s="62">
        <v>1</v>
      </c>
      <c r="J207" s="77" t="s">
        <v>432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433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 t="s">
        <v>434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102" t="str">
        <f>IF(G210&lt;&gt;"",SUBTOTAL(3,$G$5:G210),"")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435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65</v>
      </c>
      <c r="C212" s="75"/>
      <c r="D212" s="75"/>
      <c r="E212" s="76" t="s">
        <v>139</v>
      </c>
      <c r="F212" s="76" t="s">
        <v>135</v>
      </c>
      <c r="G212" s="74" t="s">
        <v>188</v>
      </c>
      <c r="H212" s="61">
        <v>43935</v>
      </c>
      <c r="I212" s="62">
        <v>1</v>
      </c>
      <c r="J212" s="77" t="s">
        <v>431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430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66</v>
      </c>
      <c r="C215" s="75"/>
      <c r="D215" s="75"/>
      <c r="E215" s="76" t="s">
        <v>139</v>
      </c>
      <c r="F215" s="76" t="s">
        <v>135</v>
      </c>
      <c r="G215" s="74" t="s">
        <v>189</v>
      </c>
      <c r="H215" s="61">
        <v>43919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67</v>
      </c>
      <c r="C216" s="75"/>
      <c r="D216" s="75"/>
      <c r="E216" s="76" t="s">
        <v>139</v>
      </c>
      <c r="F216" s="76" t="s">
        <v>135</v>
      </c>
      <c r="G216" s="74" t="s">
        <v>190</v>
      </c>
      <c r="H216" s="61">
        <v>43995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IF(G217&lt;&gt;"",SUBTOTAL(3,$G$5:G217),"")</f>
        <v>68</v>
      </c>
      <c r="C217" s="75"/>
      <c r="D217" s="75"/>
      <c r="E217" s="76" t="s">
        <v>139</v>
      </c>
      <c r="F217" s="76" t="s">
        <v>135</v>
      </c>
      <c r="G217" s="74" t="s">
        <v>191</v>
      </c>
      <c r="H217" s="61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69</v>
      </c>
      <c r="C218" s="75"/>
      <c r="D218" s="75"/>
      <c r="E218" s="76" t="s">
        <v>139</v>
      </c>
      <c r="F218" s="76" t="s">
        <v>135</v>
      </c>
      <c r="G218" s="74" t="s">
        <v>192</v>
      </c>
      <c r="H218" s="61">
        <v>43975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70</v>
      </c>
      <c r="C219" s="75"/>
      <c r="D219" s="75"/>
      <c r="E219" s="76" t="s">
        <v>139</v>
      </c>
      <c r="F219" s="76" t="s">
        <v>135</v>
      </c>
      <c r="G219" s="74" t="s">
        <v>193</v>
      </c>
      <c r="H219" s="61">
        <v>43975</v>
      </c>
      <c r="I219" s="62"/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IF(G220&lt;&gt;"",SUBTOTAL(3,$G$5:G220),"")</f>
        <v>71</v>
      </c>
      <c r="C220" s="75"/>
      <c r="D220" s="75"/>
      <c r="E220" s="76" t="s">
        <v>139</v>
      </c>
      <c r="F220" s="76" t="s">
        <v>135</v>
      </c>
      <c r="G220" s="74" t="s">
        <v>194</v>
      </c>
      <c r="H220" s="61">
        <v>43975</v>
      </c>
      <c r="I220" s="62"/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72</v>
      </c>
      <c r="C221" s="75"/>
      <c r="D221" s="75"/>
      <c r="E221" s="76" t="s">
        <v>139</v>
      </c>
      <c r="F221" s="76" t="s">
        <v>135</v>
      </c>
      <c r="G221" s="74" t="s">
        <v>195</v>
      </c>
      <c r="H221" s="61">
        <v>43977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73</v>
      </c>
      <c r="C222" s="75"/>
      <c r="D222" s="75"/>
      <c r="E222" s="76" t="s">
        <v>139</v>
      </c>
      <c r="F222" s="76" t="s">
        <v>135</v>
      </c>
      <c r="G222" s="74" t="s">
        <v>196</v>
      </c>
      <c r="H222" s="61">
        <v>43977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74</v>
      </c>
      <c r="C223" s="75"/>
      <c r="D223" s="75"/>
      <c r="E223" s="76" t="s">
        <v>139</v>
      </c>
      <c r="F223" s="76" t="s">
        <v>135</v>
      </c>
      <c r="G223" s="74" t="s">
        <v>197</v>
      </c>
      <c r="H223" s="61">
        <v>43977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75</v>
      </c>
      <c r="C224" s="75"/>
      <c r="D224" s="75"/>
      <c r="E224" s="76" t="s">
        <v>139</v>
      </c>
      <c r="F224" s="76" t="s">
        <v>135</v>
      </c>
      <c r="G224" s="74" t="s">
        <v>198</v>
      </c>
      <c r="H224" s="61">
        <v>43995</v>
      </c>
      <c r="I224" s="62"/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IF(G225&lt;&gt;"",SUBTOTAL(3,$G$5:G225),"")</f>
        <v>76</v>
      </c>
      <c r="C225" s="75"/>
      <c r="D225" s="75"/>
      <c r="E225" s="76" t="s">
        <v>139</v>
      </c>
      <c r="F225" s="76" t="s">
        <v>135</v>
      </c>
      <c r="G225" s="74" t="s">
        <v>199</v>
      </c>
      <c r="H225" s="61">
        <v>43982</v>
      </c>
      <c r="I225" s="62"/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IF(G226&lt;&gt;"",SUBTOTAL(3,$G$5:G226),"")</f>
        <v>77</v>
      </c>
      <c r="C226" s="75"/>
      <c r="D226" s="75"/>
      <c r="E226" s="76" t="s">
        <v>139</v>
      </c>
      <c r="F226" s="76" t="s">
        <v>135</v>
      </c>
      <c r="G226" s="74" t="s">
        <v>200</v>
      </c>
      <c r="H226" s="61">
        <v>43989</v>
      </c>
      <c r="I226" s="62"/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78</v>
      </c>
      <c r="C227" s="75"/>
      <c r="D227" s="75"/>
      <c r="E227" s="76" t="s">
        <v>139</v>
      </c>
      <c r="F227" s="76" t="s">
        <v>135</v>
      </c>
      <c r="G227" s="74" t="s">
        <v>201</v>
      </c>
      <c r="H227" s="61">
        <v>43989</v>
      </c>
      <c r="I227" s="62"/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IF(G228&lt;&gt;"",SUBTOTAL(3,$G$5:G228),"")</f>
        <v>79</v>
      </c>
      <c r="C228" s="75"/>
      <c r="D228" s="75"/>
      <c r="E228" s="76" t="s">
        <v>139</v>
      </c>
      <c r="F228" s="76" t="s">
        <v>135</v>
      </c>
      <c r="G228" s="74" t="s">
        <v>202</v>
      </c>
      <c r="H228" s="61">
        <v>43991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80</v>
      </c>
      <c r="C229" s="75"/>
      <c r="D229" s="75"/>
      <c r="E229" s="76" t="s">
        <v>139</v>
      </c>
      <c r="F229" s="76" t="s">
        <v>135</v>
      </c>
      <c r="G229" s="74" t="s">
        <v>203</v>
      </c>
      <c r="H229" s="61">
        <v>43991</v>
      </c>
      <c r="I229" s="62"/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IF(G230&lt;&gt;"",SUBTOTAL(3,$G$5:G230),"")</f>
        <v>81</v>
      </c>
      <c r="C230" s="75"/>
      <c r="D230" s="75"/>
      <c r="E230" s="76" t="s">
        <v>139</v>
      </c>
      <c r="F230" s="76" t="s">
        <v>135</v>
      </c>
      <c r="G230" s="74" t="s">
        <v>204</v>
      </c>
      <c r="H230" s="61">
        <v>43992</v>
      </c>
      <c r="I230" s="62"/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x14ac:dyDescent="0.15">
      <c r="B231" s="75">
        <f>IF(G231&lt;&gt;"",SUBTOTAL(3,$G$5:G231),"")</f>
        <v>82</v>
      </c>
      <c r="C231" s="75"/>
      <c r="D231" s="75"/>
      <c r="E231" s="76" t="s">
        <v>139</v>
      </c>
      <c r="F231" s="76" t="s">
        <v>135</v>
      </c>
      <c r="G231" s="74" t="s">
        <v>205</v>
      </c>
      <c r="H231" s="61">
        <v>43994</v>
      </c>
      <c r="I231" s="62">
        <v>0.8</v>
      </c>
      <c r="J231" s="77" t="s">
        <v>331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x14ac:dyDescent="0.15">
      <c r="B232" s="75" t="str">
        <f>IF(G232&lt;&gt;"",SUBTOTAL(3,$G$5:G232),"")</f>
        <v/>
      </c>
      <c r="C232" s="75"/>
      <c r="D232" s="75"/>
      <c r="E232" s="76"/>
      <c r="F232" s="76"/>
      <c r="G232" s="74"/>
      <c r="H232" s="61"/>
      <c r="I232" s="68">
        <v>0.8</v>
      </c>
      <c r="J232" s="77" t="s">
        <v>332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x14ac:dyDescent="0.15">
      <c r="B233" s="75" t="str">
        <f>IF(G233&lt;&gt;"",SUBTOTAL(3,$G$5:G233),"")</f>
        <v/>
      </c>
      <c r="C233" s="75"/>
      <c r="D233" s="75"/>
      <c r="E233" s="76"/>
      <c r="F233" s="76"/>
      <c r="G233" s="74"/>
      <c r="H233" s="61"/>
      <c r="I233" s="68">
        <v>0.8</v>
      </c>
      <c r="J233" s="77" t="s">
        <v>333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x14ac:dyDescent="0.15">
      <c r="B234" s="75" t="str">
        <f>IF(G234&lt;&gt;"",SUBTOTAL(3,$G$5:G234),"")</f>
        <v/>
      </c>
      <c r="C234" s="75"/>
      <c r="D234" s="75"/>
      <c r="E234" s="76"/>
      <c r="F234" s="76"/>
      <c r="G234" s="74"/>
      <c r="H234" s="61"/>
      <c r="I234" s="68">
        <v>0.8</v>
      </c>
      <c r="J234" s="77" t="s">
        <v>334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x14ac:dyDescent="0.15">
      <c r="B235" s="75" t="str">
        <f>IF(G235&lt;&gt;"",SUBTOTAL(3,$G$5:G235),"")</f>
        <v/>
      </c>
      <c r="C235" s="75"/>
      <c r="D235" s="75"/>
      <c r="E235" s="76"/>
      <c r="F235" s="76"/>
      <c r="G235" s="74"/>
      <c r="H235" s="61"/>
      <c r="I235" s="68">
        <v>0.8</v>
      </c>
      <c r="J235" s="77" t="s">
        <v>335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x14ac:dyDescent="0.15">
      <c r="B236" s="75" t="str">
        <f>IF(G236&lt;&gt;"",SUBTOTAL(3,$G$5:G236),"")</f>
        <v/>
      </c>
      <c r="C236" s="75"/>
      <c r="D236" s="75"/>
      <c r="E236" s="76"/>
      <c r="F236" s="76"/>
      <c r="G236" s="74"/>
      <c r="H236" s="61"/>
      <c r="I236" s="68">
        <v>0.8</v>
      </c>
      <c r="J236" s="77" t="s">
        <v>336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x14ac:dyDescent="0.15">
      <c r="B237" s="75" t="str">
        <f>IF(G237&lt;&gt;"",SUBTOTAL(3,$G$5:G237),"")</f>
        <v/>
      </c>
      <c r="C237" s="75"/>
      <c r="D237" s="75"/>
      <c r="E237" s="76"/>
      <c r="F237" s="76"/>
      <c r="G237" s="74"/>
      <c r="H237" s="61"/>
      <c r="I237" s="68">
        <v>0.8</v>
      </c>
      <c r="J237" s="77" t="s">
        <v>337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x14ac:dyDescent="0.15">
      <c r="B238" s="75" t="str">
        <f>IF(G238&lt;&gt;"",SUBTOTAL(3,$G$5:G238),"")</f>
        <v/>
      </c>
      <c r="C238" s="75"/>
      <c r="D238" s="75"/>
      <c r="E238" s="76"/>
      <c r="F238" s="76"/>
      <c r="G238" s="74"/>
      <c r="H238" s="61"/>
      <c r="I238" s="68">
        <v>0.8</v>
      </c>
      <c r="J238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x14ac:dyDescent="0.15">
      <c r="B239" s="75" t="str">
        <f>IF(G239&lt;&gt;"",SUBTOTAL(3,$G$5:G239),"")</f>
        <v/>
      </c>
      <c r="C239" s="75"/>
      <c r="D239" s="75"/>
      <c r="E239" s="76"/>
      <c r="F239" s="76"/>
      <c r="G239" s="74"/>
      <c r="H239" s="61"/>
      <c r="I239" s="68">
        <v>0.8</v>
      </c>
      <c r="J239" s="37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9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IF(G240&lt;&gt;"",SUBTOTAL(3,$G$5:G240),"")</f>
        <v>83</v>
      </c>
      <c r="C240" s="75"/>
      <c r="D240" s="75"/>
      <c r="E240" s="76" t="s">
        <v>139</v>
      </c>
      <c r="F240" s="76" t="s">
        <v>135</v>
      </c>
      <c r="G240" s="74" t="s">
        <v>206</v>
      </c>
      <c r="H240" s="61">
        <v>43995</v>
      </c>
      <c r="I240" s="62"/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>
        <f>IF(G241&lt;&gt;"",SUBTOTAL(3,$G$5:G241),"")</f>
        <v>84</v>
      </c>
      <c r="C241" s="75"/>
      <c r="D241" s="75"/>
      <c r="E241" s="76" t="s">
        <v>139</v>
      </c>
      <c r="F241" s="76" t="s">
        <v>135</v>
      </c>
      <c r="G241" s="74" t="s">
        <v>207</v>
      </c>
      <c r="H241" s="61">
        <v>43997</v>
      </c>
      <c r="I241" s="62">
        <v>1</v>
      </c>
      <c r="J241" s="77" t="s">
        <v>404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 t="s">
        <v>339</v>
      </c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75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403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 t="s">
        <v>405</v>
      </c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 t="str">
        <f>IF(G243&lt;&gt;"",SUBTOTAL(3,$G$5:G243),"")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338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 t="s">
        <v>406</v>
      </c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75">
        <f>IF(G244&lt;&gt;"",SUBTOTAL(3,$G$5:G244),"")</f>
        <v>85</v>
      </c>
      <c r="C244" s="75"/>
      <c r="D244" s="75"/>
      <c r="E244" s="76" t="s">
        <v>139</v>
      </c>
      <c r="F244" s="76" t="s">
        <v>135</v>
      </c>
      <c r="G244" s="74" t="s">
        <v>208</v>
      </c>
      <c r="H244" s="61">
        <v>44004</v>
      </c>
      <c r="I244" s="62"/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>
        <f>IF(G245&lt;&gt;"",SUBTOTAL(3,$G$5:G245),"")</f>
        <v>86</v>
      </c>
      <c r="C245" s="75"/>
      <c r="D245" s="75"/>
      <c r="E245" s="76" t="s">
        <v>139</v>
      </c>
      <c r="F245" s="76" t="s">
        <v>142</v>
      </c>
      <c r="G245" s="76" t="s">
        <v>209</v>
      </c>
      <c r="H245" s="61">
        <v>44030</v>
      </c>
      <c r="I245" s="62">
        <v>1</v>
      </c>
      <c r="J245" s="77" t="s">
        <v>340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 t="s">
        <v>407</v>
      </c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6"/>
      <c r="H246" s="61"/>
      <c r="I246" s="70">
        <v>1</v>
      </c>
      <c r="J246" s="77" t="s">
        <v>341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6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 t="s">
        <v>408</v>
      </c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6"/>
      <c r="H248" s="61"/>
      <c r="I248" s="70">
        <v>1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 t="s">
        <v>342</v>
      </c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5.75" x14ac:dyDescent="0.15">
      <c r="B249" s="75" t="str">
        <f>IF(G249&lt;&gt;"",SUBTOTAL(3,$G$5:G249),"")</f>
        <v/>
      </c>
      <c r="C249" s="75"/>
      <c r="D249" s="75"/>
      <c r="E249" s="76"/>
      <c r="F249" s="76"/>
      <c r="G249" s="76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 t="s">
        <v>370</v>
      </c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6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 t="s">
        <v>409</v>
      </c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6"/>
      <c r="H251" s="61"/>
      <c r="I251" s="70">
        <v>1</v>
      </c>
      <c r="J251" s="77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 t="s">
        <v>410</v>
      </c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6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>
        <f>IF(G253&lt;&gt;"",SUBTOTAL(3,$G$5:G253),"")</f>
        <v>87</v>
      </c>
      <c r="C253" s="75"/>
      <c r="D253" s="75"/>
      <c r="E253" s="76" t="s">
        <v>139</v>
      </c>
      <c r="F253" s="76" t="s">
        <v>142</v>
      </c>
      <c r="G253" s="76" t="s">
        <v>216</v>
      </c>
      <c r="H253" s="61">
        <v>44052</v>
      </c>
      <c r="I253" s="62">
        <v>0.5</v>
      </c>
      <c r="J253" s="77" t="s">
        <v>343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 t="s">
        <v>412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102" t="str">
        <f>IF(G254&lt;&gt;"",SUBTOTAL(3,$G$5:G254),"")</f>
        <v/>
      </c>
      <c r="C254" s="75"/>
      <c r="D254" s="75"/>
      <c r="E254" s="76"/>
      <c r="F254" s="76"/>
      <c r="G254" s="76"/>
      <c r="H254" s="61"/>
      <c r="I254" s="68">
        <v>0.5</v>
      </c>
      <c r="J254" s="77" t="s">
        <v>371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 t="s">
        <v>411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102" t="str">
        <f>IF(G255&lt;&gt;"",SUBTOTAL(3,$G$5:G255),"")</f>
        <v/>
      </c>
      <c r="C255" s="75"/>
      <c r="D255" s="75"/>
      <c r="E255" s="76"/>
      <c r="F255" s="76"/>
      <c r="G255" s="76"/>
      <c r="H255" s="61"/>
      <c r="I255" s="68">
        <v>0.5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 t="s">
        <v>413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102" t="str">
        <f>IF(G256&lt;&gt;"",SUBTOTAL(3,$G$5:G256),"")</f>
        <v/>
      </c>
      <c r="C256" s="75"/>
      <c r="D256" s="75"/>
      <c r="E256" s="76"/>
      <c r="F256" s="76"/>
      <c r="G256" s="76"/>
      <c r="H256" s="61"/>
      <c r="I256" s="68">
        <v>0.5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 t="s">
        <v>414</v>
      </c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102" t="str">
        <f>IF(G257&lt;&gt;"",SUBTOTAL(3,$G$5:G257),"")</f>
        <v/>
      </c>
      <c r="C257" s="75"/>
      <c r="D257" s="75"/>
      <c r="E257" s="76"/>
      <c r="F257" s="76"/>
      <c r="G257" s="76"/>
      <c r="H257" s="61"/>
      <c r="I257" s="68">
        <v>0.5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 t="s">
        <v>416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68">
        <v>0.5</v>
      </c>
      <c r="J258" s="77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 t="s">
        <v>415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68">
        <v>0.5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 t="s">
        <v>417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68">
        <v>0.5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68">
        <v>0.5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75">
        <f>IF(G262&lt;&gt;"",SUBTOTAL(3,$G$5:G262),"")</f>
        <v>88</v>
      </c>
      <c r="C262" s="75"/>
      <c r="D262" s="75"/>
      <c r="E262" s="76" t="s">
        <v>139</v>
      </c>
      <c r="F262" s="76" t="s">
        <v>142</v>
      </c>
      <c r="G262" s="76" t="s">
        <v>223</v>
      </c>
      <c r="H262" s="61">
        <v>44062</v>
      </c>
      <c r="I262" s="62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IF(G263&lt;&gt;"",SUBTOTAL(3,$G$5:G263),"")</f>
        <v>89</v>
      </c>
      <c r="C263" s="75"/>
      <c r="D263" s="75"/>
      <c r="E263" s="76" t="s">
        <v>139</v>
      </c>
      <c r="F263" s="76" t="s">
        <v>142</v>
      </c>
      <c r="G263" s="76" t="s">
        <v>224</v>
      </c>
      <c r="H263" s="61">
        <v>44071</v>
      </c>
      <c r="I263" s="62">
        <v>1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>
        <f>IF(G264&lt;&gt;"",SUBTOTAL(3,$G$5:G264),"")</f>
        <v>90</v>
      </c>
      <c r="C264" s="75"/>
      <c r="D264" s="75"/>
      <c r="E264" s="76" t="s">
        <v>139</v>
      </c>
      <c r="F264" s="76" t="s">
        <v>142</v>
      </c>
      <c r="G264" s="76" t="s">
        <v>228</v>
      </c>
      <c r="H264" s="61">
        <v>44073</v>
      </c>
      <c r="I264" s="62">
        <v>1</v>
      </c>
      <c r="J264" s="98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98" t="s">
        <v>354</v>
      </c>
      <c r="AT264" s="43" t="s">
        <v>355</v>
      </c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99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99" t="s">
        <v>344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99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99" t="s">
        <v>345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99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99" t="s">
        <v>346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99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99" t="s">
        <v>347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99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99" t="s">
        <v>359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9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99" t="s">
        <v>348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99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99" t="s">
        <v>349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98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98" t="s">
        <v>354</v>
      </c>
      <c r="AT272" s="43" t="s">
        <v>356</v>
      </c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 t="s">
        <v>360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 t="s">
        <v>361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344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99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9" t="s">
        <v>345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99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9" t="s">
        <v>346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99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99" t="s">
        <v>347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362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9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9" t="s">
        <v>350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99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9" t="s">
        <v>348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99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99" t="s">
        <v>349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8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8" t="s">
        <v>357</v>
      </c>
      <c r="AT283" s="43" t="s">
        <v>358</v>
      </c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 t="s">
        <v>363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9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9" t="s">
        <v>344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99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99" t="s">
        <v>345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9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9" t="s">
        <v>346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9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9" t="s">
        <v>347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9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9" t="s">
        <v>351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9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9" t="s">
        <v>348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9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9" t="s">
        <v>349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77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4.25" customHeight="1" x14ac:dyDescent="0.15">
      <c r="B293" s="75">
        <f>IF(G293&lt;&gt;"",SUBTOTAL(3,$G$5:G293),"")</f>
        <v>91</v>
      </c>
      <c r="C293" s="75"/>
      <c r="D293" s="75"/>
      <c r="E293" s="76" t="s">
        <v>139</v>
      </c>
      <c r="F293" s="76" t="s">
        <v>142</v>
      </c>
      <c r="G293" s="76" t="s">
        <v>239</v>
      </c>
      <c r="H293" s="61">
        <v>44108</v>
      </c>
      <c r="I293" s="62">
        <v>0.5</v>
      </c>
      <c r="J293" s="77" t="s">
        <v>1</v>
      </c>
      <c r="K293" s="43" t="s">
        <v>353</v>
      </c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4.25" customHeigh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68">
        <v>0.5</v>
      </c>
      <c r="J294" s="83"/>
      <c r="K294" s="84"/>
      <c r="L294" s="84"/>
      <c r="M294" s="84"/>
      <c r="N294" s="84"/>
      <c r="O294" s="84"/>
      <c r="P294" s="84"/>
      <c r="Q294" s="84"/>
      <c r="R294" s="85" t="s">
        <v>352</v>
      </c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6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4.25" customHeigh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68">
        <v>0.5</v>
      </c>
      <c r="J295" s="87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6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4.25" customHeigh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68">
        <v>0.5</v>
      </c>
      <c r="J296" s="83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6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4.25" customHeigh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68">
        <v>0.5</v>
      </c>
      <c r="J297" s="83" t="s">
        <v>240</v>
      </c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6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4.25" customHeigh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68">
        <v>0.5</v>
      </c>
      <c r="J298" s="83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6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4.25" customHeigh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68">
        <v>0.5</v>
      </c>
      <c r="J299" s="83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6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4.25" customHeigh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68">
        <v>0.5</v>
      </c>
      <c r="J300" s="83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6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4.25" customHeigh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68">
        <v>0.5</v>
      </c>
      <c r="J301" s="83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6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62"/>
      <c r="J302" s="77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ht="13.5" customHeight="1" x14ac:dyDescent="0.15">
      <c r="B303" s="58" t="str">
        <f>IF(G303&lt;&gt;"",SUBTOTAL(3,$G$5:G303),"")</f>
        <v/>
      </c>
      <c r="C303" s="58"/>
      <c r="D303" s="58"/>
      <c r="E303" s="59"/>
      <c r="F303" s="59"/>
      <c r="G303" s="59"/>
      <c r="H303" s="61"/>
      <c r="I303" s="62"/>
      <c r="J303" s="40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2"/>
      <c r="AS303" s="63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5"/>
      <c r="CB303" s="60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</row>
    <row r="304" spans="2:130" ht="13.5" customHeight="1" x14ac:dyDescent="0.15">
      <c r="B304" s="58" t="str">
        <f>IF(G304&lt;&gt;"",SUBTOTAL(3,$G$5:G304),"")</f>
        <v/>
      </c>
      <c r="C304" s="58"/>
      <c r="D304" s="58"/>
      <c r="E304" s="59"/>
      <c r="F304" s="59"/>
      <c r="G304" s="59"/>
      <c r="H304" s="61"/>
      <c r="I304" s="62"/>
      <c r="J304" s="63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5"/>
      <c r="AS304" s="63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5"/>
      <c r="CB304" s="60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</row>
    <row r="305" spans="2:130" x14ac:dyDescent="0.15">
      <c r="B305" s="58" t="str">
        <f>IF(G305&lt;&gt;"",SUBTOTAL(3,$G$5:G305),"")</f>
        <v/>
      </c>
      <c r="C305" s="58"/>
      <c r="D305" s="58"/>
      <c r="E305" s="59"/>
      <c r="F305" s="59"/>
      <c r="G305" s="59"/>
      <c r="H305" s="61"/>
      <c r="I305" s="62"/>
      <c r="J305" s="63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5"/>
      <c r="AS305" s="63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5"/>
      <c r="CB305" s="60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</row>
    <row r="306" spans="2:130" x14ac:dyDescent="0.15">
      <c r="B306" s="58" t="str">
        <f>IF(G306&lt;&gt;"",SUBTOTAL(3,$G$5:G306),"")</f>
        <v/>
      </c>
      <c r="C306" s="58"/>
      <c r="D306" s="58"/>
      <c r="E306" s="59"/>
      <c r="F306" s="59"/>
      <c r="G306" s="59"/>
      <c r="H306" s="61"/>
      <c r="I306" s="62"/>
      <c r="J306" s="63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5"/>
      <c r="AS306" s="63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5"/>
      <c r="CB306" s="60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</row>
    <row r="307" spans="2:130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63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5"/>
      <c r="AS307" s="63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5"/>
      <c r="CB307" s="60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</row>
    <row r="308" spans="2:130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63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5"/>
      <c r="AS308" s="63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5"/>
      <c r="CB308" s="60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</row>
    <row r="309" spans="2:130" ht="15.75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40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2"/>
      <c r="AS309" s="63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5"/>
      <c r="CB309" s="60"/>
      <c r="CH309" s="64"/>
      <c r="CI309" s="69"/>
      <c r="CJ309" s="69"/>
      <c r="CK309" s="69"/>
      <c r="CL309" s="69"/>
      <c r="CM309" s="69"/>
      <c r="CN309" s="69"/>
      <c r="CO309" s="69"/>
      <c r="CP309" s="69"/>
      <c r="CQ309" s="69"/>
      <c r="CR309" s="69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9"/>
      <c r="DH309" s="69"/>
      <c r="DI309" s="69"/>
      <c r="DJ309" s="69"/>
      <c r="DK309" s="69"/>
      <c r="DL309" s="69"/>
      <c r="DM309" s="69"/>
      <c r="DN309" s="69"/>
      <c r="DO309" s="69"/>
      <c r="DP309" s="69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</row>
    <row r="310" spans="2:13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5"/>
      <c r="AS310" s="63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5"/>
      <c r="CB310" s="60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</row>
    <row r="311" spans="2:130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63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5"/>
      <c r="AS311" s="63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5"/>
      <c r="CB311" s="60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</row>
    <row r="312" spans="2:130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63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5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63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5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63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5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63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5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ht="15.75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40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2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63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5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88" t="str">
        <f>IF(G332&lt;&gt;"",SUBTOTAL(3,$G$5:G332),"")</f>
        <v/>
      </c>
      <c r="C332" s="88"/>
      <c r="D332" s="88"/>
      <c r="E332" s="89"/>
      <c r="F332" s="89"/>
      <c r="G332" s="89"/>
      <c r="H332" s="90"/>
      <c r="I332" s="91"/>
      <c r="J332" s="92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3"/>
      <c r="AF332" s="93"/>
      <c r="AG332" s="93"/>
      <c r="AH332" s="93"/>
      <c r="AI332" s="93"/>
      <c r="AJ332" s="93"/>
      <c r="AK332" s="93"/>
      <c r="AL332" s="93"/>
      <c r="AM332" s="93"/>
      <c r="AN332" s="93"/>
      <c r="AO332" s="93"/>
      <c r="AP332" s="93"/>
      <c r="AQ332" s="93"/>
      <c r="AR332" s="94"/>
      <c r="AS332" s="92"/>
      <c r="AT332" s="93"/>
      <c r="AU332" s="93"/>
      <c r="AV332" s="93"/>
      <c r="AW332" s="93"/>
      <c r="AX332" s="93"/>
      <c r="AY332" s="93"/>
      <c r="AZ332" s="93"/>
      <c r="BA332" s="93"/>
      <c r="BB332" s="93"/>
      <c r="BC332" s="93"/>
      <c r="BD332" s="93"/>
      <c r="BE332" s="93"/>
      <c r="BF332" s="93"/>
      <c r="BG332" s="93"/>
      <c r="BH332" s="93"/>
      <c r="BI332" s="93"/>
      <c r="BJ332" s="93"/>
      <c r="BK332" s="93"/>
      <c r="BL332" s="93"/>
      <c r="BM332" s="93"/>
      <c r="BN332" s="93"/>
      <c r="BO332" s="93"/>
      <c r="BP332" s="93"/>
      <c r="BQ332" s="93"/>
      <c r="BR332" s="93"/>
      <c r="BS332" s="93"/>
      <c r="BT332" s="93"/>
      <c r="BU332" s="93"/>
      <c r="BV332" s="93"/>
      <c r="BW332" s="93"/>
      <c r="BX332" s="93"/>
      <c r="BY332" s="93"/>
      <c r="BZ332" s="93"/>
      <c r="CA332" s="94"/>
      <c r="CB332" s="95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03:I303 B317:I317 B309:I309 B42:D42 B49:H49 B58:H58 I144:I159 B144:H160 CB144:CB160 J144:AR160 B304:AR308 B318:AR332 B5:CB39 B298:AR302 B310:AR316 AS298:CB332 F42:CB42 B43:CB47 J48:CB49 B59:CB59 AS144:CA159 B161:CB172 B182:CB237 K40:CB40 B41:CB41 K60:CB60 K238:CB238 B296:CB296 K295:CB295 K297:CB297 I160:CA160 K101:CB101 J57:CB58 B50:CB56 J61:CB63 B64:CB100 B102:CB143 B239:CB294 I173:I180 B173:H181 J173:CB181">
    <cfRule type="expression" dxfId="25" priority="96">
      <formula>AND($I5&lt;&gt;1,$I5&lt;&gt;"")</formula>
    </cfRule>
  </conditionalFormatting>
  <conditionalFormatting sqref="I181:AR181">
    <cfRule type="expression" dxfId="24" priority="82">
      <formula>AND($I181&lt;&gt;1,$I181&lt;&gt;"")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38:I238">
    <cfRule type="expression" dxfId="8" priority="18">
      <formula>AND($I238&lt;&gt;1,$I238&lt;&gt;"")</formula>
    </cfRule>
  </conditionalFormatting>
  <conditionalFormatting sqref="J238">
    <cfRule type="expression" dxfId="7" priority="17">
      <formula>AND($I238&lt;&gt;1,$I238&lt;&gt;"")</formula>
    </cfRule>
  </conditionalFormatting>
  <conditionalFormatting sqref="B295:I295 B297:I297">
    <cfRule type="expression" dxfId="6" priority="10">
      <formula>AND($I295&lt;&gt;1,$I295&lt;&gt;"")</formula>
    </cfRule>
  </conditionalFormatting>
  <conditionalFormatting sqref="J297">
    <cfRule type="expression" dxfId="5" priority="9">
      <formula>AND($I297&lt;&gt;1,$I297&lt;&gt;"")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32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2" location="toABC143_C_Slimes" display="(→)" xr:uid="{D0A14FDC-339D-483C-A7FB-42784F1DB2F9}"/>
    <hyperlink ref="CB200" location="toABC147_C_Honest_or_Unkind2" display="(→)" xr:uid="{5E89EE6B-F278-4D19-9890-D06616736879}"/>
    <hyperlink ref="CB204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297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2020-10-12T13:59:55Z</dcterms:modified>
</cp:coreProperties>
</file>
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5096EA89-03C9-44D5-966F-54B4E4E18147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At_Coder_C問題!$B$4:$CB$349</definedName>
    <definedName name="fromABC114_C_755">At_Coder_C問題!$J$68</definedName>
    <definedName name="fromABC143_C_Slimes">At_Coder_C問題!$J$183</definedName>
    <definedName name="fromABC147_C_Honest_or_Unkind2">At_Coder_C問題!$J$195</definedName>
    <definedName name="fromABC149_C_NextPrime">At_Coder_C問題!$J$201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83" i="3" l="1"/>
  <c r="B9" i="3" l="1"/>
  <c r="B8" i="3"/>
  <c r="B10" i="3"/>
  <c r="B226" i="3"/>
  <c r="B196" i="3"/>
  <c r="B197" i="3"/>
  <c r="B192" i="3"/>
  <c r="B193" i="3"/>
  <c r="B185" i="3" l="1"/>
  <c r="B184" i="3"/>
  <c r="B186" i="3"/>
  <c r="B164" i="3" l="1"/>
  <c r="B165" i="3"/>
  <c r="B163" i="3"/>
  <c r="B162" i="3"/>
  <c r="B248" i="3" l="1"/>
  <c r="B247" i="3"/>
  <c r="B249" i="3"/>
  <c r="B244" i="3"/>
  <c r="B241" i="3"/>
  <c r="B242" i="3"/>
  <c r="B243" i="3"/>
  <c r="B237" i="3" l="1"/>
  <c r="B238" i="3"/>
  <c r="B239" i="3"/>
  <c r="B236" i="3"/>
  <c r="B234" i="3" l="1"/>
  <c r="B232" i="3" l="1"/>
  <c r="B229" i="3"/>
  <c r="B228" i="3"/>
  <c r="B230" i="3" l="1"/>
  <c r="B160" i="3" l="1"/>
  <c r="B158" i="3"/>
  <c r="B159" i="3"/>
  <c r="B224" i="3" l="1"/>
  <c r="B222" i="3" l="1"/>
  <c r="B220" i="3"/>
  <c r="B219" i="3"/>
  <c r="B214" i="3"/>
  <c r="B190" i="3" l="1"/>
  <c r="B189" i="3"/>
  <c r="B188" i="3" l="1"/>
  <c r="B179" i="3"/>
  <c r="B167" i="3"/>
  <c r="B168" i="3"/>
  <c r="B202" i="3" l="1"/>
  <c r="B203" i="3"/>
  <c r="B208" i="3"/>
  <c r="B207" i="3"/>
  <c r="B206" i="3"/>
  <c r="B205" i="3"/>
  <c r="B211" i="3" l="1"/>
  <c r="B210" i="3"/>
  <c r="B200" i="3"/>
  <c r="B199" i="3"/>
  <c r="B173" i="3" l="1"/>
  <c r="B176" i="3"/>
  <c r="B177" i="3"/>
  <c r="B175" i="3"/>
  <c r="B33" i="3"/>
  <c r="B32" i="3"/>
  <c r="B31" i="3"/>
  <c r="B30" i="3"/>
  <c r="B141" i="3" l="1"/>
  <c r="B274" i="3"/>
  <c r="B275" i="3"/>
  <c r="B273" i="3"/>
  <c r="B276" i="3"/>
  <c r="B23" i="3" l="1"/>
  <c r="B16" i="3"/>
  <c r="B6" i="3" l="1"/>
  <c r="B65" i="3" l="1"/>
  <c r="B66" i="3"/>
  <c r="B317" i="3" l="1"/>
  <c r="B316" i="3"/>
  <c r="B315" i="3"/>
  <c r="B314" i="3"/>
  <c r="B311" i="3"/>
  <c r="B309" i="3"/>
  <c r="B308" i="3"/>
  <c r="B307" i="3"/>
  <c r="B306" i="3"/>
  <c r="B305" i="3"/>
  <c r="B304" i="3"/>
  <c r="B312" i="3"/>
  <c r="B310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0" i="3"/>
  <c r="B279" i="3"/>
  <c r="B278" i="3"/>
  <c r="B277" i="3"/>
  <c r="B271" i="3"/>
  <c r="B270" i="3"/>
  <c r="B269" i="3"/>
  <c r="B268" i="3"/>
  <c r="B267" i="3"/>
  <c r="B266" i="3"/>
  <c r="B265" i="3"/>
  <c r="B262" i="3"/>
  <c r="B261" i="3"/>
  <c r="J257" i="3"/>
  <c r="B257" i="3"/>
  <c r="B256" i="3"/>
  <c r="B255" i="3"/>
  <c r="B254" i="3"/>
  <c r="B253" i="3"/>
  <c r="B252" i="3"/>
  <c r="B251" i="3"/>
  <c r="B182" i="3"/>
  <c r="B181" i="3"/>
  <c r="B171" i="3"/>
  <c r="B170" i="3"/>
  <c r="B146" i="3"/>
  <c r="B145" i="3"/>
  <c r="B144" i="3"/>
  <c r="B143" i="3"/>
  <c r="B142" i="3"/>
  <c r="B139" i="3"/>
  <c r="B138" i="3"/>
  <c r="B136" i="3"/>
  <c r="B135" i="3"/>
  <c r="B134" i="3"/>
  <c r="B133" i="3"/>
  <c r="B132" i="3"/>
  <c r="B130" i="3"/>
  <c r="B129" i="3"/>
  <c r="B128" i="3"/>
  <c r="B127" i="3"/>
  <c r="B126" i="3"/>
  <c r="B125" i="3"/>
  <c r="B123" i="3"/>
  <c r="B122" i="3"/>
  <c r="B121" i="3"/>
  <c r="B120" i="3"/>
  <c r="B119" i="3"/>
  <c r="B118" i="3"/>
  <c r="B117" i="3"/>
  <c r="B116" i="3"/>
  <c r="B115" i="3"/>
  <c r="B114" i="3"/>
  <c r="B112" i="3"/>
  <c r="B111" i="3"/>
  <c r="B110" i="3"/>
  <c r="B109" i="3"/>
  <c r="B108" i="3"/>
  <c r="B106" i="3"/>
  <c r="B105" i="3"/>
  <c r="B104" i="3"/>
  <c r="B103" i="3"/>
  <c r="B102" i="3"/>
  <c r="B101" i="3"/>
  <c r="B100" i="3"/>
  <c r="B98" i="3"/>
  <c r="B97" i="3"/>
  <c r="B96" i="3"/>
  <c r="B95" i="3"/>
  <c r="B94" i="3"/>
  <c r="B93" i="3"/>
  <c r="B92" i="3"/>
  <c r="B90" i="3"/>
  <c r="B89" i="3"/>
  <c r="B88" i="3"/>
  <c r="B86" i="3"/>
  <c r="B85" i="3"/>
  <c r="B84" i="3"/>
  <c r="B81" i="3"/>
  <c r="B80" i="3"/>
  <c r="B79" i="3"/>
  <c r="B78" i="3"/>
  <c r="B77" i="3"/>
  <c r="B76" i="3"/>
  <c r="B75" i="3"/>
  <c r="B83" i="3"/>
  <c r="B82" i="3"/>
  <c r="B74" i="3"/>
  <c r="B72" i="3"/>
  <c r="J63" i="3"/>
  <c r="B63" i="3"/>
  <c r="B60" i="3"/>
  <c r="B59" i="3"/>
  <c r="B58" i="3"/>
  <c r="B57" i="3"/>
  <c r="B55" i="3"/>
  <c r="B54" i="3"/>
  <c r="B50" i="3"/>
  <c r="B49" i="3"/>
  <c r="B48" i="3"/>
  <c r="B38" i="3"/>
  <c r="B44" i="3"/>
  <c r="B46" i="3"/>
  <c r="B43" i="3"/>
  <c r="B42" i="3"/>
  <c r="B41" i="3"/>
  <c r="B40" i="3"/>
  <c r="B37" i="3"/>
  <c r="B36" i="3"/>
  <c r="B35" i="3"/>
  <c r="B22" i="3"/>
  <c r="B15" i="3"/>
  <c r="B14" i="3"/>
  <c r="B13" i="3"/>
  <c r="B12" i="3"/>
  <c r="B64" i="3" l="1"/>
  <c r="B258" i="3" l="1"/>
  <c r="B34" i="3" l="1"/>
  <c r="B45" i="3" l="1"/>
  <c r="B39" i="3" l="1"/>
  <c r="B53" i="3" l="1"/>
  <c r="B56" i="3"/>
  <c r="B61" i="3"/>
  <c r="B62" i="3"/>
  <c r="B67" i="3"/>
  <c r="B68" i="3"/>
  <c r="B69" i="3"/>
  <c r="B70" i="3"/>
  <c r="B71" i="3"/>
  <c r="B73" i="3"/>
  <c r="B87" i="3"/>
  <c r="B91" i="3"/>
  <c r="B99" i="3"/>
  <c r="B47" i="3"/>
  <c r="B107" i="3" l="1"/>
  <c r="B113" i="3" l="1"/>
  <c r="B124" i="3" l="1"/>
  <c r="B131" i="3" l="1"/>
  <c r="B349" i="3" l="1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3" i="3"/>
  <c r="B284" i="3"/>
  <c r="B282" i="3"/>
  <c r="B281" i="3"/>
  <c r="B272" i="3"/>
  <c r="B264" i="3"/>
  <c r="B263" i="3"/>
  <c r="B260" i="3"/>
  <c r="B259" i="3"/>
  <c r="B250" i="3"/>
  <c r="B246" i="3"/>
  <c r="B245" i="3"/>
  <c r="B240" i="3"/>
  <c r="B235" i="3"/>
  <c r="B233" i="3"/>
  <c r="B231" i="3"/>
  <c r="B227" i="3"/>
  <c r="B225" i="3"/>
  <c r="B223" i="3"/>
  <c r="B221" i="3"/>
  <c r="B218" i="3"/>
  <c r="B217" i="3"/>
  <c r="B216" i="3"/>
  <c r="B215" i="3"/>
  <c r="B213" i="3"/>
  <c r="B212" i="3"/>
  <c r="B209" i="3"/>
  <c r="B204" i="3"/>
  <c r="B201" i="3"/>
  <c r="B198" i="3"/>
  <c r="B195" i="3"/>
  <c r="B194" i="3"/>
  <c r="B191" i="3"/>
  <c r="B187" i="3"/>
  <c r="B183" i="3"/>
  <c r="B180" i="3"/>
  <c r="B178" i="3"/>
  <c r="B174" i="3"/>
  <c r="B172" i="3"/>
  <c r="B169" i="3"/>
  <c r="B166" i="3"/>
  <c r="B161" i="3"/>
  <c r="B157" i="3"/>
  <c r="B156" i="3"/>
  <c r="B155" i="3"/>
  <c r="B154" i="3"/>
  <c r="B153" i="3"/>
  <c r="B152" i="3"/>
  <c r="B151" i="3"/>
  <c r="B150" i="3"/>
  <c r="B149" i="3"/>
  <c r="B148" i="3"/>
  <c r="B147" i="3"/>
  <c r="B140" i="3"/>
  <c r="B137" i="3"/>
  <c r="B29" i="3"/>
  <c r="B28" i="3"/>
  <c r="B27" i="3"/>
  <c r="B26" i="3"/>
  <c r="B25" i="3"/>
  <c r="B24" i="3"/>
  <c r="B21" i="3"/>
  <c r="B20" i="3"/>
  <c r="B19" i="3"/>
  <c r="B18" i="3"/>
  <c r="B17" i="3"/>
  <c r="B11" i="3"/>
  <c r="B7" i="3"/>
  <c r="B5" i="3"/>
</calcChain>
</file>

<file path=xl/sharedStrings.xml><?xml version="1.0" encoding="utf-8"?>
<sst xmlns="http://schemas.openxmlformats.org/spreadsheetml/2006/main" count="769" uniqueCount="471">
  <si>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</si>
  <si>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</si>
  <si>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</si>
  <si>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</si>
  <si>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</si>
  <si>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</si>
  <si>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</si>
  <si>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</si>
  <si>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</si>
  <si>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</si>
  <si>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</si>
  <si>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</si>
  <si>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</si>
  <si>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</si>
  <si>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</si>
  <si>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</si>
  <si>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</si>
  <si>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</si>
  <si>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</si>
  <si>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</si>
  <si>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</si>
  <si>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</si>
  <si>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</si>
  <si>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</si>
  <si>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</si>
  <si>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</si>
  <si>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</si>
  <si>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</si>
  <si>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</si>
  <si>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</si>
  <si>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</si>
  <si>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</si>
  <si>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</si>
  <si>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</si>
  <si>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</si>
  <si>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</si>
  <si>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</si>
  <si>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</si>
  <si>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</si>
  <si>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</si>
  <si>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</si>
  <si>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</si>
  <si>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</si>
  <si>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</si>
  <si>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</si>
  <si>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</si>
  <si>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</si>
  <si>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</si>
  <si>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</si>
  <si>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</si>
  <si>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</si>
  <si>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</si>
  <si>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</si>
  <si>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</si>
  <si>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</si>
  <si>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</si>
  <si>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</si>
  <si>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</si>
  <si>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</si>
  <si>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</si>
  <si>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</si>
  <si>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</si>
  <si>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</si>
  <si>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</si>
  <si>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</si>
  <si>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</si>
  <si>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</si>
  <si>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</si>
  <si>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</si>
  <si>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</si>
  <si>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</si>
  <si>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</si>
  <si>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</si>
  <si>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</si>
  <si>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</si>
  <si>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</si>
  <si>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</si>
  <si>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</si>
  <si>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</si>
  <si>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</si>
  <si>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</si>
  <si>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</si>
  <si>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</si>
  <si>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</si>
  <si>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</si>
  <si>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</si>
  <si>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</si>
  <si>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</si>
  <si>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</si>
  <si>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</si>
  <si>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</si>
  <si>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</si>
  <si>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</si>
  <si>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</si>
  <si>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</si>
  <si>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</si>
  <si>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</si>
  <si>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</si>
  <si>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</si>
  <si>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</si>
  <si>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</si>
  <si>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</si>
  <si>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</si>
  <si>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</si>
  <si>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</si>
  <si>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</si>
  <si>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</si>
  <si>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</si>
  <si>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</si>
  <si>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</si>
  <si>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</si>
  <si>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</si>
  <si>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</si>
  <si>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</si>
  <si>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</si>
  <si>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</si>
  <si>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</si>
  <si>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</si>
  <si>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</si>
  <si>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</si>
  <si>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</si>
  <si>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</si>
  <si>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</si>
  <si>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</si>
  <si>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</si>
  <si>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</si>
  <si>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</si>
  <si>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</si>
  <si>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</si>
  <si>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</si>
  <si>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</si>
  <si>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</si>
  <si>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</si>
  <si>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</si>
  <si>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</si>
  <si>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</si>
  <si>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</si>
  <si>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</si>
  <si>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</si>
  <si>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</si>
  <si>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</si>
  <si>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</si>
  <si>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</si>
  <si>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</si>
  <si>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</si>
  <si>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</si>
  <si>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</si>
  <si>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</si>
  <si>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</si>
  <si>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</si>
  <si>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</si>
  <si>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</si>
  <si>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</si>
  <si>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</si>
  <si>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</si>
  <si>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</si>
  <si>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</si>
  <si>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</si>
  <si>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</si>
  <si>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</si>
  <si>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</si>
  <si>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</si>
  <si>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</si>
  <si>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</si>
  <si>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</si>
  <si>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</si>
  <si>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</si>
  <si>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</si>
  <si>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</si>
  <si>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</si>
  <si>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</si>
  <si>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</si>
  <si>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</si>
  <si>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</si>
  <si>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</si>
  <si>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</si>
  <si>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</si>
  <si>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</si>
  <si>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</si>
  <si>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</si>
  <si>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</si>
  <si>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</si>
  <si>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</si>
  <si>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</si>
  <si>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</si>
  <si>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</si>
  <si>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</si>
  <si>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</si>
  <si>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</si>
  <si>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</si>
  <si>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</si>
  <si>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</si>
  <si>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</si>
  <si>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</si>
  <si>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</si>
  <si>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</si>
  <si>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</si>
  <si>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</si>
  <si>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</si>
  <si>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</si>
  <si>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</si>
  <si>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</si>
  <si>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</si>
  <si>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</si>
  <si>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</si>
  <si>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</si>
  <si>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</si>
  <si>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</si>
  <si>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</si>
  <si>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</si>
  <si>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</si>
  <si>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</si>
  <si>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</si>
  <si>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</si>
  <si>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</si>
  <si>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</si>
  <si>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</si>
  <si>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</si>
  <si>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</si>
  <si>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</si>
  <si>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</si>
  <si>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</si>
  <si>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</si>
  <si>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</si>
  <si>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</si>
  <si>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</si>
  <si>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</si>
  <si>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</si>
  <si>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</si>
  <si>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</si>
  <si>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</si>
  <si>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</si>
  <si>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</si>
  <si>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</si>
  <si>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</si>
  <si>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</si>
  <si>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</si>
  <si>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</si>
  <si>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</si>
  <si>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</si>
  <si>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</si>
  <si>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</si>
  <si>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</si>
  <si>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</si>
  <si>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</si>
  <si>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</si>
  <si>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</si>
  <si>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</si>
  <si>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</si>
  <si>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</si>
  <si>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</si>
  <si>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</si>
  <si>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</si>
  <si>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</si>
  <si>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</si>
  <si>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</si>
  <si>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</si>
  <si>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</si>
  <si>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</si>
  <si>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</si>
  <si>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</si>
  <si>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</si>
  <si>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</si>
  <si>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</si>
  <si>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</si>
  <si>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</si>
  <si>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</si>
  <si>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</si>
  <si>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</si>
  <si>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</si>
  <si>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</si>
  <si>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</si>
  <si>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</si>
  <si>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</si>
  <si>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</si>
  <si>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</si>
  <si>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 xml:space="preserve">・vector&lt;int&gt; の全要素の GCD を求めるため、vector&lt;int&gt; の全要素を </t>
    <rPh sb="14" eb="17">
      <t>ゼンヨウソ</t>
    </rPh>
    <rPh sb="24" eb="25">
      <t>モト</t>
    </rPh>
    <rPh sb="43" eb="46">
      <t>ゼンヨウソ</t>
    </rPh>
    <phoneticPr fontId="2"/>
  </si>
  <si>
    <t>sort し、小さい順に GCD を算出</t>
    <rPh sb="7" eb="8">
      <t>チイ</t>
    </rPh>
    <rPh sb="10" eb="11">
      <t>ジュン</t>
    </rPh>
    <rPh sb="18" eb="20">
      <t>サンシュツ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</si>
  <si>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</si>
  <si>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</si>
  <si>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</si>
  <si>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</si>
  <si>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</si>
  <si>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</si>
  <si>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</si>
  <si>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</si>
  <si>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</si>
  <si>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</si>
  <si>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</si>
  <si>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</si>
  <si>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</si>
  <si>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</si>
  <si>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</si>
  <si>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</si>
  <si>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</si>
  <si>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</si>
  <si>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for (int i = 0; i &lt; sColor.size(); i++)</t>
    <phoneticPr fontId="2"/>
  </si>
  <si>
    <t xml:space="preserve">    vnColor[ sColor[i] - '0' ]++;</t>
    <phoneticPr fontId="2"/>
  </si>
  <si>
    <t xml:space="preserve">  return min(vnColor[0], vnColor[1]) * 2;</t>
    <phoneticPr fontId="2"/>
  </si>
  <si>
    <t>map&lt;価格, 個数&gt;で実装可能</t>
    <rPh sb="4" eb="6">
      <t>カカク</t>
    </rPh>
    <rPh sb="8" eb="10">
      <t>コスウ</t>
    </rPh>
    <rPh sb="12" eb="14">
      <t>ジッソウ</t>
    </rPh>
    <rPh sb="14" eb="16">
      <t>カノウ</t>
    </rPh>
    <phoneticPr fontId="2"/>
  </si>
  <si>
    <t>ができる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</si>
  <si>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</si>
  <si>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</si>
  <si>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</si>
  <si>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</si>
  <si>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</si>
  <si>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</si>
  <si>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</si>
  <si>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</si>
  <si>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</si>
  <si>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</si>
  <si>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</si>
  <si>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</si>
  <si>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</si>
  <si>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</si>
  <si>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</si>
  <si>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</si>
  <si>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</si>
  <si>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</si>
  <si>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</si>
  <si>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</si>
  <si>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</si>
  <si>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</si>
  <si>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</si>
  <si>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</si>
  <si>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</si>
  <si>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>・被除数となる数列 an+1=7an+7 を考えると {an | (n=1～19)} の数列でしか考えられないので、</t>
    <rPh sb="22" eb="23">
      <t>カンガ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</si>
  <si>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</si>
  <si>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</si>
  <si>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</si>
  <si>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</si>
  <si>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</si>
  <si>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</si>
  <si>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</si>
  <si>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</si>
  <si>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</si>
  <si>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</si>
  <si>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</si>
  <si>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</si>
  <si>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</si>
  <si>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</si>
  <si>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</si>
  <si>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</si>
  <si>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</si>
  <si>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</si>
  <si>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</si>
  <si>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</si>
  <si>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</si>
  <si>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</si>
  <si>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 xml:space="preserve">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</t>
    </r>
    <rPh sb="5" eb="7">
      <t>カカク</t>
    </rPh>
    <rPh sb="16" eb="18">
      <t>コスウ</t>
    </rPh>
    <rPh sb="30" eb="32">
      <t>ドウイツ</t>
    </rPh>
    <rPh sb="32" eb="34">
      <t>カカク</t>
    </rPh>
    <rPh sb="35" eb="37">
      <t>カカク</t>
    </rPh>
    <rPh sb="43" eb="45">
      <t>バアイ</t>
    </rPh>
    <rPh sb="46" eb="48">
      <t>コスウ</t>
    </rPh>
    <rPh sb="49" eb="51">
      <t>コスウ</t>
    </rPh>
    <rPh sb="58" eb="60">
      <t>カサン</t>
    </rPh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</si>
  <si>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</si>
  <si>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</si>
  <si>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</si>
  <si>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</si>
  <si>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{an} を作成し、余りが循環するまで、余り== 0かを判定する</t>
    </r>
    <rPh sb="35" eb="36">
      <t>アマ</t>
    </rPh>
    <rPh sb="38" eb="40">
      <t>ジュンカン</t>
    </rPh>
    <rPh sb="45" eb="46">
      <t>アマ</t>
    </rPh>
    <rPh sb="53" eb="55">
      <t>ハンテイ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</si>
  <si>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</si>
  <si>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</si>
  <si>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</si>
  <si>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</si>
  <si>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</si>
  <si>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</si>
  <si>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</si>
  <si>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</si>
  <si>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</si>
  <si>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</si>
  <si>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</si>
  <si>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</si>
  <si>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</si>
  <si>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</si>
  <si>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</si>
  <si>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</si>
  <si>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</si>
  <si>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</si>
  <si>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</si>
  <si>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</si>
  <si>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</si>
  <si>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</si>
  <si>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</si>
  <si>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</si>
  <si>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</si>
  <si>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</si>
  <si>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</si>
  <si>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</si>
  <si>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</si>
  <si>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</si>
  <si>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</si>
  <si>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</si>
  <si>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</si>
  <si>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</si>
  <si>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</si>
  <si>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</si>
  <si>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</si>
  <si>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</si>
  <si>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</si>
  <si>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</si>
  <si>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</si>
  <si>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</si>
  <si>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</si>
  <si>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</si>
  <si>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</si>
  <si>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</si>
  <si>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</si>
  <si>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一回、リーダを決定し、全ての向く方向を変える人数をカウントしたら、次はリーダを変更しても、全ての向く方向を変える人数を</t>
    <rPh sb="11" eb="12">
      <t>スベ</t>
    </rPh>
    <phoneticPr fontId="2"/>
  </si>
  <si>
    <t>カウントしなくともよい</t>
    <phoneticPr fontId="2"/>
  </si>
  <si>
    <t>一番左をリーダとして、全ての向く方向を変える人数をカウントする</t>
    <rPh sb="0" eb="2">
      <t>イチバン</t>
    </rPh>
    <rPh sb="2" eb="3">
      <t>ヒダリ</t>
    </rPh>
    <rPh sb="11" eb="12">
      <t>スベ</t>
    </rPh>
    <rPh sb="14" eb="15">
      <t>ム</t>
    </rPh>
    <rPh sb="16" eb="18">
      <t>ホウコウ</t>
    </rPh>
    <rPh sb="19" eb="20">
      <t>カ</t>
    </rPh>
    <rPh sb="22" eb="24">
      <t>ニンズ</t>
    </rPh>
    <phoneticPr fontId="2"/>
  </si>
  <si>
    <t>次に左から二番目をリーダとして、参照すべきは、リーダの左の人の向きと、リーダ自身の向き(リーダはどちらを向いていてもよいため)</t>
    <rPh sb="0" eb="1">
      <t>ツギ</t>
    </rPh>
    <rPh sb="2" eb="3">
      <t>ヒダリ</t>
    </rPh>
    <rPh sb="5" eb="6">
      <t>ニ</t>
    </rPh>
    <rPh sb="6" eb="8">
      <t>バンメ</t>
    </rPh>
    <rPh sb="16" eb="18">
      <t>サンショウ</t>
    </rPh>
    <rPh sb="27" eb="28">
      <t>ヒダリ</t>
    </rPh>
    <rPh sb="29" eb="30">
      <t>ヒト</t>
    </rPh>
    <rPh sb="31" eb="32">
      <t>ム</t>
    </rPh>
    <rPh sb="38" eb="40">
      <t>ジシン</t>
    </rPh>
    <rPh sb="41" eb="42">
      <t>ム</t>
    </rPh>
    <rPh sb="52" eb="53">
      <t>ム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</si>
  <si>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</si>
  <si>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</si>
  <si>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</si>
  <si>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</si>
  <si>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</si>
  <si>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</si>
  <si>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</si>
  <si>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</si>
  <si>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</si>
  <si>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</si>
  <si>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</si>
  <si>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</si>
  <si>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</si>
  <si>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</si>
  <si>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</si>
  <si>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</si>
  <si>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</si>
  <si>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・登校順配列を作成する。登校順番をインデックスにして、各要素に出席番号を持たせる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</si>
  <si>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</si>
  <si>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</si>
  <si>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</si>
  <si>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</si>
  <si>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</si>
  <si>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</si>
  <si>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</si>
  <si>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</si>
  <si>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</si>
  <si>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</si>
  <si>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</si>
  <si>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</si>
  <si>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</si>
  <si>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</si>
  <si>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</si>
  <si>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</si>
  <si>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r>
      <t xml:space="preserve">  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10</t>
    </r>
    <r>
      <rPr>
        <sz val="10"/>
        <color theme="1"/>
        <rFont val="Meiryo UI"/>
        <family val="3"/>
        <charset val="128"/>
      </rPr>
      <t>＝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9</t>
    </r>
    <r>
      <rPr>
        <sz val="10"/>
        <color theme="1"/>
        <rFont val="Meiryo UI"/>
        <family val="3"/>
        <charset val="128"/>
      </rPr>
      <t>＝</t>
    </r>
    <r>
      <rPr>
        <sz val="11.5"/>
        <color theme="1"/>
        <rFont val="HGS明朝B"/>
        <family val="1"/>
        <charset val="128"/>
      </rPr>
      <t>92378</t>
    </r>
    <r>
      <rPr>
        <sz val="10"/>
        <color theme="1"/>
        <rFont val="Meiryo UI"/>
        <family val="3"/>
        <charset val="128"/>
      </rPr>
      <t xml:space="preserve"> なので十分検索可能</t>
    </r>
    <rPh sb="22" eb="24">
      <t>ジュウブン</t>
    </rPh>
    <rPh sb="24" eb="26">
      <t>ケンサク</t>
    </rPh>
    <rPh sb="26" eb="28">
      <t>カノウ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</si>
  <si>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となる数列の並べ方は 重複くみあわせにより </t>
    </r>
    <r>
      <rPr>
        <sz val="12"/>
        <color theme="1"/>
        <rFont val="BKM-cmmi10"/>
        <family val="2"/>
        <charset val="2"/>
      </rPr>
      <t>n</t>
    </r>
    <r>
      <rPr>
        <sz val="10"/>
        <color theme="1"/>
        <rFont val="Meiryo UI"/>
        <family val="3"/>
        <charset val="128"/>
      </rPr>
      <t>+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>-</t>
    </r>
    <r>
      <rPr>
        <sz val="11.5"/>
        <color theme="1"/>
        <rFont val="HGS明朝B"/>
        <family val="1"/>
        <charset val="128"/>
      </rPr>
      <t>1</t>
    </r>
    <r>
      <rPr>
        <sz val="12"/>
        <color theme="1"/>
        <rFont val="BKM-cmmi10"/>
        <family val="2"/>
        <charset val="2"/>
      </rPr>
      <t>Cn</t>
    </r>
    <r>
      <rPr>
        <sz val="10"/>
        <color theme="1"/>
        <rFont val="Meiryo UI"/>
        <family val="3"/>
        <charset val="128"/>
      </rPr>
      <t xml:space="preserve"> となる</t>
    </r>
    <rPh sb="21" eb="23">
      <t>スウレツ</t>
    </rPh>
    <rPh sb="24" eb="25">
      <t>ナラ</t>
    </rPh>
    <rPh sb="26" eb="27">
      <t>カタ</t>
    </rPh>
    <rPh sb="29" eb="31">
      <t>チョウフク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</si>
  <si>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となる数列を dfs で１つずつ作成し、その数列のポイントを算出する</t>
    </r>
    <rPh sb="21" eb="23">
      <t>スウレツ</t>
    </rPh>
    <rPh sb="34" eb="36">
      <t>サクセイ</t>
    </rPh>
    <rPh sb="40" eb="42">
      <t>スウレツ</t>
    </rPh>
    <rPh sb="48" eb="50">
      <t>サンシュツ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</si>
  <si>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</si>
  <si>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</si>
  <si>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</si>
  <si>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</si>
  <si>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</si>
  <si>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</si>
  <si>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</si>
  <si>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</si>
  <si>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</si>
  <si>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</si>
  <si>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</si>
  <si>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</si>
  <si>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</si>
  <si>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</si>
  <si>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</si>
  <si>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</si>
  <si>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</si>
  <si>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</si>
  <si>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</si>
  <si>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</si>
  <si>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</si>
  <si>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</si>
  <si>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</si>
  <si>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</si>
  <si>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 xml:space="preserve">  第２ループ：高さ配列[n] ≧ 高さ配列[n＋1] の間、移動回数をカウントし、添え字を進める</t>
    <rPh sb="2" eb="3">
      <t>ダイ</t>
    </rPh>
    <rPh sb="8" eb="9">
      <t>タカ</t>
    </rPh>
    <rPh sb="10" eb="12">
      <t>ハイレツ</t>
    </rPh>
    <rPh sb="18" eb="19">
      <t>タカ</t>
    </rPh>
    <rPh sb="20" eb="22">
      <t>ハイレツ</t>
    </rPh>
    <rPh sb="29" eb="30">
      <t>アイダ</t>
    </rPh>
    <rPh sb="31" eb="33">
      <t>イドウ</t>
    </rPh>
    <rPh sb="33" eb="35">
      <t>カイスウ</t>
    </rPh>
    <rPh sb="42" eb="43">
      <t>ソ</t>
    </rPh>
    <rPh sb="44" eb="45">
      <t>ジ</t>
    </rPh>
    <rPh sb="46" eb="47">
      <t>スス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</si>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</sst>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2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</fonts>
  <fills count="10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2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1" fillId="0" borderId="5" xfId="0" applyFont="1" applyBorder="1" applyAlignment="1">
      <alignment vertical="center"/>
    </xf>
    <xf numFmtId="0" fontId="26" fillId="0" borderId="7" xfId="1" quotePrefix="1" applyFont="1" applyBorder="1" applyAlignment="1">
      <alignment vertical="center"/>
    </xf>
    <xf numFmtId="0" fontId="26" fillId="0" borderId="0" xfId="1" quotePrefix="1" applyFont="1" applyBorder="1" applyAlignment="1">
      <alignment vertical="center"/>
    </xf>
    <xf numFmtId="0" fontId="26" fillId="0" borderId="8" xfId="1" quotePrefix="1" applyFont="1" applyBorder="1" applyAlignment="1">
      <alignment vertical="center"/>
    </xf>
    <xf numFmtId="0" fontId="22" fillId="0" borderId="7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3" fillId="0" borderId="5" xfId="1" applyFont="1" applyFill="1" applyBorder="1" applyAlignment="1">
      <alignment vertical="center" wrapText="1"/>
    </xf>
    <xf numFmtId="9" fontId="24" fillId="0" borderId="5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6" fillId="0" borderId="7" xfId="1" applyFont="1" applyFill="1" applyBorder="1" applyAlignment="1">
      <alignment vertical="center"/>
    </xf>
    <xf numFmtId="0" fontId="26" fillId="0" borderId="0" xfId="1" applyFont="1" applyFill="1" applyBorder="1" applyAlignment="1">
      <alignment vertical="center"/>
    </xf>
    <xf numFmtId="0" fontId="26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3" fillId="0" borderId="5" xfId="1" applyNumberFormat="1" applyFont="1" applyFill="1" applyBorder="1" applyAlignment="1">
      <alignment vertical="center" wrapText="1"/>
    </xf>
    <xf numFmtId="49" fontId="26" fillId="0" borderId="7" xfId="1" applyNumberFormat="1" applyFont="1" applyFill="1" applyBorder="1" applyAlignment="1">
      <alignment vertical="center"/>
    </xf>
    <xf numFmtId="49" fontId="26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6" fillId="0" borderId="8" xfId="1" applyNumberFormat="1" applyFont="1" applyFill="1" applyBorder="1" applyAlignment="1">
      <alignment vertical="center"/>
    </xf>
    <xf numFmtId="0" fontId="22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9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2" fillId="0" borderId="0" xfId="0" applyNumberFormat="1" applyFont="1" applyFill="1" applyBorder="1" applyAlignment="1">
      <alignment vertical="center"/>
    </xf>
    <xf numFmtId="49" fontId="10" fillId="6" borderId="5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49" fontId="10" fillId="6" borderId="5" xfId="0" applyNumberFormat="1" applyFont="1" applyFill="1" applyBorder="1" applyAlignment="1">
      <alignment vertical="center" wrapText="1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2" fillId="0" borderId="2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22" fillId="0" borderId="8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8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313</xdr:row>
      <xdr:rowOff>33337</xdr:rowOff>
    </xdr:from>
    <xdr:to>
      <xdr:col>16</xdr:col>
      <xdr:colOff>38100</xdr:colOff>
      <xdr:row>313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315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314</xdr:row>
      <xdr:rowOff>35719</xdr:rowOff>
    </xdr:from>
    <xdr:to>
      <xdr:col>21</xdr:col>
      <xdr:colOff>133350</xdr:colOff>
      <xdr:row>315</xdr:row>
      <xdr:rowOff>0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349"/>
  <sheetViews>
    <sheetView tabSelected="1" zoomScale="115" zoomScaleNormal="115" workbookViewId="0">
      <pane xSplit="7" ySplit="4" topLeftCell="H167" activePane="bottomRight" state="frozen"/>
      <selection pane="topRight" activeCell="H1" sqref="H1"/>
      <selection pane="bottomLeft" activeCell="A5" sqref="A5"/>
      <selection pane="bottomRight" activeCell="P176" sqref="P176"/>
    </sheetView>
  </sheetViews>
  <sheetFormatPr defaultColWidth="2.625" defaultRowHeight="14.25" outlineLevelCol="1" x14ac:dyDescent="0.15"/>
  <cols>
    <col min="1" max="1" width="0.5" style="57" customWidth="1"/>
    <col min="2" max="2" width="3.5" style="93" bestFit="1" customWidth="1"/>
    <col min="3" max="4" width="3.25" style="93" customWidth="1"/>
    <col min="5" max="5" width="16.125" style="66" customWidth="1" outlineLevel="1"/>
    <col min="6" max="6" width="7.5" style="66" customWidth="1" outlineLevel="1"/>
    <col min="7" max="7" width="40.375" style="66" bestFit="1" customWidth="1"/>
    <col min="8" max="8" width="14.625" style="94" bestFit="1" customWidth="1"/>
    <col min="9" max="9" width="6.125" style="93" bestFit="1" customWidth="1"/>
    <col min="10" max="79" width="2.625" style="66" customWidth="1"/>
    <col min="80" max="80" width="5.5" style="66" customWidth="1"/>
    <col min="81" max="85" width="2.625" style="66"/>
    <col min="86" max="16384" width="2.625" style="57"/>
  </cols>
  <sheetData>
    <row r="1" spans="1:130" s="46" customFormat="1" ht="3" customHeight="1" x14ac:dyDescent="0.15">
      <c r="A1" s="43"/>
      <c r="B1" s="44"/>
      <c r="C1" s="44"/>
      <c r="D1" s="44"/>
      <c r="E1" s="43"/>
      <c r="F1" s="43"/>
      <c r="G1" s="43"/>
      <c r="H1" s="45"/>
      <c r="I1" s="44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3"/>
      <c r="BK1" s="43"/>
      <c r="BL1" s="43"/>
      <c r="BM1" s="43"/>
      <c r="BN1" s="43"/>
      <c r="BO1" s="43"/>
      <c r="BP1" s="43"/>
      <c r="BQ1" s="43"/>
      <c r="BR1" s="43"/>
      <c r="BS1" s="43"/>
      <c r="BT1" s="43"/>
      <c r="BU1" s="43"/>
      <c r="BV1" s="43"/>
      <c r="BW1" s="43"/>
      <c r="BX1" s="43"/>
      <c r="BY1" s="43"/>
      <c r="BZ1" s="43"/>
      <c r="CA1" s="43"/>
      <c r="CB1" s="43"/>
      <c r="CC1" s="43"/>
      <c r="CD1" s="43"/>
      <c r="CE1" s="43"/>
      <c r="CF1" s="43"/>
      <c r="CG1" s="43"/>
      <c r="CH1" s="43"/>
      <c r="CI1" s="43"/>
      <c r="CJ1" s="43"/>
      <c r="CK1" s="43"/>
      <c r="CL1" s="43"/>
      <c r="CM1" s="43"/>
      <c r="CN1" s="43"/>
      <c r="CO1" s="43"/>
      <c r="CP1" s="43"/>
      <c r="CQ1" s="43"/>
      <c r="CR1" s="43"/>
      <c r="CS1" s="43"/>
      <c r="CT1" s="43"/>
      <c r="CU1" s="43"/>
      <c r="CV1" s="43"/>
      <c r="CW1" s="43"/>
      <c r="CX1" s="43"/>
      <c r="CY1" s="43"/>
      <c r="CZ1" s="43"/>
      <c r="DA1" s="43"/>
      <c r="DB1" s="43"/>
      <c r="DC1" s="43"/>
      <c r="DD1" s="43"/>
      <c r="DE1" s="43"/>
      <c r="DF1" s="43"/>
      <c r="DG1" s="43"/>
      <c r="DH1" s="43"/>
      <c r="DI1" s="43"/>
      <c r="DJ1" s="43"/>
      <c r="DK1" s="43"/>
      <c r="DL1" s="43"/>
      <c r="DM1" s="43"/>
      <c r="DN1" s="43"/>
      <c r="DO1" s="43"/>
      <c r="DP1" s="43"/>
      <c r="DQ1" s="43"/>
      <c r="DR1" s="43"/>
      <c r="DS1" s="43"/>
      <c r="DT1" s="43"/>
      <c r="DU1" s="43"/>
      <c r="DV1" s="43"/>
      <c r="DW1" s="43"/>
      <c r="DX1" s="43"/>
      <c r="DY1" s="43"/>
      <c r="DZ1" s="43"/>
    </row>
    <row r="2" spans="1:130" s="46" customFormat="1" ht="16.5" x14ac:dyDescent="0.15">
      <c r="A2" s="47"/>
      <c r="B2" s="111" t="s">
        <v>8</v>
      </c>
      <c r="C2" s="116" t="s">
        <v>231</v>
      </c>
      <c r="D2" s="116" t="s">
        <v>232</v>
      </c>
      <c r="E2" s="109" t="s">
        <v>141</v>
      </c>
      <c r="F2" s="110"/>
      <c r="G2" s="110"/>
      <c r="H2" s="113" t="s">
        <v>10</v>
      </c>
      <c r="I2" s="115" t="s">
        <v>11</v>
      </c>
      <c r="J2" s="109" t="s">
        <v>233</v>
      </c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117"/>
      <c r="V2" s="117"/>
      <c r="W2" s="117"/>
      <c r="X2" s="117"/>
      <c r="Y2" s="117"/>
      <c r="Z2" s="117"/>
      <c r="AA2" s="117"/>
      <c r="AB2" s="117"/>
      <c r="AC2" s="117"/>
      <c r="AD2" s="117"/>
      <c r="AE2" s="117"/>
      <c r="AF2" s="117"/>
      <c r="AG2" s="117"/>
      <c r="AH2" s="117"/>
      <c r="AI2" s="117"/>
      <c r="AJ2" s="118"/>
      <c r="AK2" s="118"/>
      <c r="AL2" s="118"/>
      <c r="AM2" s="118"/>
      <c r="AN2" s="118"/>
      <c r="AO2" s="118"/>
      <c r="AP2" s="118"/>
      <c r="AQ2" s="118"/>
      <c r="AR2" s="119"/>
      <c r="AS2" s="109" t="s">
        <v>401</v>
      </c>
      <c r="AT2" s="124"/>
      <c r="AU2" s="124"/>
      <c r="AV2" s="124"/>
      <c r="AW2" s="124"/>
      <c r="AX2" s="124"/>
      <c r="AY2" s="124"/>
      <c r="AZ2" s="124"/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124"/>
      <c r="BX2" s="124"/>
      <c r="BY2" s="124"/>
      <c r="BZ2" s="124"/>
      <c r="CA2" s="125"/>
      <c r="CB2" s="107" t="s">
        <v>12</v>
      </c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  <c r="CW2" s="43"/>
      <c r="CX2" s="43"/>
      <c r="CY2" s="43"/>
      <c r="CZ2" s="43"/>
      <c r="DA2" s="43"/>
      <c r="DB2" s="43"/>
      <c r="DC2" s="43"/>
      <c r="DD2" s="43"/>
      <c r="DE2" s="43"/>
      <c r="DF2" s="43"/>
      <c r="DG2" s="43"/>
      <c r="DH2" s="43"/>
      <c r="DI2" s="43"/>
      <c r="DJ2" s="43"/>
      <c r="DK2" s="43"/>
      <c r="DL2" s="43"/>
      <c r="DM2" s="43"/>
      <c r="DN2" s="43"/>
      <c r="DO2" s="43"/>
      <c r="DP2" s="43"/>
      <c r="DQ2" s="43"/>
      <c r="DR2" s="43"/>
      <c r="DS2" s="43"/>
      <c r="DT2" s="43"/>
      <c r="DU2" s="43"/>
      <c r="DV2" s="43"/>
      <c r="DW2" s="43"/>
      <c r="DX2" s="43"/>
      <c r="DY2" s="43"/>
      <c r="DZ2" s="43"/>
    </row>
    <row r="3" spans="1:130" s="46" customFormat="1" ht="16.5" x14ac:dyDescent="0.15">
      <c r="A3" s="47"/>
      <c r="B3" s="112"/>
      <c r="C3" s="112"/>
      <c r="D3" s="112"/>
      <c r="E3" s="36" t="s">
        <v>137</v>
      </c>
      <c r="F3" s="36" t="s">
        <v>138</v>
      </c>
      <c r="G3" s="36" t="s">
        <v>9</v>
      </c>
      <c r="H3" s="114"/>
      <c r="I3" s="112"/>
      <c r="J3" s="120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2"/>
      <c r="AK3" s="122"/>
      <c r="AL3" s="122"/>
      <c r="AM3" s="122"/>
      <c r="AN3" s="122"/>
      <c r="AO3" s="122"/>
      <c r="AP3" s="122"/>
      <c r="AQ3" s="122"/>
      <c r="AR3" s="123"/>
      <c r="AS3" s="126"/>
      <c r="AT3" s="127"/>
      <c r="AU3" s="127"/>
      <c r="AV3" s="127"/>
      <c r="AW3" s="127"/>
      <c r="AX3" s="127"/>
      <c r="AY3" s="127"/>
      <c r="AZ3" s="127"/>
      <c r="BA3" s="127"/>
      <c r="BB3" s="127"/>
      <c r="BC3" s="127"/>
      <c r="BD3" s="127"/>
      <c r="BE3" s="127"/>
      <c r="BF3" s="127"/>
      <c r="BG3" s="127"/>
      <c r="BH3" s="127"/>
      <c r="BI3" s="127"/>
      <c r="BJ3" s="127"/>
      <c r="BK3" s="127"/>
      <c r="BL3" s="127"/>
      <c r="BM3" s="127"/>
      <c r="BN3" s="127"/>
      <c r="BO3" s="127"/>
      <c r="BP3" s="127"/>
      <c r="BQ3" s="127"/>
      <c r="BR3" s="127"/>
      <c r="BS3" s="127"/>
      <c r="BT3" s="127"/>
      <c r="BU3" s="127"/>
      <c r="BV3" s="127"/>
      <c r="BW3" s="127"/>
      <c r="BX3" s="127"/>
      <c r="BY3" s="127"/>
      <c r="BZ3" s="127"/>
      <c r="CA3" s="128"/>
      <c r="CB3" s="108"/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</row>
    <row r="4" spans="1:130" s="46" customFormat="1" ht="8.1" customHeight="1" x14ac:dyDescent="0.15">
      <c r="B4" s="48"/>
      <c r="C4" s="48"/>
      <c r="D4" s="48"/>
      <c r="E4" s="49"/>
      <c r="F4" s="49"/>
      <c r="G4" s="49"/>
      <c r="H4" s="50"/>
      <c r="I4" s="48"/>
      <c r="J4" s="51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M4" s="52"/>
      <c r="AN4" s="52"/>
      <c r="AO4" s="52"/>
      <c r="AP4" s="52"/>
      <c r="AQ4" s="52"/>
      <c r="AR4" s="53"/>
      <c r="AS4" s="54"/>
      <c r="AT4" s="55"/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55"/>
      <c r="BK4" s="55"/>
      <c r="BL4" s="55"/>
      <c r="BM4" s="55"/>
      <c r="BN4" s="55"/>
      <c r="BO4" s="55"/>
      <c r="BP4" s="55"/>
      <c r="BQ4" s="55"/>
      <c r="BR4" s="55"/>
      <c r="BS4" s="55"/>
      <c r="BT4" s="55"/>
      <c r="BU4" s="55"/>
      <c r="BV4" s="55"/>
      <c r="BW4" s="55"/>
      <c r="BX4" s="55"/>
      <c r="BY4" s="55"/>
      <c r="BZ4" s="55"/>
      <c r="CA4" s="56"/>
      <c r="CB4" s="49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  <c r="CW4" s="43"/>
      <c r="CX4" s="43"/>
      <c r="CY4" s="43"/>
      <c r="CZ4" s="43"/>
      <c r="DA4" s="43"/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43"/>
      <c r="DS4" s="43"/>
      <c r="DT4" s="43"/>
      <c r="DU4" s="43"/>
      <c r="DV4" s="43"/>
      <c r="DW4" s="43"/>
      <c r="DX4" s="43"/>
      <c r="DY4" s="43"/>
      <c r="DZ4" s="43"/>
    </row>
    <row r="5" spans="1:130" x14ac:dyDescent="0.15">
      <c r="B5" s="58">
        <f>IF(G5&lt;&gt;"",SUBTOTAL(3,$G$5:G5),"")</f>
        <v>1</v>
      </c>
      <c r="C5" s="58"/>
      <c r="D5" s="58"/>
      <c r="E5" s="59" t="s">
        <v>140</v>
      </c>
      <c r="F5" s="59" t="s">
        <v>135</v>
      </c>
      <c r="G5" s="60" t="s">
        <v>143</v>
      </c>
      <c r="H5" s="61">
        <v>43960</v>
      </c>
      <c r="I5" s="62"/>
      <c r="J5" s="63" t="s">
        <v>356</v>
      </c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5"/>
      <c r="AS5" s="63"/>
      <c r="AT5" s="64"/>
      <c r="AU5" s="64"/>
      <c r="AV5" s="64"/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64"/>
      <c r="BV5" s="64"/>
      <c r="BW5" s="64"/>
      <c r="BX5" s="64"/>
      <c r="BY5" s="64"/>
      <c r="BZ5" s="64"/>
      <c r="CA5" s="65"/>
      <c r="CB5" s="60"/>
      <c r="CH5" s="64"/>
      <c r="CI5" s="64"/>
      <c r="CJ5" s="64"/>
      <c r="CK5" s="64"/>
      <c r="CL5" s="64"/>
      <c r="CM5" s="64"/>
      <c r="CN5" s="64"/>
      <c r="CO5" s="64"/>
      <c r="CP5" s="64"/>
      <c r="CQ5" s="64"/>
      <c r="CR5" s="64"/>
      <c r="CS5" s="64"/>
      <c r="CT5" s="64"/>
      <c r="CU5" s="64"/>
      <c r="CV5" s="64"/>
      <c r="CW5" s="64"/>
      <c r="CX5" s="64"/>
      <c r="CY5" s="64"/>
      <c r="CZ5" s="64"/>
      <c r="DA5" s="64"/>
      <c r="DB5" s="64"/>
      <c r="DC5" s="64"/>
      <c r="DD5" s="64"/>
      <c r="DE5" s="64"/>
      <c r="DF5" s="64"/>
      <c r="DG5" s="64"/>
      <c r="DH5" s="64"/>
      <c r="DI5" s="64"/>
      <c r="DJ5" s="64"/>
      <c r="DK5" s="64"/>
      <c r="DL5" s="64"/>
      <c r="DM5" s="64"/>
      <c r="DN5" s="64"/>
      <c r="DO5" s="64"/>
      <c r="DP5" s="64"/>
      <c r="DQ5" s="64"/>
      <c r="DR5" s="64"/>
      <c r="DS5" s="64"/>
      <c r="DT5" s="64"/>
      <c r="DU5" s="64"/>
      <c r="DV5" s="64"/>
      <c r="DW5" s="64"/>
      <c r="DX5" s="64"/>
      <c r="DY5" s="64"/>
      <c r="DZ5" s="64"/>
    </row>
    <row r="6" spans="1:130" x14ac:dyDescent="0.15">
      <c r="B6" s="58" t="str">
        <f>IF(G6&lt;&gt;"",SUBTOTAL(3,$G$5:G6),"")</f>
        <v/>
      </c>
      <c r="C6" s="58"/>
      <c r="D6" s="58"/>
      <c r="E6" s="59"/>
      <c r="F6" s="59"/>
      <c r="G6" s="60"/>
      <c r="H6" s="61"/>
      <c r="I6" s="62"/>
      <c r="J6" s="63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5"/>
      <c r="AS6" s="63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5"/>
      <c r="CB6" s="60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</row>
    <row r="7" spans="1:130" x14ac:dyDescent="0.15">
      <c r="B7" s="58">
        <f>IF(G7&lt;&gt;"",SUBTOTAL(3,$G$5:G7),"")</f>
        <v>2</v>
      </c>
      <c r="C7" s="58"/>
      <c r="D7" s="58"/>
      <c r="E7" s="59" t="s">
        <v>139</v>
      </c>
      <c r="F7" s="59" t="s">
        <v>135</v>
      </c>
      <c r="G7" s="60" t="s">
        <v>144</v>
      </c>
      <c r="H7" s="61">
        <v>43871</v>
      </c>
      <c r="I7" s="62">
        <v>1</v>
      </c>
      <c r="J7" s="63" t="s">
        <v>464</v>
      </c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5"/>
      <c r="AS7" s="63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5"/>
      <c r="CB7" s="60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</row>
    <row r="8" spans="1:130" x14ac:dyDescent="0.15">
      <c r="B8" s="99" t="str">
        <f>IF(G8&lt;&gt;"",SUBTOTAL(3,$G$5:G8),"")</f>
        <v/>
      </c>
      <c r="C8" s="58"/>
      <c r="D8" s="58"/>
      <c r="E8" s="59"/>
      <c r="F8" s="59"/>
      <c r="G8" s="60"/>
      <c r="H8" s="61"/>
      <c r="I8" s="70">
        <v>1</v>
      </c>
      <c r="J8" s="63" t="s">
        <v>465</v>
      </c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5"/>
      <c r="AS8" s="63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5"/>
      <c r="CB8" s="60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</row>
    <row r="9" spans="1:130" x14ac:dyDescent="0.15">
      <c r="B9" s="99" t="str">
        <f>IF(G9&lt;&gt;"",SUBTOTAL(3,$G$5:G9),"")</f>
        <v/>
      </c>
      <c r="C9" s="58"/>
      <c r="D9" s="58"/>
      <c r="E9" s="59"/>
      <c r="F9" s="59"/>
      <c r="G9" s="60"/>
      <c r="H9" s="61"/>
      <c r="I9" s="70">
        <v>1</v>
      </c>
      <c r="J9" s="63" t="s">
        <v>466</v>
      </c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5"/>
      <c r="AS9" s="63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5"/>
      <c r="CB9" s="60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</row>
    <row r="10" spans="1:130" x14ac:dyDescent="0.15">
      <c r="B10" s="99" t="str">
        <f>IF(G10&lt;&gt;"",SUBTOTAL(3,$G$5:G10),"")</f>
        <v/>
      </c>
      <c r="C10" s="58"/>
      <c r="D10" s="58"/>
      <c r="E10" s="59"/>
      <c r="F10" s="59"/>
      <c r="G10" s="60"/>
      <c r="H10" s="61"/>
      <c r="I10" s="70">
        <v>1</v>
      </c>
      <c r="J10" s="63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5"/>
      <c r="AS10" s="63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5"/>
      <c r="CB10" s="60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4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</row>
    <row r="11" spans="1:130" x14ac:dyDescent="0.15">
      <c r="B11" s="58">
        <f>IF(G11&lt;&gt;"",SUBTOTAL(3,$G$5:G11),"")</f>
        <v>3</v>
      </c>
      <c r="C11" s="58"/>
      <c r="D11" s="58"/>
      <c r="E11" s="59" t="s">
        <v>139</v>
      </c>
      <c r="F11" s="59" t="s">
        <v>135</v>
      </c>
      <c r="G11" s="60" t="s">
        <v>145</v>
      </c>
      <c r="H11" s="61">
        <v>43995</v>
      </c>
      <c r="I11" s="62">
        <v>0.5</v>
      </c>
      <c r="J11" s="63" t="s">
        <v>238</v>
      </c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5"/>
      <c r="AS11" s="63" t="s">
        <v>241</v>
      </c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5"/>
      <c r="CB11" s="67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</row>
    <row r="12" spans="1:130" x14ac:dyDescent="0.15">
      <c r="B12" s="58" t="str">
        <f>IF(G12&lt;&gt;"",SUBTOTAL(3,$G$5:G12),"")</f>
        <v/>
      </c>
      <c r="C12" s="58"/>
      <c r="D12" s="58"/>
      <c r="E12" s="59"/>
      <c r="F12" s="59"/>
      <c r="G12" s="60"/>
      <c r="H12" s="61"/>
      <c r="I12" s="68">
        <v>0.5</v>
      </c>
      <c r="J12" s="63" t="s">
        <v>240</v>
      </c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5"/>
      <c r="AS12" s="63" t="s">
        <v>360</v>
      </c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5"/>
      <c r="CB12" s="67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</row>
    <row r="13" spans="1:130" x14ac:dyDescent="0.15">
      <c r="B13" s="58" t="str">
        <f>IF(G13&lt;&gt;"",SUBTOTAL(3,$G$5:G13),"")</f>
        <v/>
      </c>
      <c r="C13" s="58"/>
      <c r="D13" s="58"/>
      <c r="E13" s="59"/>
      <c r="F13" s="59"/>
      <c r="G13" s="60"/>
      <c r="H13" s="61"/>
      <c r="I13" s="68">
        <v>0.5</v>
      </c>
      <c r="J13" s="63" t="s">
        <v>239</v>
      </c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5"/>
      <c r="AS13" s="63" t="s">
        <v>361</v>
      </c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5"/>
      <c r="CB13" s="67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4"/>
      <c r="CV13" s="64"/>
      <c r="CW13" s="64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</row>
    <row r="14" spans="1:130" x14ac:dyDescent="0.15">
      <c r="B14" s="58" t="str">
        <f>IF(G14&lt;&gt;"",SUBTOTAL(3,$G$5:G14),"")</f>
        <v/>
      </c>
      <c r="C14" s="58"/>
      <c r="D14" s="58"/>
      <c r="E14" s="59"/>
      <c r="F14" s="59"/>
      <c r="G14" s="60"/>
      <c r="H14" s="61"/>
      <c r="I14" s="68">
        <v>0.5</v>
      </c>
      <c r="J14" s="63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5"/>
      <c r="AS14" s="63" t="s">
        <v>362</v>
      </c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5"/>
      <c r="CB14" s="67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</row>
    <row r="15" spans="1:130" x14ac:dyDescent="0.15">
      <c r="B15" s="58" t="str">
        <f>IF(G15&lt;&gt;"",SUBTOTAL(3,$G$5:G15),"")</f>
        <v/>
      </c>
      <c r="C15" s="58"/>
      <c r="D15" s="58"/>
      <c r="E15" s="59"/>
      <c r="F15" s="59"/>
      <c r="G15" s="60"/>
      <c r="H15" s="61"/>
      <c r="I15" s="68">
        <v>0.5</v>
      </c>
      <c r="J15" s="63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5"/>
      <c r="AS15" s="63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5"/>
      <c r="CB15" s="67"/>
      <c r="CH15" s="64"/>
      <c r="CI15" s="64"/>
      <c r="CJ15" s="64"/>
      <c r="CK15" s="64"/>
      <c r="CL15" s="64"/>
      <c r="CM15" s="64"/>
      <c r="CN15" s="64"/>
      <c r="CO15" s="64"/>
      <c r="CP15" s="64"/>
      <c r="CQ15" s="64"/>
      <c r="CR15" s="64"/>
      <c r="CS15" s="64"/>
      <c r="CT15" s="64"/>
      <c r="CU15" s="64"/>
      <c r="CV15" s="64"/>
      <c r="CW15" s="64"/>
      <c r="CX15" s="64"/>
      <c r="CY15" s="64"/>
      <c r="CZ15" s="64"/>
      <c r="DA15" s="64"/>
      <c r="DB15" s="64"/>
      <c r="DC15" s="64"/>
      <c r="DD15" s="64"/>
      <c r="DE15" s="64"/>
      <c r="DF15" s="64"/>
      <c r="DG15" s="64"/>
      <c r="DH15" s="64"/>
      <c r="DI15" s="64"/>
      <c r="DJ15" s="64"/>
      <c r="DK15" s="64"/>
      <c r="DL15" s="64"/>
      <c r="DM15" s="64"/>
      <c r="DN15" s="64"/>
      <c r="DO15" s="64"/>
      <c r="DP15" s="64"/>
      <c r="DQ15" s="64"/>
      <c r="DR15" s="64"/>
      <c r="DS15" s="64"/>
      <c r="DT15" s="64"/>
      <c r="DU15" s="64"/>
      <c r="DV15" s="64"/>
      <c r="DW15" s="64"/>
      <c r="DX15" s="64"/>
      <c r="DY15" s="64"/>
      <c r="DZ15" s="64"/>
    </row>
    <row r="16" spans="1:130" x14ac:dyDescent="0.15">
      <c r="B16" s="58" t="str">
        <f>IF(G16&lt;&gt;"",SUBTOTAL(3,$G$5:G16),"")</f>
        <v/>
      </c>
      <c r="C16" s="58"/>
      <c r="D16" s="58"/>
      <c r="E16" s="59"/>
      <c r="F16" s="59"/>
      <c r="G16" s="60"/>
      <c r="H16" s="61"/>
      <c r="I16" s="68">
        <v>0.5</v>
      </c>
      <c r="J16" s="63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5"/>
      <c r="AS16" s="63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5"/>
      <c r="CB16" s="67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4"/>
      <c r="CV16" s="64"/>
      <c r="CW16" s="64"/>
      <c r="CX16" s="64"/>
      <c r="CY16" s="64"/>
      <c r="CZ16" s="64"/>
      <c r="DA16" s="64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</row>
    <row r="17" spans="2:130" x14ac:dyDescent="0.15">
      <c r="B17" s="58">
        <f>IF(G17&lt;&gt;"",SUBTOTAL(3,$G$5:G17),"")</f>
        <v>4</v>
      </c>
      <c r="C17" s="58"/>
      <c r="D17" s="58"/>
      <c r="E17" s="105" t="s">
        <v>139</v>
      </c>
      <c r="F17" s="105" t="s">
        <v>135</v>
      </c>
      <c r="G17" s="106" t="s">
        <v>146</v>
      </c>
      <c r="H17" s="103">
        <v>43995</v>
      </c>
      <c r="I17" s="62"/>
      <c r="J17" s="63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5"/>
      <c r="AS17" s="63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5"/>
      <c r="CB17" s="60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</row>
    <row r="18" spans="2:130" x14ac:dyDescent="0.15">
      <c r="B18" s="58">
        <f>IF(G18&lt;&gt;"",SUBTOTAL(3,$G$5:G18),"")</f>
        <v>5</v>
      </c>
      <c r="C18" s="58"/>
      <c r="D18" s="58"/>
      <c r="E18" s="105" t="s">
        <v>139</v>
      </c>
      <c r="F18" s="105" t="s">
        <v>135</v>
      </c>
      <c r="G18" s="106" t="s">
        <v>147</v>
      </c>
      <c r="H18" s="103">
        <v>43869</v>
      </c>
      <c r="I18" s="62"/>
      <c r="J18" s="63"/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5"/>
      <c r="AS18" s="63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5"/>
      <c r="CB18" s="60"/>
      <c r="CH18" s="64"/>
      <c r="CI18" s="64"/>
      <c r="CJ18" s="69"/>
      <c r="CK18" s="69"/>
      <c r="CL18" s="69"/>
      <c r="CM18" s="69"/>
      <c r="CN18" s="69"/>
      <c r="CO18" s="69"/>
      <c r="CP18" s="69"/>
      <c r="CQ18" s="69"/>
      <c r="CR18" s="69"/>
      <c r="CS18" s="69"/>
      <c r="CT18" s="64"/>
      <c r="CU18" s="64"/>
      <c r="CV18" s="64"/>
      <c r="CW18" s="64"/>
      <c r="CX18" s="64"/>
      <c r="CY18" s="64"/>
      <c r="CZ18" s="64"/>
      <c r="DA18" s="64"/>
      <c r="DB18" s="64"/>
      <c r="DC18" s="64"/>
      <c r="DD18" s="64"/>
      <c r="DE18" s="64"/>
      <c r="DF18" s="64"/>
      <c r="DG18" s="69"/>
      <c r="DH18" s="69"/>
      <c r="DI18" s="69"/>
      <c r="DJ18" s="69"/>
      <c r="DK18" s="69"/>
      <c r="DL18" s="69"/>
      <c r="DM18" s="69"/>
      <c r="DN18" s="69"/>
      <c r="DO18" s="69"/>
      <c r="DP18" s="69"/>
      <c r="DQ18" s="64"/>
      <c r="DR18" s="64"/>
      <c r="DS18" s="64"/>
      <c r="DT18" s="64"/>
      <c r="DU18" s="64"/>
      <c r="DV18" s="64"/>
      <c r="DW18" s="64"/>
      <c r="DX18" s="64"/>
      <c r="DY18" s="64"/>
      <c r="DZ18" s="64"/>
    </row>
    <row r="19" spans="2:130" x14ac:dyDescent="0.15">
      <c r="B19" s="58">
        <f>IF(G19&lt;&gt;"",SUBTOTAL(3,$G$5:G19),"")</f>
        <v>6</v>
      </c>
      <c r="C19" s="58"/>
      <c r="D19" s="58"/>
      <c r="E19" s="105" t="s">
        <v>139</v>
      </c>
      <c r="F19" s="105" t="s">
        <v>135</v>
      </c>
      <c r="G19" s="106" t="s">
        <v>148</v>
      </c>
      <c r="H19" s="103">
        <v>43871</v>
      </c>
      <c r="I19" s="62"/>
      <c r="J19" s="63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5"/>
      <c r="AS19" s="63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5"/>
      <c r="CB19" s="60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</row>
    <row r="20" spans="2:130" x14ac:dyDescent="0.15">
      <c r="B20" s="58">
        <f>IF(G20&lt;&gt;"",SUBTOTAL(3,$G$5:G20),"")</f>
        <v>7</v>
      </c>
      <c r="C20" s="58"/>
      <c r="D20" s="58"/>
      <c r="E20" s="105" t="s">
        <v>139</v>
      </c>
      <c r="F20" s="105" t="s">
        <v>135</v>
      </c>
      <c r="G20" s="106" t="s">
        <v>149</v>
      </c>
      <c r="H20" s="103">
        <v>44006</v>
      </c>
      <c r="I20" s="62"/>
      <c r="J20" s="63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5"/>
      <c r="AS20" s="63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5"/>
      <c r="CB20" s="60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</row>
    <row r="21" spans="2:130" x14ac:dyDescent="0.15">
      <c r="B21" s="58">
        <f>IF(G21&lt;&gt;"",SUBTOTAL(3,$G$5:G21),"")</f>
        <v>8</v>
      </c>
      <c r="C21" s="58"/>
      <c r="D21" s="58"/>
      <c r="E21" s="59" t="s">
        <v>139</v>
      </c>
      <c r="F21" s="59" t="s">
        <v>135</v>
      </c>
      <c r="G21" s="60" t="s">
        <v>150</v>
      </c>
      <c r="H21" s="61">
        <v>43869</v>
      </c>
      <c r="I21" s="70">
        <v>1</v>
      </c>
      <c r="J21" s="63" t="s">
        <v>242</v>
      </c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5"/>
      <c r="AS21" s="63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5"/>
      <c r="CB21" s="60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CU21" s="64"/>
      <c r="CV21" s="64"/>
      <c r="CW21" s="64"/>
      <c r="CX21" s="64"/>
      <c r="CY21" s="64"/>
      <c r="CZ21" s="64"/>
      <c r="DA21" s="64"/>
      <c r="DB21" s="64"/>
      <c r="DC21" s="64"/>
      <c r="DD21" s="64"/>
      <c r="DE21" s="64"/>
      <c r="DF21" s="64"/>
      <c r="DG21" s="64"/>
      <c r="DH21" s="64"/>
      <c r="DI21" s="64"/>
      <c r="DJ21" s="64"/>
      <c r="DK21" s="64"/>
      <c r="DL21" s="64"/>
      <c r="DM21" s="64"/>
      <c r="DN21" s="64"/>
      <c r="DO21" s="64"/>
      <c r="DP21" s="64"/>
      <c r="DQ21" s="64"/>
      <c r="DR21" s="64"/>
      <c r="DS21" s="64"/>
      <c r="DT21" s="64"/>
      <c r="DU21" s="64"/>
      <c r="DV21" s="64"/>
      <c r="DW21" s="64"/>
      <c r="DX21" s="64"/>
      <c r="DY21" s="64"/>
      <c r="DZ21" s="64"/>
    </row>
    <row r="22" spans="2:130" x14ac:dyDescent="0.15">
      <c r="B22" s="58" t="str">
        <f>IF(G22&lt;&gt;"",SUBTOTAL(3,$G$5:G22),"")</f>
        <v/>
      </c>
      <c r="C22" s="58"/>
      <c r="D22" s="58"/>
      <c r="E22" s="59"/>
      <c r="F22" s="59"/>
      <c r="G22" s="60"/>
      <c r="H22" s="61"/>
      <c r="I22" s="70">
        <v>1</v>
      </c>
      <c r="J22" s="63" t="s">
        <v>243</v>
      </c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5"/>
      <c r="AS22" s="63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5"/>
      <c r="CB22" s="60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CU22" s="64"/>
      <c r="CV22" s="64"/>
      <c r="CW22" s="64"/>
      <c r="CX22" s="64"/>
      <c r="CY22" s="64"/>
      <c r="CZ22" s="64"/>
      <c r="DA22" s="64"/>
      <c r="DB22" s="64"/>
      <c r="DC22" s="64"/>
      <c r="DD22" s="64"/>
      <c r="DE22" s="64"/>
      <c r="DF22" s="64"/>
      <c r="DG22" s="64"/>
      <c r="DH22" s="64"/>
      <c r="DI22" s="64"/>
      <c r="DJ22" s="64"/>
      <c r="DK22" s="64"/>
      <c r="DL22" s="64"/>
      <c r="DM22" s="64"/>
      <c r="DN22" s="64"/>
      <c r="DO22" s="64"/>
      <c r="DP22" s="64"/>
      <c r="DQ22" s="64"/>
      <c r="DR22" s="64"/>
      <c r="DS22" s="64"/>
      <c r="DT22" s="64"/>
      <c r="DU22" s="64"/>
      <c r="DV22" s="64"/>
      <c r="DW22" s="64"/>
      <c r="DX22" s="64"/>
      <c r="DY22" s="64"/>
      <c r="DZ22" s="64"/>
    </row>
    <row r="23" spans="2:130" x14ac:dyDescent="0.15">
      <c r="B23" s="58" t="str">
        <f>IF(G23&lt;&gt;"",SUBTOTAL(3,$G$5:G23),"")</f>
        <v/>
      </c>
      <c r="C23" s="58"/>
      <c r="D23" s="58"/>
      <c r="E23" s="59"/>
      <c r="F23" s="59"/>
      <c r="G23" s="60"/>
      <c r="H23" s="61"/>
      <c r="I23" s="70">
        <v>1</v>
      </c>
      <c r="J23" s="63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5"/>
      <c r="AS23" s="63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5"/>
      <c r="CB23" s="60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</row>
    <row r="24" spans="2:130" x14ac:dyDescent="0.15">
      <c r="B24" s="58">
        <f>IF(G24&lt;&gt;"",SUBTOTAL(3,$G$5:G24),"")</f>
        <v>9</v>
      </c>
      <c r="C24" s="58"/>
      <c r="D24" s="58"/>
      <c r="E24" s="105" t="s">
        <v>139</v>
      </c>
      <c r="F24" s="105" t="s">
        <v>135</v>
      </c>
      <c r="G24" s="106" t="s">
        <v>151</v>
      </c>
      <c r="H24" s="103">
        <v>43869</v>
      </c>
      <c r="I24" s="62"/>
      <c r="J24" s="63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5"/>
      <c r="AS24" s="63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5"/>
      <c r="CB24" s="60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CU24" s="64"/>
      <c r="CV24" s="64"/>
      <c r="CW24" s="64"/>
      <c r="CX24" s="64"/>
      <c r="CY24" s="64"/>
      <c r="CZ24" s="64"/>
      <c r="DA24" s="64"/>
      <c r="DB24" s="64"/>
      <c r="DC24" s="64"/>
      <c r="DD24" s="64"/>
      <c r="DE24" s="64"/>
      <c r="DF24" s="64"/>
      <c r="DG24" s="64"/>
      <c r="DH24" s="64"/>
      <c r="DI24" s="64"/>
      <c r="DJ24" s="64"/>
      <c r="DK24" s="64"/>
      <c r="DL24" s="64"/>
      <c r="DM24" s="64"/>
      <c r="DN24" s="64"/>
      <c r="DO24" s="64"/>
      <c r="DP24" s="64"/>
      <c r="DQ24" s="64"/>
      <c r="DR24" s="64"/>
      <c r="DS24" s="64"/>
      <c r="DT24" s="64"/>
      <c r="DU24" s="64"/>
      <c r="DV24" s="64"/>
      <c r="DW24" s="64"/>
      <c r="DX24" s="64"/>
      <c r="DY24" s="64"/>
      <c r="DZ24" s="64"/>
    </row>
    <row r="25" spans="2:130" x14ac:dyDescent="0.15">
      <c r="B25" s="58">
        <f>IF(G25&lt;&gt;"",SUBTOTAL(3,$G$5:G25),"")</f>
        <v>10</v>
      </c>
      <c r="C25" s="58"/>
      <c r="D25" s="58"/>
      <c r="E25" s="105" t="s">
        <v>139</v>
      </c>
      <c r="F25" s="105" t="s">
        <v>135</v>
      </c>
      <c r="G25" s="106" t="s">
        <v>152</v>
      </c>
      <c r="H25" s="103">
        <v>43869</v>
      </c>
      <c r="I25" s="62"/>
      <c r="J25" s="63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5"/>
      <c r="AS25" s="63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5"/>
      <c r="CB25" s="60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4"/>
      <c r="CV25" s="64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4"/>
      <c r="DN25" s="64"/>
      <c r="DO25" s="64"/>
      <c r="DP25" s="64"/>
      <c r="DQ25" s="64"/>
      <c r="DR25" s="64"/>
      <c r="DS25" s="64"/>
      <c r="DT25" s="64"/>
      <c r="DU25" s="64"/>
      <c r="DV25" s="64"/>
      <c r="DW25" s="64"/>
      <c r="DX25" s="64"/>
      <c r="DY25" s="64"/>
      <c r="DZ25" s="64"/>
    </row>
    <row r="26" spans="2:130" x14ac:dyDescent="0.15">
      <c r="B26" s="58">
        <f>IF(G26&lt;&gt;"",SUBTOTAL(3,$G$5:G26),"")</f>
        <v>11</v>
      </c>
      <c r="C26" s="58"/>
      <c r="D26" s="58"/>
      <c r="E26" s="105" t="s">
        <v>139</v>
      </c>
      <c r="F26" s="105" t="s">
        <v>135</v>
      </c>
      <c r="G26" s="106" t="s">
        <v>153</v>
      </c>
      <c r="H26" s="103">
        <v>43869</v>
      </c>
      <c r="I26" s="62"/>
      <c r="J26" s="63"/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5"/>
      <c r="AS26" s="63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5"/>
      <c r="CB26" s="60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</row>
    <row r="27" spans="2:130" x14ac:dyDescent="0.15">
      <c r="B27" s="58">
        <f>IF(G27&lt;&gt;"",SUBTOTAL(3,$G$5:G27),"")</f>
        <v>12</v>
      </c>
      <c r="C27" s="58"/>
      <c r="D27" s="58"/>
      <c r="E27" s="105" t="s">
        <v>139</v>
      </c>
      <c r="F27" s="105" t="s">
        <v>135</v>
      </c>
      <c r="G27" s="106" t="s">
        <v>154</v>
      </c>
      <c r="H27" s="103">
        <v>43869</v>
      </c>
      <c r="I27" s="62"/>
      <c r="J27" s="63"/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5"/>
      <c r="AS27" s="63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5"/>
      <c r="CB27" s="60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</row>
    <row r="28" spans="2:130" x14ac:dyDescent="0.15">
      <c r="B28" s="58">
        <f>IF(G28&lt;&gt;"",SUBTOTAL(3,$G$5:G28),"")</f>
        <v>13</v>
      </c>
      <c r="C28" s="58"/>
      <c r="D28" s="58"/>
      <c r="E28" s="105" t="s">
        <v>139</v>
      </c>
      <c r="F28" s="105" t="s">
        <v>135</v>
      </c>
      <c r="G28" s="106" t="s">
        <v>155</v>
      </c>
      <c r="H28" s="103">
        <v>43869</v>
      </c>
      <c r="I28" s="62"/>
      <c r="J28" s="63"/>
      <c r="K28" s="64"/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5"/>
      <c r="AS28" s="63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5"/>
      <c r="CB28" s="60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CU28" s="64"/>
      <c r="CV28" s="64"/>
      <c r="CW28" s="64"/>
      <c r="CX28" s="64"/>
      <c r="CY28" s="64"/>
      <c r="CZ28" s="64"/>
      <c r="DA28" s="64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</row>
    <row r="29" spans="2:130" x14ac:dyDescent="0.15">
      <c r="B29" s="58">
        <f>IF(G29&lt;&gt;"",SUBTOTAL(3,$G$5:G29),"")</f>
        <v>14</v>
      </c>
      <c r="C29" s="58"/>
      <c r="D29" s="58"/>
      <c r="E29" s="59" t="s">
        <v>139</v>
      </c>
      <c r="F29" s="59" t="s">
        <v>135</v>
      </c>
      <c r="G29" s="60" t="s">
        <v>156</v>
      </c>
      <c r="H29" s="61">
        <v>43871</v>
      </c>
      <c r="I29" s="62">
        <v>0.5</v>
      </c>
      <c r="J29" s="63" t="s">
        <v>1</v>
      </c>
      <c r="K29" s="64" t="s">
        <v>402</v>
      </c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5"/>
      <c r="AS29" s="63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5"/>
      <c r="CB29" s="60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CU29" s="64"/>
      <c r="CV29" s="64"/>
      <c r="CW29" s="64"/>
      <c r="CX29" s="64"/>
      <c r="CY29" s="64"/>
      <c r="CZ29" s="64"/>
      <c r="DA29" s="64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</row>
    <row r="30" spans="2:130" x14ac:dyDescent="0.15">
      <c r="B30" s="58" t="str">
        <f>IF(G30&lt;&gt;"",SUBTOTAL(3,$G$5:G30),"")</f>
        <v/>
      </c>
      <c r="C30" s="58"/>
      <c r="D30" s="58"/>
      <c r="E30" s="59"/>
      <c r="F30" s="59"/>
      <c r="G30" s="60"/>
      <c r="H30" s="61"/>
      <c r="I30" s="68">
        <v>0.5</v>
      </c>
      <c r="J30" s="63" t="s">
        <v>403</v>
      </c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5"/>
      <c r="AS30" s="63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5"/>
      <c r="CB30" s="60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</row>
    <row r="31" spans="2:130" x14ac:dyDescent="0.15">
      <c r="B31" s="58" t="str">
        <f>IF(G31&lt;&gt;"",SUBTOTAL(3,$G$5:G31),"")</f>
        <v/>
      </c>
      <c r="C31" s="58"/>
      <c r="D31" s="58"/>
      <c r="E31" s="59"/>
      <c r="F31" s="59"/>
      <c r="G31" s="60"/>
      <c r="H31" s="61"/>
      <c r="I31" s="68">
        <v>0.5</v>
      </c>
      <c r="J31" s="63" t="s">
        <v>1</v>
      </c>
      <c r="K31" s="64" t="s">
        <v>404</v>
      </c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5"/>
      <c r="AS31" s="63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5"/>
      <c r="CB31" s="60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</row>
    <row r="32" spans="2:130" x14ac:dyDescent="0.15">
      <c r="B32" s="58" t="str">
        <f>IF(G32&lt;&gt;"",SUBTOTAL(3,$G$5:G32),"")</f>
        <v/>
      </c>
      <c r="C32" s="58"/>
      <c r="D32" s="58"/>
      <c r="E32" s="59"/>
      <c r="F32" s="59"/>
      <c r="G32" s="60"/>
      <c r="H32" s="61"/>
      <c r="I32" s="68">
        <v>0.5</v>
      </c>
      <c r="J32" s="63"/>
      <c r="K32" s="64" t="s">
        <v>405</v>
      </c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5"/>
      <c r="AS32" s="63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5"/>
      <c r="CB32" s="60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</row>
    <row r="33" spans="2:130" x14ac:dyDescent="0.15">
      <c r="B33" s="58" t="str">
        <f>IF(G33&lt;&gt;"",SUBTOTAL(3,$G$5:G33),"")</f>
        <v/>
      </c>
      <c r="C33" s="58"/>
      <c r="D33" s="58"/>
      <c r="E33" s="59"/>
      <c r="F33" s="59"/>
      <c r="G33" s="60"/>
      <c r="H33" s="61"/>
      <c r="I33" s="68">
        <v>0.5</v>
      </c>
      <c r="J33" s="63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5"/>
      <c r="AS33" s="63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5"/>
      <c r="CB33" s="60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</row>
    <row r="34" spans="2:130" x14ac:dyDescent="0.15">
      <c r="B34" s="58">
        <f>IF(G34&lt;&gt;"",SUBTOTAL(3,$G$5:G34),"")</f>
        <v>15</v>
      </c>
      <c r="C34" s="58"/>
      <c r="D34" s="58"/>
      <c r="E34" s="59" t="s">
        <v>139</v>
      </c>
      <c r="F34" s="59" t="s">
        <v>142</v>
      </c>
      <c r="G34" s="60" t="s">
        <v>230</v>
      </c>
      <c r="H34" s="61">
        <v>44087</v>
      </c>
      <c r="I34" s="62">
        <v>1</v>
      </c>
      <c r="J34" s="63" t="s">
        <v>244</v>
      </c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5"/>
      <c r="AS34" s="63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5"/>
      <c r="CB34" s="60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</row>
    <row r="35" spans="2:130" x14ac:dyDescent="0.15">
      <c r="B35" s="58" t="str">
        <f>IF(G35&lt;&gt;"",SUBTOTAL(3,$G$5:G35),"")</f>
        <v/>
      </c>
      <c r="C35" s="58"/>
      <c r="D35" s="58"/>
      <c r="E35" s="59"/>
      <c r="F35" s="59"/>
      <c r="G35" s="60"/>
      <c r="H35" s="61"/>
      <c r="I35" s="70">
        <v>1</v>
      </c>
      <c r="J35" s="63" t="s">
        <v>245</v>
      </c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5"/>
      <c r="AS35" s="63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5"/>
      <c r="CB35" s="60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</row>
    <row r="36" spans="2:130" x14ac:dyDescent="0.15">
      <c r="B36" s="58" t="str">
        <f>IF(G36&lt;&gt;"",SUBTOTAL(3,$G$5:G36),"")</f>
        <v/>
      </c>
      <c r="C36" s="58"/>
      <c r="D36" s="58"/>
      <c r="E36" s="59"/>
      <c r="F36" s="59"/>
      <c r="G36" s="60"/>
      <c r="H36" s="61"/>
      <c r="I36" s="70">
        <v>1</v>
      </c>
      <c r="J36" s="63" t="s">
        <v>246</v>
      </c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5"/>
      <c r="AS36" s="63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5"/>
      <c r="CB36" s="60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64"/>
      <c r="DQ36" s="64"/>
      <c r="DR36" s="64"/>
      <c r="DS36" s="64"/>
      <c r="DT36" s="64"/>
      <c r="DU36" s="64"/>
      <c r="DV36" s="64"/>
      <c r="DW36" s="64"/>
      <c r="DX36" s="64"/>
      <c r="DY36" s="64"/>
      <c r="DZ36" s="64"/>
    </row>
    <row r="37" spans="2:130" x14ac:dyDescent="0.15">
      <c r="B37" s="58" t="str">
        <f>IF(G37&lt;&gt;"",SUBTOTAL(3,$G$5:G37),"")</f>
        <v/>
      </c>
      <c r="C37" s="58"/>
      <c r="D37" s="58"/>
      <c r="E37" s="59"/>
      <c r="F37" s="59"/>
      <c r="G37" s="60"/>
      <c r="H37" s="61"/>
      <c r="I37" s="70">
        <v>1</v>
      </c>
      <c r="J37" s="63" t="s">
        <v>247</v>
      </c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5"/>
      <c r="AS37" s="63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5"/>
      <c r="CB37" s="60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64"/>
      <c r="DQ37" s="64"/>
      <c r="DR37" s="64"/>
      <c r="DS37" s="64"/>
      <c r="DT37" s="64"/>
      <c r="DU37" s="64"/>
      <c r="DV37" s="64"/>
      <c r="DW37" s="64"/>
      <c r="DX37" s="64"/>
      <c r="DY37" s="64"/>
      <c r="DZ37" s="64"/>
    </row>
    <row r="38" spans="2:130" x14ac:dyDescent="0.15">
      <c r="B38" s="58" t="str">
        <f>IF(G38&lt;&gt;"",SUBTOTAL(3,$G$5:G38),"")</f>
        <v/>
      </c>
      <c r="C38" s="58"/>
      <c r="D38" s="58"/>
      <c r="E38" s="59"/>
      <c r="F38" s="59"/>
      <c r="G38" s="60"/>
      <c r="H38" s="61"/>
      <c r="I38" s="70">
        <v>1</v>
      </c>
      <c r="J38" s="63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5"/>
      <c r="AS38" s="63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5"/>
      <c r="CB38" s="60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64"/>
      <c r="DQ38" s="64"/>
      <c r="DR38" s="64"/>
      <c r="DS38" s="64"/>
      <c r="DT38" s="64"/>
      <c r="DU38" s="64"/>
      <c r="DV38" s="64"/>
      <c r="DW38" s="64"/>
      <c r="DX38" s="64"/>
      <c r="DY38" s="64"/>
      <c r="DZ38" s="64"/>
    </row>
    <row r="39" spans="2:130" x14ac:dyDescent="0.15">
      <c r="B39" s="58">
        <f>IF(G39&lt;&gt;"",SUBTOTAL(3,$G$5:G39),"")</f>
        <v>16</v>
      </c>
      <c r="C39" s="58"/>
      <c r="D39" s="58"/>
      <c r="E39" s="59" t="s">
        <v>139</v>
      </c>
      <c r="F39" s="59" t="s">
        <v>142</v>
      </c>
      <c r="G39" s="60" t="s">
        <v>229</v>
      </c>
      <c r="H39" s="61">
        <v>44076</v>
      </c>
      <c r="I39" s="62">
        <v>1</v>
      </c>
      <c r="J39" s="63" t="s">
        <v>248</v>
      </c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5"/>
      <c r="AS39" s="63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5"/>
      <c r="CB39" s="60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</row>
    <row r="40" spans="2:130" x14ac:dyDescent="0.15">
      <c r="B40" s="58" t="str">
        <f>IF(G40&lt;&gt;"",SUBTOTAL(3,$G$5:G40),"")</f>
        <v/>
      </c>
      <c r="C40" s="58"/>
      <c r="D40" s="58"/>
      <c r="E40" s="59"/>
      <c r="F40" s="59"/>
      <c r="G40" s="60"/>
      <c r="H40" s="61"/>
      <c r="I40" s="70">
        <v>1</v>
      </c>
      <c r="J40" s="63" t="s">
        <v>249</v>
      </c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5"/>
      <c r="AS40" s="63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5"/>
      <c r="CB40" s="60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4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</row>
    <row r="41" spans="2:130" x14ac:dyDescent="0.15">
      <c r="B41" s="58" t="str">
        <f>IF(G41&lt;&gt;"",SUBTOTAL(3,$G$5:G41),"")</f>
        <v/>
      </c>
      <c r="C41" s="58"/>
      <c r="D41" s="58"/>
      <c r="E41" s="59"/>
      <c r="F41" s="59"/>
      <c r="G41" s="60"/>
      <c r="H41" s="61"/>
      <c r="I41" s="70">
        <v>1</v>
      </c>
      <c r="J41" s="63" t="s">
        <v>250</v>
      </c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5"/>
      <c r="AS41" s="63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5"/>
      <c r="CB41" s="60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</row>
    <row r="42" spans="2:130" x14ac:dyDescent="0.15">
      <c r="B42" s="58" t="str">
        <f>IF(G42&lt;&gt;"",SUBTOTAL(3,$G$5:G42),"")</f>
        <v/>
      </c>
      <c r="C42" s="58"/>
      <c r="D42" s="58"/>
      <c r="E42" s="59"/>
      <c r="F42" s="59"/>
      <c r="G42" s="60"/>
      <c r="H42" s="61"/>
      <c r="I42" s="70">
        <v>1</v>
      </c>
      <c r="J42" s="63" t="s">
        <v>251</v>
      </c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5"/>
      <c r="AS42" s="63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5"/>
      <c r="CB42" s="60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</row>
    <row r="43" spans="2:130" x14ac:dyDescent="0.15">
      <c r="B43" s="58" t="str">
        <f>IF(G43&lt;&gt;"",SUBTOTAL(3,$G$5:G43),"")</f>
        <v/>
      </c>
      <c r="C43" s="58"/>
      <c r="D43" s="58"/>
      <c r="E43" s="59"/>
      <c r="F43" s="59"/>
      <c r="G43" s="60"/>
      <c r="H43" s="61"/>
      <c r="I43" s="70">
        <v>1</v>
      </c>
      <c r="J43" s="63" t="s">
        <v>252</v>
      </c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5"/>
      <c r="AS43" s="63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5"/>
      <c r="CB43" s="60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</row>
    <row r="44" spans="2:130" x14ac:dyDescent="0.15">
      <c r="B44" s="58" t="str">
        <f>IF(G44&lt;&gt;"",SUBTOTAL(3,$G$5:G44),"")</f>
        <v/>
      </c>
      <c r="C44" s="58"/>
      <c r="D44" s="58"/>
      <c r="E44" s="59"/>
      <c r="F44" s="59"/>
      <c r="G44" s="60"/>
      <c r="H44" s="61"/>
      <c r="I44" s="70">
        <v>1</v>
      </c>
      <c r="J44" s="63"/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5"/>
      <c r="AS44" s="63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5"/>
      <c r="CB44" s="60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</row>
    <row r="45" spans="2:130" x14ac:dyDescent="0.15">
      <c r="B45" s="58">
        <f>IF(G45&lt;&gt;"",SUBTOTAL(3,$G$5:G45),"")</f>
        <v>17</v>
      </c>
      <c r="C45" s="58"/>
      <c r="D45" s="58"/>
      <c r="E45" s="59" t="s">
        <v>139</v>
      </c>
      <c r="F45" s="59" t="s">
        <v>142</v>
      </c>
      <c r="G45" s="60" t="s">
        <v>228</v>
      </c>
      <c r="H45" s="61">
        <v>44080</v>
      </c>
      <c r="I45" s="62">
        <v>1</v>
      </c>
      <c r="J45" s="63" t="s">
        <v>234</v>
      </c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5"/>
      <c r="AS45" s="63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5"/>
      <c r="CB45" s="60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</row>
    <row r="46" spans="2:130" x14ac:dyDescent="0.15">
      <c r="B46" s="58" t="str">
        <f>IF(G46&lt;&gt;"",SUBTOTAL(3,$G$5:G46),"")</f>
        <v/>
      </c>
      <c r="C46" s="58"/>
      <c r="D46" s="58"/>
      <c r="E46" s="59"/>
      <c r="F46" s="59"/>
      <c r="G46" s="60"/>
      <c r="H46" s="61"/>
      <c r="I46" s="70">
        <v>1</v>
      </c>
      <c r="J46" s="63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5"/>
      <c r="AS46" s="63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5"/>
      <c r="CB46" s="60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</row>
    <row r="47" spans="2:130" x14ac:dyDescent="0.15">
      <c r="B47" s="58">
        <f>IF(G47&lt;&gt;"",SUBTOTAL(3,$G$5:G47),"")</f>
        <v>18</v>
      </c>
      <c r="C47" s="58"/>
      <c r="D47" s="58"/>
      <c r="E47" s="59" t="s">
        <v>139</v>
      </c>
      <c r="F47" s="59" t="s">
        <v>142</v>
      </c>
      <c r="G47" s="60" t="s">
        <v>226</v>
      </c>
      <c r="H47" s="61">
        <v>43871</v>
      </c>
      <c r="I47" s="62">
        <v>0.3</v>
      </c>
      <c r="J47" s="63" t="s">
        <v>253</v>
      </c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5"/>
      <c r="AS47" s="63" t="s">
        <v>363</v>
      </c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5"/>
      <c r="CB47" s="60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4"/>
      <c r="CV47" s="64"/>
      <c r="CW47" s="64"/>
      <c r="CX47" s="64"/>
      <c r="CY47" s="64"/>
      <c r="CZ47" s="64"/>
      <c r="DA47" s="64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</row>
    <row r="48" spans="2:130" x14ac:dyDescent="0.15">
      <c r="B48" s="58" t="str">
        <f>IF(G48&lt;&gt;"",SUBTOTAL(3,$G$5:G48),"")</f>
        <v/>
      </c>
      <c r="C48" s="58"/>
      <c r="D48" s="58"/>
      <c r="E48" s="59"/>
      <c r="F48" s="59"/>
      <c r="G48" s="60"/>
      <c r="H48" s="61"/>
      <c r="I48" s="68">
        <v>0.3</v>
      </c>
      <c r="J48" s="63" t="s">
        <v>347</v>
      </c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64"/>
      <c r="AF48" s="64"/>
      <c r="AG48" s="64"/>
      <c r="AH48" s="64"/>
      <c r="AI48" s="64"/>
      <c r="AJ48" s="64"/>
      <c r="AK48" s="64"/>
      <c r="AL48" s="64"/>
      <c r="AM48" s="64"/>
      <c r="AN48" s="64"/>
      <c r="AO48" s="64"/>
      <c r="AP48" s="64"/>
      <c r="AQ48" s="64"/>
      <c r="AR48" s="65"/>
      <c r="AS48" s="63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5"/>
      <c r="CB48" s="60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4"/>
      <c r="CV48" s="64"/>
      <c r="CW48" s="64"/>
      <c r="CX48" s="64"/>
      <c r="CY48" s="64"/>
      <c r="CZ48" s="64"/>
      <c r="DA48" s="64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</row>
    <row r="49" spans="2:130" x14ac:dyDescent="0.15">
      <c r="B49" s="58" t="str">
        <f>IF(G49&lt;&gt;"",SUBTOTAL(3,$G$5:G49),"")</f>
        <v/>
      </c>
      <c r="C49" s="58"/>
      <c r="D49" s="58"/>
      <c r="E49" s="59"/>
      <c r="F49" s="59"/>
      <c r="G49" s="60"/>
      <c r="H49" s="61"/>
      <c r="I49" s="68">
        <v>0.3</v>
      </c>
      <c r="J49" s="63" t="s">
        <v>348</v>
      </c>
      <c r="K49" s="64"/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4"/>
      <c r="AH49" s="64"/>
      <c r="AI49" s="64"/>
      <c r="AJ49" s="64"/>
      <c r="AK49" s="64"/>
      <c r="AL49" s="64"/>
      <c r="AM49" s="64"/>
      <c r="AN49" s="64"/>
      <c r="AO49" s="64"/>
      <c r="AP49" s="64"/>
      <c r="AQ49" s="64"/>
      <c r="AR49" s="65"/>
      <c r="AS49" s="63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5"/>
      <c r="CB49" s="60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  <c r="CW49" s="64"/>
      <c r="CX49" s="64"/>
      <c r="CY49" s="64"/>
      <c r="CZ49" s="64"/>
      <c r="DA49" s="64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</row>
    <row r="50" spans="2:130" x14ac:dyDescent="0.15">
      <c r="B50" s="58" t="str">
        <f>IF(G50&lt;&gt;"",SUBTOTAL(3,$G$5:G50),"")</f>
        <v/>
      </c>
      <c r="C50" s="58"/>
      <c r="D50" s="58"/>
      <c r="E50" s="59"/>
      <c r="F50" s="59"/>
      <c r="G50" s="60"/>
      <c r="H50" s="61"/>
      <c r="I50" s="68">
        <v>0.3</v>
      </c>
      <c r="J50" s="63" t="s">
        <v>254</v>
      </c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5"/>
      <c r="AS50" s="63"/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5"/>
      <c r="CB50" s="60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  <c r="CW50" s="64"/>
      <c r="CX50" s="64"/>
      <c r="CY50" s="64"/>
      <c r="CZ50" s="64"/>
      <c r="DA50" s="64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</row>
    <row r="51" spans="2:130" x14ac:dyDescent="0.15">
      <c r="B51" s="58"/>
      <c r="C51" s="58"/>
      <c r="D51" s="58"/>
      <c r="E51" s="59"/>
      <c r="F51" s="59"/>
      <c r="G51" s="60"/>
      <c r="H51" s="61"/>
      <c r="I51" s="68">
        <v>0.3</v>
      </c>
      <c r="J51" s="71" t="s">
        <v>227</v>
      </c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72"/>
      <c r="AP51" s="72"/>
      <c r="AQ51" s="72"/>
      <c r="AR51" s="73"/>
      <c r="AS51" s="63"/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64"/>
      <c r="BO51" s="64"/>
      <c r="BP51" s="64"/>
      <c r="BQ51" s="64"/>
      <c r="BR51" s="64"/>
      <c r="BS51" s="64"/>
      <c r="BT51" s="64"/>
      <c r="BU51" s="64"/>
      <c r="BV51" s="64"/>
      <c r="BW51" s="64"/>
      <c r="BX51" s="64"/>
      <c r="BY51" s="64"/>
      <c r="BZ51" s="64"/>
      <c r="CA51" s="65"/>
      <c r="CB51" s="60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</row>
    <row r="52" spans="2:130" x14ac:dyDescent="0.15">
      <c r="B52" s="58"/>
      <c r="C52" s="58"/>
      <c r="D52" s="58"/>
      <c r="E52" s="59"/>
      <c r="F52" s="59"/>
      <c r="G52" s="60"/>
      <c r="H52" s="61"/>
      <c r="I52" s="68">
        <v>0.3</v>
      </c>
      <c r="J52" s="71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  <c r="AO52" s="72"/>
      <c r="AP52" s="72"/>
      <c r="AQ52" s="72"/>
      <c r="AR52" s="73"/>
      <c r="AS52" s="63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4"/>
      <c r="BR52" s="64"/>
      <c r="BS52" s="64"/>
      <c r="BT52" s="64"/>
      <c r="BU52" s="64"/>
      <c r="BV52" s="64"/>
      <c r="BW52" s="64"/>
      <c r="BX52" s="64"/>
      <c r="BY52" s="64"/>
      <c r="BZ52" s="64"/>
      <c r="CA52" s="65"/>
      <c r="CB52" s="60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</row>
    <row r="53" spans="2:130" x14ac:dyDescent="0.15">
      <c r="B53" s="58">
        <f>IF(G53&lt;&gt;"",SUBTOTAL(3,$G$5:G53),"")</f>
        <v>19</v>
      </c>
      <c r="C53" s="58"/>
      <c r="D53" s="58"/>
      <c r="E53" s="59" t="s">
        <v>139</v>
      </c>
      <c r="F53" s="59" t="s">
        <v>135</v>
      </c>
      <c r="G53" s="60" t="s">
        <v>224</v>
      </c>
      <c r="H53" s="61">
        <v>44072</v>
      </c>
      <c r="I53" s="62">
        <v>0.8</v>
      </c>
      <c r="J53" s="63" t="s">
        <v>367</v>
      </c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5"/>
      <c r="AS53" s="63" t="s">
        <v>364</v>
      </c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4"/>
      <c r="BR53" s="64"/>
      <c r="BS53" s="64"/>
      <c r="BT53" s="64"/>
      <c r="BU53" s="64"/>
      <c r="BV53" s="64"/>
      <c r="BW53" s="64"/>
      <c r="BX53" s="64"/>
      <c r="BY53" s="64"/>
      <c r="BZ53" s="64"/>
      <c r="CA53" s="65"/>
      <c r="CB53" s="60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</row>
    <row r="54" spans="2:130" x14ac:dyDescent="0.15">
      <c r="B54" s="58" t="str">
        <f>IF(G54&lt;&gt;"",SUBTOTAL(3,$G$5:G54),"")</f>
        <v/>
      </c>
      <c r="C54" s="58"/>
      <c r="D54" s="58"/>
      <c r="E54" s="59"/>
      <c r="F54" s="59"/>
      <c r="G54" s="60"/>
      <c r="H54" s="61"/>
      <c r="I54" s="68">
        <v>0.8</v>
      </c>
      <c r="J54" s="63" t="s">
        <v>368</v>
      </c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5"/>
      <c r="AS54" s="63" t="s">
        <v>365</v>
      </c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4"/>
      <c r="BH54" s="64"/>
      <c r="BI54" s="64"/>
      <c r="BJ54" s="64"/>
      <c r="BK54" s="64"/>
      <c r="BL54" s="64"/>
      <c r="BM54" s="64"/>
      <c r="BN54" s="64"/>
      <c r="BO54" s="64"/>
      <c r="BP54" s="64"/>
      <c r="BQ54" s="64"/>
      <c r="BR54" s="64"/>
      <c r="BS54" s="64"/>
      <c r="BT54" s="64"/>
      <c r="BU54" s="64"/>
      <c r="BV54" s="64"/>
      <c r="BW54" s="64"/>
      <c r="BX54" s="64"/>
      <c r="BY54" s="64"/>
      <c r="BZ54" s="64"/>
      <c r="CA54" s="65"/>
      <c r="CB54" s="60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</row>
    <row r="55" spans="2:130" x14ac:dyDescent="0.15">
      <c r="B55" s="58" t="str">
        <f>IF(G55&lt;&gt;"",SUBTOTAL(3,$G$5:G55),"")</f>
        <v/>
      </c>
      <c r="C55" s="58"/>
      <c r="D55" s="58"/>
      <c r="E55" s="59"/>
      <c r="F55" s="59"/>
      <c r="G55" s="60"/>
      <c r="H55" s="61"/>
      <c r="I55" s="68">
        <v>0.8</v>
      </c>
      <c r="J55" s="63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5"/>
      <c r="AS55" s="63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5"/>
      <c r="CB55" s="60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64"/>
      <c r="DO55" s="64"/>
      <c r="DP55" s="64"/>
      <c r="DQ55" s="64"/>
      <c r="DR55" s="64"/>
      <c r="DS55" s="64"/>
      <c r="DT55" s="64"/>
      <c r="DU55" s="64"/>
      <c r="DV55" s="64"/>
      <c r="DW55" s="64"/>
      <c r="DX55" s="64"/>
      <c r="DY55" s="64"/>
      <c r="DZ55" s="64"/>
    </row>
    <row r="56" spans="2:130" x14ac:dyDescent="0.15">
      <c r="B56" s="58">
        <f>IF(G56&lt;&gt;"",SUBTOTAL(3,$G$5:G56),"")</f>
        <v>20</v>
      </c>
      <c r="C56" s="58"/>
      <c r="D56" s="58"/>
      <c r="E56" s="59" t="s">
        <v>139</v>
      </c>
      <c r="F56" s="59" t="s">
        <v>135</v>
      </c>
      <c r="G56" s="60" t="s">
        <v>222</v>
      </c>
      <c r="H56" s="61">
        <v>44070</v>
      </c>
      <c r="I56" s="62">
        <v>0.8</v>
      </c>
      <c r="J56" s="63" t="s">
        <v>369</v>
      </c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5"/>
      <c r="AS56" s="63" t="s">
        <v>366</v>
      </c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4"/>
      <c r="BT56" s="64"/>
      <c r="BU56" s="64"/>
      <c r="BV56" s="64"/>
      <c r="BW56" s="64"/>
      <c r="BX56" s="64"/>
      <c r="BY56" s="64"/>
      <c r="BZ56" s="64"/>
      <c r="CA56" s="65"/>
      <c r="CB56" s="60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  <c r="CW56" s="64"/>
      <c r="CX56" s="64"/>
      <c r="CY56" s="64"/>
      <c r="CZ56" s="64"/>
      <c r="DA56" s="64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</row>
    <row r="57" spans="2:130" x14ac:dyDescent="0.15">
      <c r="B57" s="58" t="str">
        <f>IF(G57&lt;&gt;"",SUBTOTAL(3,$G$5:G57),"")</f>
        <v/>
      </c>
      <c r="C57" s="58"/>
      <c r="D57" s="58"/>
      <c r="E57" s="59"/>
      <c r="F57" s="59"/>
      <c r="G57" s="60"/>
      <c r="H57" s="61"/>
      <c r="I57" s="68">
        <v>0.8</v>
      </c>
      <c r="J57" s="63" t="s">
        <v>255</v>
      </c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5"/>
      <c r="AS57" s="63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4"/>
      <c r="BR57" s="64"/>
      <c r="BS57" s="64"/>
      <c r="BT57" s="64"/>
      <c r="BU57" s="64"/>
      <c r="BV57" s="64"/>
      <c r="BW57" s="64"/>
      <c r="BX57" s="64"/>
      <c r="BY57" s="64"/>
      <c r="BZ57" s="64"/>
      <c r="CA57" s="65"/>
      <c r="CB57" s="60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</row>
    <row r="58" spans="2:130" x14ac:dyDescent="0.15">
      <c r="B58" s="58" t="str">
        <f>IF(G58&lt;&gt;"",SUBTOTAL(3,$G$5:G58),"")</f>
        <v/>
      </c>
      <c r="C58" s="58"/>
      <c r="D58" s="58"/>
      <c r="E58" s="59"/>
      <c r="F58" s="59"/>
      <c r="G58" s="60"/>
      <c r="H58" s="61"/>
      <c r="I58" s="68">
        <v>0.8</v>
      </c>
      <c r="J58" s="63" t="s">
        <v>256</v>
      </c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4"/>
      <c r="AE58" s="64"/>
      <c r="AF58" s="64"/>
      <c r="AG58" s="64"/>
      <c r="AH58" s="64"/>
      <c r="AI58" s="64"/>
      <c r="AJ58" s="64"/>
      <c r="AK58" s="64"/>
      <c r="AL58" s="64"/>
      <c r="AM58" s="64"/>
      <c r="AN58" s="64"/>
      <c r="AO58" s="64"/>
      <c r="AP58" s="64"/>
      <c r="AQ58" s="64"/>
      <c r="AR58" s="65"/>
      <c r="AS58" s="63"/>
      <c r="AT58" s="64"/>
      <c r="AU58" s="64"/>
      <c r="AV58" s="64"/>
      <c r="AW58" s="64"/>
      <c r="AX58" s="64"/>
      <c r="AY58" s="64"/>
      <c r="AZ58" s="64"/>
      <c r="BA58" s="64"/>
      <c r="BB58" s="64"/>
      <c r="BC58" s="64"/>
      <c r="BD58" s="64"/>
      <c r="BE58" s="64"/>
      <c r="BF58" s="64"/>
      <c r="BG58" s="64"/>
      <c r="BH58" s="64"/>
      <c r="BI58" s="64"/>
      <c r="BJ58" s="64"/>
      <c r="BK58" s="64"/>
      <c r="BL58" s="64"/>
      <c r="BM58" s="64"/>
      <c r="BN58" s="64"/>
      <c r="BO58" s="64"/>
      <c r="BP58" s="64"/>
      <c r="BQ58" s="64"/>
      <c r="BR58" s="64"/>
      <c r="BS58" s="64"/>
      <c r="BT58" s="64"/>
      <c r="BU58" s="64"/>
      <c r="BV58" s="64"/>
      <c r="BW58" s="64"/>
      <c r="BX58" s="64"/>
      <c r="BY58" s="64"/>
      <c r="BZ58" s="64"/>
      <c r="CA58" s="65"/>
      <c r="CB58" s="60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</row>
    <row r="59" spans="2:130" x14ac:dyDescent="0.15">
      <c r="B59" s="58" t="str">
        <f>IF(G59&lt;&gt;"",SUBTOTAL(3,$G$5:G59),"")</f>
        <v/>
      </c>
      <c r="C59" s="58"/>
      <c r="D59" s="58"/>
      <c r="E59" s="59"/>
      <c r="F59" s="59"/>
      <c r="G59" s="60"/>
      <c r="H59" s="61"/>
      <c r="I59" s="68">
        <v>0.8</v>
      </c>
      <c r="J59" s="71" t="s">
        <v>223</v>
      </c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5"/>
      <c r="AS59" s="63"/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4"/>
      <c r="BR59" s="64"/>
      <c r="BS59" s="64"/>
      <c r="BT59" s="64"/>
      <c r="BU59" s="64"/>
      <c r="BV59" s="64"/>
      <c r="BW59" s="64"/>
      <c r="BX59" s="64"/>
      <c r="BY59" s="64"/>
      <c r="BZ59" s="64"/>
      <c r="CA59" s="65"/>
      <c r="CB59" s="60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  <c r="CW59" s="64"/>
      <c r="CX59" s="64"/>
      <c r="CY59" s="64"/>
      <c r="CZ59" s="64"/>
      <c r="DA59" s="64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</row>
    <row r="60" spans="2:130" x14ac:dyDescent="0.15">
      <c r="B60" s="58" t="str">
        <f>IF(G60&lt;&gt;"",SUBTOTAL(3,$G$5:G60),"")</f>
        <v/>
      </c>
      <c r="C60" s="58"/>
      <c r="D60" s="58"/>
      <c r="E60" s="59"/>
      <c r="F60" s="59"/>
      <c r="G60" s="60"/>
      <c r="H60" s="61"/>
      <c r="I60" s="68">
        <v>0.8</v>
      </c>
      <c r="J60" s="71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5"/>
      <c r="AS60" s="63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4"/>
      <c r="BR60" s="64"/>
      <c r="BS60" s="64"/>
      <c r="BT60" s="64"/>
      <c r="BU60" s="64"/>
      <c r="BV60" s="64"/>
      <c r="BW60" s="64"/>
      <c r="BX60" s="64"/>
      <c r="BY60" s="64"/>
      <c r="BZ60" s="64"/>
      <c r="CA60" s="65"/>
      <c r="CB60" s="60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4"/>
      <c r="CV60" s="64"/>
      <c r="CW60" s="64"/>
      <c r="CX60" s="64"/>
      <c r="CY60" s="64"/>
      <c r="CZ60" s="64"/>
      <c r="DA60" s="64"/>
      <c r="DB60" s="64"/>
      <c r="DC60" s="64"/>
      <c r="DD60" s="64"/>
      <c r="DE60" s="64"/>
      <c r="DF60" s="64"/>
      <c r="DG60" s="64"/>
      <c r="DH60" s="64"/>
      <c r="DI60" s="64"/>
      <c r="DJ60" s="64"/>
      <c r="DK60" s="64"/>
      <c r="DL60" s="64"/>
      <c r="DM60" s="64"/>
      <c r="DN60" s="64"/>
      <c r="DO60" s="64"/>
      <c r="DP60" s="64"/>
      <c r="DQ60" s="64"/>
      <c r="DR60" s="64"/>
      <c r="DS60" s="64"/>
      <c r="DT60" s="64"/>
      <c r="DU60" s="64"/>
      <c r="DV60" s="64"/>
      <c r="DW60" s="64"/>
      <c r="DX60" s="64"/>
      <c r="DY60" s="64"/>
      <c r="DZ60" s="64"/>
    </row>
    <row r="61" spans="2:130" x14ac:dyDescent="0.15">
      <c r="B61" s="58" t="str">
        <f>IF(G61&lt;&gt;"",SUBTOTAL(3,$G$5:G61),"")</f>
        <v/>
      </c>
      <c r="C61" s="58"/>
      <c r="D61" s="58"/>
      <c r="E61" s="59"/>
      <c r="F61" s="59"/>
      <c r="G61" s="60"/>
      <c r="H61" s="61"/>
      <c r="I61" s="68">
        <v>0.8</v>
      </c>
      <c r="J61" s="71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72"/>
      <c r="AP61" s="72"/>
      <c r="AQ61" s="72"/>
      <c r="AR61" s="73"/>
      <c r="AS61" s="71"/>
      <c r="AT61" s="72"/>
      <c r="AU61" s="72"/>
      <c r="AV61" s="72"/>
      <c r="AW61" s="72"/>
      <c r="AX61" s="72"/>
      <c r="AY61" s="72"/>
      <c r="AZ61" s="72"/>
      <c r="BA61" s="72"/>
      <c r="BB61" s="72"/>
      <c r="BC61" s="72"/>
      <c r="BD61" s="72"/>
      <c r="BE61" s="72"/>
      <c r="BF61" s="72"/>
      <c r="BG61" s="72"/>
      <c r="BH61" s="72"/>
      <c r="BI61" s="72"/>
      <c r="BJ61" s="72"/>
      <c r="BK61" s="72"/>
      <c r="BL61" s="72"/>
      <c r="BM61" s="72"/>
      <c r="BN61" s="72"/>
      <c r="BO61" s="72"/>
      <c r="BP61" s="72"/>
      <c r="BQ61" s="72"/>
      <c r="BR61" s="72"/>
      <c r="BS61" s="72"/>
      <c r="BT61" s="72"/>
      <c r="BU61" s="72"/>
      <c r="BV61" s="72"/>
      <c r="BW61" s="72"/>
      <c r="BX61" s="72"/>
      <c r="BY61" s="72"/>
      <c r="BZ61" s="72"/>
      <c r="CA61" s="73"/>
      <c r="CB61" s="60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  <c r="CW61" s="64"/>
      <c r="CX61" s="64"/>
      <c r="CY61" s="64"/>
      <c r="CZ61" s="64"/>
      <c r="DA61" s="64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</row>
    <row r="62" spans="2:130" x14ac:dyDescent="0.15">
      <c r="B62" s="58">
        <f>IF(G62&lt;&gt;"",SUBTOTAL(3,$G$5:G62),"")</f>
        <v>21</v>
      </c>
      <c r="C62" s="58"/>
      <c r="D62" s="58"/>
      <c r="E62" s="59" t="s">
        <v>139</v>
      </c>
      <c r="F62" s="59" t="s">
        <v>135</v>
      </c>
      <c r="G62" s="60" t="s">
        <v>218</v>
      </c>
      <c r="H62" s="61">
        <v>44066</v>
      </c>
      <c r="I62" s="62">
        <v>0</v>
      </c>
      <c r="J62" s="63" t="s">
        <v>257</v>
      </c>
      <c r="K62" s="64"/>
      <c r="L62" s="64"/>
      <c r="M62" s="64"/>
      <c r="N62" s="64"/>
      <c r="O62" s="64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/>
      <c r="AA62" s="64"/>
      <c r="AB62" s="64"/>
      <c r="AC62" s="64"/>
      <c r="AD62" s="64"/>
      <c r="AE62" s="64"/>
      <c r="AF62" s="64"/>
      <c r="AG62" s="64"/>
      <c r="AH62" s="64"/>
      <c r="AI62" s="64"/>
      <c r="AJ62" s="64"/>
      <c r="AK62" s="64"/>
      <c r="AL62" s="64"/>
      <c r="AM62" s="64"/>
      <c r="AN62" s="64"/>
      <c r="AO62" s="64"/>
      <c r="AP62" s="64"/>
      <c r="AQ62" s="64"/>
      <c r="AR62" s="65"/>
      <c r="AS62" s="63" t="s">
        <v>219</v>
      </c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4"/>
      <c r="BR62" s="64"/>
      <c r="BS62" s="64"/>
      <c r="BT62" s="64"/>
      <c r="BU62" s="64"/>
      <c r="BV62" s="64"/>
      <c r="BW62" s="64"/>
      <c r="BX62" s="64"/>
      <c r="BY62" s="64"/>
      <c r="BZ62" s="64"/>
      <c r="CA62" s="65"/>
      <c r="CB62" s="60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4"/>
      <c r="CV62" s="64"/>
      <c r="CW62" s="64"/>
      <c r="CX62" s="64"/>
      <c r="CY62" s="64"/>
      <c r="CZ62" s="64"/>
      <c r="DA62" s="64"/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</row>
    <row r="63" spans="2:130" x14ac:dyDescent="0.15">
      <c r="B63" s="58" t="str">
        <f>IF(G63&lt;&gt;"",SUBTOTAL(3,$G$5:G63),"")</f>
        <v/>
      </c>
      <c r="C63" s="58"/>
      <c r="D63" s="58"/>
      <c r="E63" s="59"/>
      <c r="F63" s="59"/>
      <c r="G63" s="60"/>
      <c r="H63" s="61"/>
      <c r="I63" s="68">
        <v>0</v>
      </c>
      <c r="J63" s="71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4"/>
      <c r="AH63" s="64"/>
      <c r="AI63" s="64"/>
      <c r="AJ63" s="64"/>
      <c r="AK63" s="64"/>
      <c r="AL63" s="64"/>
      <c r="AM63" s="64"/>
      <c r="AN63" s="64"/>
      <c r="AO63" s="64"/>
      <c r="AP63" s="64"/>
      <c r="AQ63" s="64"/>
      <c r="AR63" s="65"/>
      <c r="AS63" s="63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4"/>
      <c r="BR63" s="64"/>
      <c r="BS63" s="64"/>
      <c r="BT63" s="64"/>
      <c r="BU63" s="64"/>
      <c r="BV63" s="64"/>
      <c r="BW63" s="64"/>
      <c r="BX63" s="64"/>
      <c r="BY63" s="64"/>
      <c r="BZ63" s="64"/>
      <c r="CA63" s="65"/>
      <c r="CB63" s="60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</row>
    <row r="64" spans="2:130" x14ac:dyDescent="0.15">
      <c r="B64" s="58" t="str">
        <f>IF(G64&lt;&gt;"",SUBTOTAL(3,$G$5:G64),"")</f>
        <v/>
      </c>
      <c r="C64" s="58"/>
      <c r="D64" s="58"/>
      <c r="E64" s="59"/>
      <c r="F64" s="59"/>
      <c r="G64" s="60"/>
      <c r="H64" s="61"/>
      <c r="I64" s="68">
        <v>0</v>
      </c>
      <c r="J64" s="97" t="s">
        <v>370</v>
      </c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72"/>
      <c r="AB64" s="72"/>
      <c r="AC64" s="72"/>
      <c r="AD64" s="72"/>
      <c r="AE64" s="72"/>
      <c r="AF64" s="72"/>
      <c r="AG64" s="72"/>
      <c r="AH64" s="72"/>
      <c r="AI64" s="72"/>
      <c r="AJ64" s="72"/>
      <c r="AK64" s="72"/>
      <c r="AL64" s="72"/>
      <c r="AM64" s="72"/>
      <c r="AN64" s="72"/>
      <c r="AO64" s="72"/>
      <c r="AP64" s="72"/>
      <c r="AQ64" s="72"/>
      <c r="AR64" s="73"/>
      <c r="AS64" s="63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64"/>
      <c r="BS64" s="64"/>
      <c r="BT64" s="64"/>
      <c r="BU64" s="64"/>
      <c r="BV64" s="64"/>
      <c r="BW64" s="64"/>
      <c r="BX64" s="64"/>
      <c r="BY64" s="64"/>
      <c r="BZ64" s="64"/>
      <c r="CA64" s="65"/>
      <c r="CB64" s="60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4"/>
      <c r="CV64" s="64"/>
      <c r="CW64" s="64"/>
      <c r="CX64" s="64"/>
      <c r="CY64" s="64"/>
      <c r="CZ64" s="64"/>
      <c r="DA64" s="64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</row>
    <row r="65" spans="2:130" x14ac:dyDescent="0.15">
      <c r="B65" s="58" t="str">
        <f>IF(G65&lt;&gt;"",SUBTOTAL(3,$G$5:G65),"")</f>
        <v/>
      </c>
      <c r="C65" s="58"/>
      <c r="D65" s="58"/>
      <c r="E65" s="59"/>
      <c r="F65" s="59"/>
      <c r="G65" s="60"/>
      <c r="H65" s="61"/>
      <c r="I65" s="68">
        <v>0</v>
      </c>
      <c r="J65" s="98" t="s">
        <v>355</v>
      </c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3"/>
      <c r="AS65" s="63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4"/>
      <c r="BR65" s="64"/>
      <c r="BS65" s="64"/>
      <c r="BT65" s="64"/>
      <c r="BU65" s="64"/>
      <c r="BV65" s="64"/>
      <c r="BW65" s="64"/>
      <c r="BX65" s="64"/>
      <c r="BY65" s="64"/>
      <c r="BZ65" s="64"/>
      <c r="CA65" s="65"/>
      <c r="CB65" s="60"/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  <c r="CS65" s="64"/>
      <c r="CT65" s="64"/>
      <c r="CU65" s="64"/>
      <c r="CV65" s="64"/>
      <c r="CW65" s="64"/>
      <c r="CX65" s="64"/>
      <c r="CY65" s="64"/>
      <c r="CZ65" s="64"/>
      <c r="DA65" s="64"/>
      <c r="DB65" s="64"/>
      <c r="DC65" s="64"/>
      <c r="DD65" s="64"/>
      <c r="DE65" s="64"/>
      <c r="DF65" s="64"/>
      <c r="DG65" s="64"/>
      <c r="DH65" s="64"/>
      <c r="DI65" s="64"/>
      <c r="DJ65" s="64"/>
      <c r="DK65" s="64"/>
      <c r="DL65" s="64"/>
      <c r="DM65" s="64"/>
      <c r="DN65" s="64"/>
      <c r="DO65" s="64"/>
      <c r="DP65" s="64"/>
      <c r="DQ65" s="64"/>
      <c r="DR65" s="64"/>
      <c r="DS65" s="64"/>
      <c r="DT65" s="64"/>
      <c r="DU65" s="64"/>
      <c r="DV65" s="64"/>
      <c r="DW65" s="64"/>
      <c r="DX65" s="64"/>
      <c r="DY65" s="64"/>
      <c r="DZ65" s="64"/>
    </row>
    <row r="66" spans="2:130" x14ac:dyDescent="0.15">
      <c r="B66" s="58" t="str">
        <f>IF(G66&lt;&gt;"",SUBTOTAL(3,$G$5:G66),"")</f>
        <v/>
      </c>
      <c r="C66" s="58"/>
      <c r="D66" s="58"/>
      <c r="E66" s="59"/>
      <c r="F66" s="59"/>
      <c r="G66" s="60"/>
      <c r="H66" s="61"/>
      <c r="I66" s="68">
        <v>0</v>
      </c>
      <c r="J66" s="97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3"/>
      <c r="AS66" s="63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4"/>
      <c r="BR66" s="64"/>
      <c r="BS66" s="64"/>
      <c r="BT66" s="64"/>
      <c r="BU66" s="64"/>
      <c r="BV66" s="64"/>
      <c r="BW66" s="64"/>
      <c r="BX66" s="64"/>
      <c r="BY66" s="64"/>
      <c r="BZ66" s="64"/>
      <c r="CA66" s="65"/>
      <c r="CB66" s="60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  <c r="CS66" s="64"/>
      <c r="CT66" s="64"/>
      <c r="CU66" s="64"/>
      <c r="CV66" s="64"/>
      <c r="CW66" s="64"/>
      <c r="CX66" s="64"/>
      <c r="CY66" s="64"/>
      <c r="CZ66" s="64"/>
      <c r="DA66" s="64"/>
      <c r="DB66" s="64"/>
      <c r="DC66" s="64"/>
      <c r="DD66" s="64"/>
      <c r="DE66" s="64"/>
      <c r="DF66" s="64"/>
      <c r="DG66" s="64"/>
      <c r="DH66" s="64"/>
      <c r="DI66" s="64"/>
      <c r="DJ66" s="64"/>
      <c r="DK66" s="64"/>
      <c r="DL66" s="64"/>
      <c r="DM66" s="64"/>
      <c r="DN66" s="64"/>
      <c r="DO66" s="64"/>
      <c r="DP66" s="64"/>
      <c r="DQ66" s="64"/>
      <c r="DR66" s="64"/>
      <c r="DS66" s="64"/>
      <c r="DT66" s="64"/>
      <c r="DU66" s="64"/>
      <c r="DV66" s="64"/>
      <c r="DW66" s="64"/>
      <c r="DX66" s="64"/>
      <c r="DY66" s="64"/>
      <c r="DZ66" s="64"/>
    </row>
    <row r="67" spans="2:130" x14ac:dyDescent="0.15">
      <c r="B67" s="58">
        <f>IF(G67&lt;&gt;"",SUBTOTAL(3,$G$5:G67),"")</f>
        <v>22</v>
      </c>
      <c r="C67" s="58"/>
      <c r="D67" s="58"/>
      <c r="E67" s="105" t="s">
        <v>139</v>
      </c>
      <c r="F67" s="105" t="s">
        <v>135</v>
      </c>
      <c r="G67" s="106" t="s">
        <v>116</v>
      </c>
      <c r="H67" s="103">
        <v>43869</v>
      </c>
      <c r="I67" s="62"/>
      <c r="J67" s="63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5"/>
      <c r="AS67" s="63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4"/>
      <c r="BR67" s="64"/>
      <c r="BS67" s="64"/>
      <c r="BT67" s="64"/>
      <c r="BU67" s="64"/>
      <c r="BV67" s="64"/>
      <c r="BW67" s="64"/>
      <c r="BX67" s="64"/>
      <c r="BY67" s="64"/>
      <c r="BZ67" s="64"/>
      <c r="CA67" s="65"/>
      <c r="CB67" s="60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  <c r="CS67" s="64"/>
      <c r="CT67" s="64"/>
      <c r="CU67" s="64"/>
      <c r="CV67" s="64"/>
      <c r="CW67" s="64"/>
      <c r="CX67" s="64"/>
      <c r="CY67" s="64"/>
      <c r="CZ67" s="64"/>
      <c r="DA67" s="64"/>
      <c r="DB67" s="64"/>
      <c r="DC67" s="64"/>
      <c r="DD67" s="64"/>
      <c r="DE67" s="64"/>
      <c r="DF67" s="64"/>
      <c r="DG67" s="64"/>
      <c r="DH67" s="64"/>
      <c r="DI67" s="64"/>
      <c r="DJ67" s="64"/>
      <c r="DK67" s="64"/>
      <c r="DL67" s="64"/>
      <c r="DM67" s="64"/>
      <c r="DN67" s="64"/>
      <c r="DO67" s="64"/>
      <c r="DP67" s="64"/>
      <c r="DQ67" s="64"/>
      <c r="DR67" s="64"/>
      <c r="DS67" s="64"/>
      <c r="DT67" s="64"/>
      <c r="DU67" s="64"/>
      <c r="DV67" s="64"/>
      <c r="DW67" s="64"/>
      <c r="DX67" s="64"/>
      <c r="DY67" s="64"/>
      <c r="DZ67" s="64"/>
    </row>
    <row r="68" spans="2:130" x14ac:dyDescent="0.15">
      <c r="B68" s="58">
        <f>IF(G68&lt;&gt;"",SUBTOTAL(3,$G$5:G68),"")</f>
        <v>23</v>
      </c>
      <c r="C68" s="58"/>
      <c r="D68" s="58"/>
      <c r="E68" s="105" t="s">
        <v>139</v>
      </c>
      <c r="F68" s="105" t="s">
        <v>135</v>
      </c>
      <c r="G68" s="106" t="s">
        <v>157</v>
      </c>
      <c r="H68" s="103">
        <v>43995</v>
      </c>
      <c r="I68" s="62"/>
      <c r="J68" s="63"/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5"/>
      <c r="AS68" s="63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4"/>
      <c r="BR68" s="64"/>
      <c r="BS68" s="64"/>
      <c r="BT68" s="64"/>
      <c r="BU68" s="64"/>
      <c r="BV68" s="64"/>
      <c r="BW68" s="64"/>
      <c r="BX68" s="64"/>
      <c r="BY68" s="64"/>
      <c r="BZ68" s="64"/>
      <c r="CA68" s="65"/>
      <c r="CB68" s="67" t="s">
        <v>13</v>
      </c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  <c r="CS68" s="64"/>
      <c r="CT68" s="64"/>
      <c r="CU68" s="64"/>
      <c r="CV68" s="64"/>
      <c r="CW68" s="64"/>
      <c r="CX68" s="64"/>
      <c r="CY68" s="64"/>
      <c r="CZ68" s="64"/>
      <c r="DA68" s="64"/>
      <c r="DB68" s="64"/>
      <c r="DC68" s="64"/>
      <c r="DD68" s="64"/>
      <c r="DE68" s="64"/>
      <c r="DF68" s="64"/>
      <c r="DG68" s="64"/>
      <c r="DH68" s="64"/>
      <c r="DI68" s="64"/>
      <c r="DJ68" s="64"/>
      <c r="DK68" s="64"/>
      <c r="DL68" s="64"/>
      <c r="DM68" s="64"/>
      <c r="DN68" s="64"/>
      <c r="DO68" s="64"/>
      <c r="DP68" s="64"/>
      <c r="DQ68" s="64"/>
      <c r="DR68" s="64"/>
      <c r="DS68" s="64"/>
      <c r="DT68" s="64"/>
      <c r="DU68" s="64"/>
      <c r="DV68" s="64"/>
      <c r="DW68" s="64"/>
      <c r="DX68" s="64"/>
      <c r="DY68" s="64"/>
      <c r="DZ68" s="64"/>
    </row>
    <row r="69" spans="2:130" x14ac:dyDescent="0.15">
      <c r="B69" s="58">
        <f>IF(G69&lt;&gt;"",SUBTOTAL(3,$G$5:G69),"")</f>
        <v>24</v>
      </c>
      <c r="C69" s="58"/>
      <c r="D69" s="58"/>
      <c r="E69" s="105" t="s">
        <v>139</v>
      </c>
      <c r="F69" s="105" t="s">
        <v>135</v>
      </c>
      <c r="G69" s="106" t="s">
        <v>158</v>
      </c>
      <c r="H69" s="103">
        <v>43961</v>
      </c>
      <c r="I69" s="62"/>
      <c r="J69" s="63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5"/>
      <c r="AS69" s="63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4"/>
      <c r="BR69" s="64"/>
      <c r="BS69" s="64"/>
      <c r="BT69" s="64"/>
      <c r="BU69" s="64"/>
      <c r="BV69" s="64"/>
      <c r="BW69" s="64"/>
      <c r="BX69" s="64"/>
      <c r="BY69" s="64"/>
      <c r="BZ69" s="64"/>
      <c r="CA69" s="65"/>
      <c r="CB69" s="60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  <c r="CS69" s="64"/>
      <c r="CT69" s="64"/>
      <c r="CU69" s="64"/>
      <c r="CV69" s="64"/>
      <c r="CW69" s="64"/>
      <c r="CX69" s="64"/>
      <c r="CY69" s="64"/>
      <c r="CZ69" s="64"/>
      <c r="DA69" s="64"/>
      <c r="DB69" s="64"/>
      <c r="DC69" s="64"/>
      <c r="DD69" s="64"/>
      <c r="DE69" s="64"/>
      <c r="DF69" s="64"/>
      <c r="DG69" s="64"/>
      <c r="DH69" s="64"/>
      <c r="DI69" s="64"/>
      <c r="DJ69" s="64"/>
      <c r="DK69" s="64"/>
      <c r="DL69" s="64"/>
      <c r="DM69" s="64"/>
      <c r="DN69" s="64"/>
      <c r="DO69" s="64"/>
      <c r="DP69" s="64"/>
      <c r="DQ69" s="64"/>
      <c r="DR69" s="64"/>
      <c r="DS69" s="64"/>
      <c r="DT69" s="64"/>
      <c r="DU69" s="64"/>
      <c r="DV69" s="64"/>
      <c r="DW69" s="64"/>
      <c r="DX69" s="64"/>
      <c r="DY69" s="64"/>
      <c r="DZ69" s="64"/>
    </row>
    <row r="70" spans="2:130" x14ac:dyDescent="0.15">
      <c r="B70" s="58">
        <f>IF(G70&lt;&gt;"",SUBTOTAL(3,$G$5:G70),"")</f>
        <v>25</v>
      </c>
      <c r="C70" s="58"/>
      <c r="D70" s="58"/>
      <c r="E70" s="105" t="s">
        <v>139</v>
      </c>
      <c r="F70" s="105" t="s">
        <v>135</v>
      </c>
      <c r="G70" s="106" t="s">
        <v>159</v>
      </c>
      <c r="H70" s="103">
        <v>43995</v>
      </c>
      <c r="I70" s="62"/>
      <c r="J70" s="63"/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5"/>
      <c r="AS70" s="63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4"/>
      <c r="BR70" s="64"/>
      <c r="BS70" s="64"/>
      <c r="BT70" s="64"/>
      <c r="BU70" s="64"/>
      <c r="BV70" s="64"/>
      <c r="BW70" s="64"/>
      <c r="BX70" s="64"/>
      <c r="BY70" s="64"/>
      <c r="BZ70" s="64"/>
      <c r="CA70" s="65"/>
      <c r="CB70" s="60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  <c r="CS70" s="64"/>
      <c r="CT70" s="64"/>
      <c r="CU70" s="64"/>
      <c r="CV70" s="64"/>
      <c r="CW70" s="64"/>
      <c r="CX70" s="64"/>
      <c r="CY70" s="64"/>
      <c r="CZ70" s="64"/>
      <c r="DA70" s="64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DT70" s="64"/>
      <c r="DU70" s="64"/>
      <c r="DV70" s="64"/>
      <c r="DW70" s="64"/>
      <c r="DX70" s="64"/>
      <c r="DY70" s="64"/>
      <c r="DZ70" s="64"/>
    </row>
    <row r="71" spans="2:130" x14ac:dyDescent="0.15">
      <c r="B71" s="58">
        <f>IF(G71&lt;&gt;"",SUBTOTAL(3,$G$5:G71),"")</f>
        <v>26</v>
      </c>
      <c r="C71" s="58"/>
      <c r="D71" s="58"/>
      <c r="E71" s="59" t="s">
        <v>139</v>
      </c>
      <c r="F71" s="59" t="s">
        <v>135</v>
      </c>
      <c r="G71" s="60" t="s">
        <v>217</v>
      </c>
      <c r="H71" s="61">
        <v>44058</v>
      </c>
      <c r="I71" s="62">
        <v>1</v>
      </c>
      <c r="J71" s="63" t="s">
        <v>371</v>
      </c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5"/>
      <c r="AS71" s="63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4"/>
      <c r="BR71" s="64"/>
      <c r="BS71" s="64"/>
      <c r="BT71" s="64"/>
      <c r="BU71" s="64"/>
      <c r="BV71" s="64"/>
      <c r="BW71" s="64"/>
      <c r="BX71" s="64"/>
      <c r="BY71" s="64"/>
      <c r="BZ71" s="64"/>
      <c r="CA71" s="65"/>
      <c r="CB71" s="60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  <c r="CS71" s="64"/>
      <c r="CT71" s="64"/>
      <c r="CU71" s="64"/>
      <c r="CV71" s="64"/>
      <c r="CW71" s="64"/>
      <c r="CX71" s="64"/>
      <c r="CY71" s="64"/>
      <c r="CZ71" s="64"/>
      <c r="DA71" s="64"/>
      <c r="DB71" s="64"/>
      <c r="DC71" s="64"/>
      <c r="DD71" s="64"/>
      <c r="DE71" s="64"/>
      <c r="DF71" s="64"/>
      <c r="DG71" s="64"/>
      <c r="DH71" s="64"/>
      <c r="DI71" s="64"/>
      <c r="DJ71" s="64"/>
      <c r="DK71" s="64"/>
      <c r="DL71" s="64"/>
      <c r="DM71" s="64"/>
      <c r="DN71" s="64"/>
      <c r="DO71" s="64"/>
      <c r="DP71" s="64"/>
      <c r="DQ71" s="64"/>
      <c r="DR71" s="64"/>
      <c r="DS71" s="64"/>
      <c r="DT71" s="64"/>
      <c r="DU71" s="64"/>
      <c r="DV71" s="64"/>
      <c r="DW71" s="64"/>
      <c r="DX71" s="64"/>
      <c r="DY71" s="64"/>
      <c r="DZ71" s="64"/>
    </row>
    <row r="72" spans="2:130" x14ac:dyDescent="0.15">
      <c r="B72" s="58" t="str">
        <f>IF(G72&lt;&gt;"",SUBTOTAL(3,$G$5:G72),"")</f>
        <v/>
      </c>
      <c r="C72" s="58"/>
      <c r="D72" s="58"/>
      <c r="E72" s="59"/>
      <c r="F72" s="59"/>
      <c r="G72" s="60"/>
      <c r="H72" s="61"/>
      <c r="I72" s="70">
        <v>1</v>
      </c>
      <c r="J72" s="63"/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5"/>
      <c r="AS72" s="63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4"/>
      <c r="BR72" s="64"/>
      <c r="BS72" s="64"/>
      <c r="BT72" s="64"/>
      <c r="BU72" s="64"/>
      <c r="BV72" s="64"/>
      <c r="BW72" s="64"/>
      <c r="BX72" s="64"/>
      <c r="BY72" s="64"/>
      <c r="BZ72" s="64"/>
      <c r="CA72" s="65"/>
      <c r="CB72" s="60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  <c r="CS72" s="64"/>
      <c r="CT72" s="64"/>
      <c r="CU72" s="64"/>
      <c r="CV72" s="64"/>
      <c r="CW72" s="64"/>
      <c r="CX72" s="64"/>
      <c r="CY72" s="64"/>
      <c r="CZ72" s="64"/>
      <c r="DA72" s="64"/>
      <c r="DB72" s="64"/>
      <c r="DC72" s="64"/>
      <c r="DD72" s="64"/>
      <c r="DE72" s="64"/>
      <c r="DF72" s="64"/>
      <c r="DG72" s="64"/>
      <c r="DH72" s="64"/>
      <c r="DI72" s="64"/>
      <c r="DJ72" s="64"/>
      <c r="DK72" s="64"/>
      <c r="DL72" s="64"/>
      <c r="DM72" s="64"/>
      <c r="DN72" s="64"/>
      <c r="DO72" s="64"/>
      <c r="DP72" s="64"/>
      <c r="DQ72" s="64"/>
      <c r="DR72" s="64"/>
      <c r="DS72" s="64"/>
      <c r="DT72" s="64"/>
      <c r="DU72" s="64"/>
      <c r="DV72" s="64"/>
      <c r="DW72" s="64"/>
      <c r="DX72" s="64"/>
      <c r="DY72" s="64"/>
      <c r="DZ72" s="64"/>
    </row>
    <row r="73" spans="2:130" x14ac:dyDescent="0.15">
      <c r="B73" s="58">
        <f>IF(G73&lt;&gt;"",SUBTOTAL(3,$G$5:G73),"")</f>
        <v>27</v>
      </c>
      <c r="C73" s="58"/>
      <c r="D73" s="58"/>
      <c r="E73" s="59" t="s">
        <v>139</v>
      </c>
      <c r="F73" s="59" t="s">
        <v>135</v>
      </c>
      <c r="G73" s="60" t="s">
        <v>216</v>
      </c>
      <c r="H73" s="61">
        <v>44057</v>
      </c>
      <c r="I73" s="62">
        <v>1</v>
      </c>
      <c r="J73" s="63" t="s">
        <v>258</v>
      </c>
      <c r="K73" s="64"/>
      <c r="L73" s="64"/>
      <c r="M73" s="64"/>
      <c r="N73" s="64"/>
      <c r="O73" s="64"/>
      <c r="P73" s="64"/>
      <c r="Q73" s="64"/>
      <c r="R73" s="64"/>
      <c r="S73" s="64"/>
      <c r="T73" s="64"/>
      <c r="U73" s="64"/>
      <c r="V73" s="64"/>
      <c r="W73" s="64"/>
      <c r="X73" s="64"/>
      <c r="Y73" s="64"/>
      <c r="Z73" s="64"/>
      <c r="AA73" s="64"/>
      <c r="AB73" s="64"/>
      <c r="AC73" s="64"/>
      <c r="AD73" s="64"/>
      <c r="AE73" s="64"/>
      <c r="AF73" s="64"/>
      <c r="AG73" s="64"/>
      <c r="AH73" s="64"/>
      <c r="AI73" s="64"/>
      <c r="AJ73" s="64"/>
      <c r="AK73" s="64"/>
      <c r="AL73" s="64"/>
      <c r="AM73" s="64"/>
      <c r="AN73" s="64"/>
      <c r="AO73" s="64"/>
      <c r="AP73" s="64"/>
      <c r="AQ73" s="64"/>
      <c r="AR73" s="65"/>
      <c r="AS73" s="63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4"/>
      <c r="BR73" s="64"/>
      <c r="BS73" s="64"/>
      <c r="BT73" s="64"/>
      <c r="BU73" s="64"/>
      <c r="BV73" s="64"/>
      <c r="BW73" s="64"/>
      <c r="BX73" s="64"/>
      <c r="BY73" s="64"/>
      <c r="BZ73" s="64"/>
      <c r="CA73" s="65"/>
      <c r="CB73" s="60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  <c r="CS73" s="64"/>
      <c r="CT73" s="64"/>
      <c r="CU73" s="64"/>
      <c r="CV73" s="64"/>
      <c r="CW73" s="64"/>
      <c r="CX73" s="64"/>
      <c r="CY73" s="64"/>
      <c r="CZ73" s="64"/>
      <c r="DA73" s="64"/>
      <c r="DB73" s="64"/>
      <c r="DC73" s="64"/>
      <c r="DD73" s="64"/>
      <c r="DE73" s="64"/>
      <c r="DF73" s="64"/>
      <c r="DG73" s="64"/>
      <c r="DH73" s="64"/>
      <c r="DI73" s="64"/>
      <c r="DJ73" s="64"/>
      <c r="DK73" s="64"/>
      <c r="DL73" s="64"/>
      <c r="DM73" s="64"/>
      <c r="DN73" s="64"/>
      <c r="DO73" s="64"/>
      <c r="DP73" s="64"/>
      <c r="DQ73" s="64"/>
      <c r="DR73" s="64"/>
      <c r="DS73" s="64"/>
      <c r="DT73" s="64"/>
      <c r="DU73" s="64"/>
      <c r="DV73" s="64"/>
      <c r="DW73" s="64"/>
      <c r="DX73" s="64"/>
      <c r="DY73" s="64"/>
      <c r="DZ73" s="64"/>
    </row>
    <row r="74" spans="2:130" x14ac:dyDescent="0.15">
      <c r="B74" s="58" t="str">
        <f>IF(G74&lt;&gt;"",SUBTOTAL(3,$G$5:G74),"")</f>
        <v/>
      </c>
      <c r="C74" s="58"/>
      <c r="D74" s="58"/>
      <c r="E74" s="59"/>
      <c r="F74" s="59"/>
      <c r="G74" s="60"/>
      <c r="H74" s="61"/>
      <c r="I74" s="70">
        <v>1</v>
      </c>
      <c r="J74" s="63" t="s">
        <v>259</v>
      </c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64"/>
      <c r="AH74" s="64"/>
      <c r="AI74" s="64"/>
      <c r="AJ74" s="64"/>
      <c r="AK74" s="64"/>
      <c r="AL74" s="64"/>
      <c r="AM74" s="64"/>
      <c r="AN74" s="64"/>
      <c r="AO74" s="64"/>
      <c r="AP74" s="64"/>
      <c r="AQ74" s="64"/>
      <c r="AR74" s="65"/>
      <c r="AS74" s="63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4"/>
      <c r="BR74" s="64"/>
      <c r="BS74" s="64"/>
      <c r="BT74" s="64"/>
      <c r="BU74" s="64"/>
      <c r="BV74" s="64"/>
      <c r="BW74" s="64"/>
      <c r="BX74" s="64"/>
      <c r="BY74" s="64"/>
      <c r="BZ74" s="64"/>
      <c r="CA74" s="65"/>
      <c r="CB74" s="60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  <c r="CS74" s="64"/>
      <c r="CT74" s="64"/>
      <c r="CU74" s="64"/>
      <c r="CV74" s="64"/>
      <c r="CW74" s="64"/>
      <c r="CX74" s="64"/>
      <c r="CY74" s="64"/>
      <c r="CZ74" s="64"/>
      <c r="DA74" s="64"/>
      <c r="DB74" s="64"/>
      <c r="DC74" s="64"/>
      <c r="DD74" s="64"/>
      <c r="DE74" s="64"/>
      <c r="DF74" s="64"/>
      <c r="DG74" s="64"/>
      <c r="DH74" s="64"/>
      <c r="DI74" s="64"/>
      <c r="DJ74" s="64"/>
      <c r="DK74" s="64"/>
      <c r="DL74" s="64"/>
      <c r="DM74" s="64"/>
      <c r="DN74" s="64"/>
      <c r="DO74" s="64"/>
      <c r="DP74" s="64"/>
      <c r="DQ74" s="64"/>
      <c r="DR74" s="64"/>
      <c r="DS74" s="64"/>
      <c r="DT74" s="64"/>
      <c r="DU74" s="64"/>
      <c r="DV74" s="64"/>
      <c r="DW74" s="64"/>
      <c r="DX74" s="64"/>
      <c r="DY74" s="64"/>
      <c r="DZ74" s="64"/>
    </row>
    <row r="75" spans="2:130" x14ac:dyDescent="0.15">
      <c r="B75" s="58" t="str">
        <f>IF(G75&lt;&gt;"",SUBTOTAL(3,$G$5:G75),"")</f>
        <v/>
      </c>
      <c r="C75" s="58"/>
      <c r="D75" s="58"/>
      <c r="E75" s="59"/>
      <c r="F75" s="59"/>
      <c r="G75" s="60"/>
      <c r="H75" s="61"/>
      <c r="I75" s="70">
        <v>1</v>
      </c>
      <c r="J75" s="63" t="s">
        <v>260</v>
      </c>
      <c r="K75" s="64"/>
      <c r="L75" s="64"/>
      <c r="M75" s="64"/>
      <c r="N75" s="64"/>
      <c r="O75" s="64"/>
      <c r="P75" s="64"/>
      <c r="Q75" s="64"/>
      <c r="R75" s="64"/>
      <c r="S75" s="64"/>
      <c r="T75" s="64"/>
      <c r="U75" s="64"/>
      <c r="V75" s="64"/>
      <c r="W75" s="64"/>
      <c r="X75" s="64"/>
      <c r="Y75" s="64"/>
      <c r="Z75" s="64"/>
      <c r="AA75" s="64"/>
      <c r="AB75" s="64"/>
      <c r="AC75" s="64"/>
      <c r="AD75" s="64"/>
      <c r="AE75" s="64"/>
      <c r="AF75" s="64"/>
      <c r="AG75" s="64"/>
      <c r="AH75" s="64"/>
      <c r="AI75" s="64"/>
      <c r="AJ75" s="64"/>
      <c r="AK75" s="64"/>
      <c r="AL75" s="64"/>
      <c r="AM75" s="64"/>
      <c r="AN75" s="64"/>
      <c r="AO75" s="64"/>
      <c r="AP75" s="64"/>
      <c r="AQ75" s="64"/>
      <c r="AR75" s="65"/>
      <c r="AS75" s="63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4"/>
      <c r="BR75" s="64"/>
      <c r="BS75" s="64"/>
      <c r="BT75" s="64"/>
      <c r="BU75" s="64"/>
      <c r="BV75" s="64"/>
      <c r="BW75" s="64"/>
      <c r="BX75" s="64"/>
      <c r="BY75" s="64"/>
      <c r="BZ75" s="64"/>
      <c r="CA75" s="65"/>
      <c r="CB75" s="60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</row>
    <row r="76" spans="2:130" x14ac:dyDescent="0.15">
      <c r="B76" s="58" t="str">
        <f>IF(G76&lt;&gt;"",SUBTOTAL(3,$G$5:G76),"")</f>
        <v/>
      </c>
      <c r="C76" s="58"/>
      <c r="D76" s="58"/>
      <c r="E76" s="59"/>
      <c r="F76" s="59"/>
      <c r="G76" s="60"/>
      <c r="H76" s="61"/>
      <c r="I76" s="70">
        <v>1</v>
      </c>
      <c r="J76" s="63" t="s">
        <v>261</v>
      </c>
      <c r="K76" s="64"/>
      <c r="L76" s="64"/>
      <c r="M76" s="64"/>
      <c r="N76" s="64"/>
      <c r="O76" s="64"/>
      <c r="P76" s="64"/>
      <c r="Q76" s="64"/>
      <c r="R76" s="64"/>
      <c r="S76" s="64"/>
      <c r="T76" s="64"/>
      <c r="U76" s="64"/>
      <c r="V76" s="64"/>
      <c r="W76" s="64"/>
      <c r="X76" s="64"/>
      <c r="Y76" s="64"/>
      <c r="Z76" s="64"/>
      <c r="AA76" s="64"/>
      <c r="AB76" s="64"/>
      <c r="AC76" s="64"/>
      <c r="AD76" s="64"/>
      <c r="AE76" s="64"/>
      <c r="AF76" s="64"/>
      <c r="AG76" s="64"/>
      <c r="AH76" s="64"/>
      <c r="AI76" s="64"/>
      <c r="AJ76" s="64"/>
      <c r="AK76" s="64"/>
      <c r="AL76" s="64"/>
      <c r="AM76" s="64"/>
      <c r="AN76" s="64"/>
      <c r="AO76" s="64"/>
      <c r="AP76" s="64"/>
      <c r="AQ76" s="64"/>
      <c r="AR76" s="65"/>
      <c r="AS76" s="63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4"/>
      <c r="BR76" s="64"/>
      <c r="BS76" s="64"/>
      <c r="BT76" s="64"/>
      <c r="BU76" s="64"/>
      <c r="BV76" s="64"/>
      <c r="BW76" s="64"/>
      <c r="BX76" s="64"/>
      <c r="BY76" s="64"/>
      <c r="BZ76" s="64"/>
      <c r="CA76" s="65"/>
      <c r="CB76" s="60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  <c r="CS76" s="64"/>
      <c r="CT76" s="64"/>
      <c r="CU76" s="64"/>
      <c r="CV76" s="64"/>
      <c r="CW76" s="64"/>
      <c r="CX76" s="64"/>
      <c r="CY76" s="64"/>
      <c r="CZ76" s="64"/>
      <c r="DA76" s="64"/>
      <c r="DB76" s="64"/>
      <c r="DC76" s="64"/>
      <c r="DD76" s="64"/>
      <c r="DE76" s="64"/>
      <c r="DF76" s="64"/>
      <c r="DG76" s="64"/>
      <c r="DH76" s="64"/>
      <c r="DI76" s="64"/>
      <c r="DJ76" s="64"/>
      <c r="DK76" s="64"/>
      <c r="DL76" s="64"/>
      <c r="DM76" s="64"/>
      <c r="DN76" s="64"/>
      <c r="DO76" s="64"/>
      <c r="DP76" s="64"/>
      <c r="DQ76" s="64"/>
      <c r="DR76" s="64"/>
      <c r="DS76" s="64"/>
      <c r="DT76" s="64"/>
      <c r="DU76" s="64"/>
      <c r="DV76" s="64"/>
      <c r="DW76" s="64"/>
      <c r="DX76" s="64"/>
      <c r="DY76" s="64"/>
      <c r="DZ76" s="64"/>
    </row>
    <row r="77" spans="2:130" x14ac:dyDescent="0.15">
      <c r="B77" s="58" t="str">
        <f>IF(G77&lt;&gt;"",SUBTOTAL(3,$G$5:G77),"")</f>
        <v/>
      </c>
      <c r="C77" s="58"/>
      <c r="D77" s="58"/>
      <c r="E77" s="59"/>
      <c r="F77" s="59"/>
      <c r="G77" s="60"/>
      <c r="H77" s="61"/>
      <c r="I77" s="70">
        <v>1</v>
      </c>
      <c r="J77" s="63" t="s">
        <v>262</v>
      </c>
      <c r="K77" s="64"/>
      <c r="L77" s="64"/>
      <c r="M77" s="64"/>
      <c r="N77" s="64"/>
      <c r="O77" s="64"/>
      <c r="P77" s="64"/>
      <c r="Q77" s="64"/>
      <c r="R77" s="64"/>
      <c r="S77" s="64"/>
      <c r="T77" s="64"/>
      <c r="U77" s="64"/>
      <c r="V77" s="64"/>
      <c r="W77" s="64"/>
      <c r="X77" s="64"/>
      <c r="Y77" s="64"/>
      <c r="Z77" s="64"/>
      <c r="AA77" s="64"/>
      <c r="AB77" s="64"/>
      <c r="AC77" s="64"/>
      <c r="AD77" s="64"/>
      <c r="AE77" s="64"/>
      <c r="AF77" s="64"/>
      <c r="AG77" s="64"/>
      <c r="AH77" s="64"/>
      <c r="AI77" s="64"/>
      <c r="AJ77" s="64"/>
      <c r="AK77" s="64"/>
      <c r="AL77" s="64"/>
      <c r="AM77" s="64"/>
      <c r="AN77" s="64"/>
      <c r="AO77" s="64"/>
      <c r="AP77" s="64"/>
      <c r="AQ77" s="64"/>
      <c r="AR77" s="65"/>
      <c r="AS77" s="63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4"/>
      <c r="BR77" s="64"/>
      <c r="BS77" s="64"/>
      <c r="BT77" s="64"/>
      <c r="BU77" s="64"/>
      <c r="BV77" s="64"/>
      <c r="BW77" s="64"/>
      <c r="BX77" s="64"/>
      <c r="BY77" s="64"/>
      <c r="BZ77" s="64"/>
      <c r="CA77" s="65"/>
      <c r="CB77" s="60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4"/>
      <c r="CV77" s="64"/>
      <c r="CW77" s="64"/>
      <c r="CX77" s="64"/>
      <c r="CY77" s="64"/>
      <c r="CZ77" s="64"/>
      <c r="DA77" s="64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</row>
    <row r="78" spans="2:130" x14ac:dyDescent="0.15">
      <c r="B78" s="58" t="str">
        <f>IF(G78&lt;&gt;"",SUBTOTAL(3,$G$5:G78),"")</f>
        <v/>
      </c>
      <c r="C78" s="58"/>
      <c r="D78" s="58"/>
      <c r="E78" s="59"/>
      <c r="F78" s="59"/>
      <c r="G78" s="60"/>
      <c r="H78" s="61"/>
      <c r="I78" s="70">
        <v>1</v>
      </c>
      <c r="J78" s="63" t="s">
        <v>263</v>
      </c>
      <c r="K78" s="64"/>
      <c r="L78" s="64"/>
      <c r="M78" s="64"/>
      <c r="N78" s="64"/>
      <c r="O78" s="64"/>
      <c r="P78" s="64"/>
      <c r="Q78" s="64"/>
      <c r="R78" s="64"/>
      <c r="S78" s="64"/>
      <c r="T78" s="64"/>
      <c r="U78" s="64"/>
      <c r="V78" s="64"/>
      <c r="W78" s="64"/>
      <c r="X78" s="64"/>
      <c r="Y78" s="64"/>
      <c r="Z78" s="64"/>
      <c r="AA78" s="64"/>
      <c r="AB78" s="64"/>
      <c r="AC78" s="64"/>
      <c r="AD78" s="64"/>
      <c r="AE78" s="64"/>
      <c r="AF78" s="64"/>
      <c r="AG78" s="64"/>
      <c r="AH78" s="64"/>
      <c r="AI78" s="64"/>
      <c r="AJ78" s="64"/>
      <c r="AK78" s="64"/>
      <c r="AL78" s="64"/>
      <c r="AM78" s="64"/>
      <c r="AN78" s="64"/>
      <c r="AO78" s="64"/>
      <c r="AP78" s="64"/>
      <c r="AQ78" s="64"/>
      <c r="AR78" s="65"/>
      <c r="AS78" s="63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4"/>
      <c r="BR78" s="64"/>
      <c r="BS78" s="64"/>
      <c r="BT78" s="64"/>
      <c r="BU78" s="64"/>
      <c r="BV78" s="64"/>
      <c r="BW78" s="64"/>
      <c r="BX78" s="64"/>
      <c r="BY78" s="64"/>
      <c r="BZ78" s="64"/>
      <c r="CA78" s="65"/>
      <c r="CB78" s="60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4"/>
      <c r="CV78" s="64"/>
      <c r="CW78" s="64"/>
      <c r="CX78" s="64"/>
      <c r="CY78" s="64"/>
      <c r="CZ78" s="64"/>
      <c r="DA78" s="64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</row>
    <row r="79" spans="2:130" x14ac:dyDescent="0.15">
      <c r="B79" s="58" t="str">
        <f>IF(G79&lt;&gt;"",SUBTOTAL(3,$G$5:G79),"")</f>
        <v/>
      </c>
      <c r="C79" s="58"/>
      <c r="D79" s="58"/>
      <c r="E79" s="59"/>
      <c r="F79" s="59"/>
      <c r="G79" s="60"/>
      <c r="H79" s="61"/>
      <c r="I79" s="70">
        <v>1</v>
      </c>
      <c r="J79" s="63" t="s">
        <v>264</v>
      </c>
      <c r="K79" s="64"/>
      <c r="L79" s="64"/>
      <c r="M79" s="64"/>
      <c r="N79" s="64"/>
      <c r="O79" s="64"/>
      <c r="P79" s="64"/>
      <c r="Q79" s="64"/>
      <c r="R79" s="64"/>
      <c r="S79" s="64"/>
      <c r="T79" s="64"/>
      <c r="U79" s="64"/>
      <c r="V79" s="64"/>
      <c r="W79" s="64"/>
      <c r="X79" s="64"/>
      <c r="Y79" s="64"/>
      <c r="Z79" s="64"/>
      <c r="AA79" s="64"/>
      <c r="AB79" s="64"/>
      <c r="AC79" s="64"/>
      <c r="AD79" s="64"/>
      <c r="AE79" s="64"/>
      <c r="AF79" s="64"/>
      <c r="AG79" s="64"/>
      <c r="AH79" s="64"/>
      <c r="AI79" s="64"/>
      <c r="AJ79" s="64"/>
      <c r="AK79" s="64"/>
      <c r="AL79" s="64"/>
      <c r="AM79" s="64"/>
      <c r="AN79" s="64"/>
      <c r="AO79" s="64"/>
      <c r="AP79" s="64"/>
      <c r="AQ79" s="64"/>
      <c r="AR79" s="65"/>
      <c r="AS79" s="63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R79" s="64"/>
      <c r="BS79" s="64"/>
      <c r="BT79" s="64"/>
      <c r="BU79" s="64"/>
      <c r="BV79" s="64"/>
      <c r="BW79" s="64"/>
      <c r="BX79" s="64"/>
      <c r="BY79" s="64"/>
      <c r="BZ79" s="64"/>
      <c r="CA79" s="65"/>
      <c r="CB79" s="60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4"/>
      <c r="CV79" s="64"/>
      <c r="CW79" s="64"/>
      <c r="CX79" s="64"/>
      <c r="CY79" s="64"/>
      <c r="CZ79" s="64"/>
      <c r="DA79" s="64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</row>
    <row r="80" spans="2:130" x14ac:dyDescent="0.15">
      <c r="B80" s="58" t="str">
        <f>IF(G80&lt;&gt;"",SUBTOTAL(3,$G$5:G80),"")</f>
        <v/>
      </c>
      <c r="C80" s="58"/>
      <c r="D80" s="58"/>
      <c r="E80" s="59"/>
      <c r="F80" s="59"/>
      <c r="G80" s="60"/>
      <c r="H80" s="61"/>
      <c r="I80" s="70">
        <v>1</v>
      </c>
      <c r="J80" s="63" t="s">
        <v>265</v>
      </c>
      <c r="K80" s="64"/>
      <c r="L80" s="64"/>
      <c r="M80" s="64"/>
      <c r="N80" s="64"/>
      <c r="O80" s="64"/>
      <c r="P80" s="64"/>
      <c r="Q80" s="64"/>
      <c r="R80" s="64"/>
      <c r="S80" s="64"/>
      <c r="T80" s="64"/>
      <c r="U80" s="64"/>
      <c r="V80" s="64"/>
      <c r="W80" s="64"/>
      <c r="X80" s="64"/>
      <c r="Y80" s="64"/>
      <c r="Z80" s="64"/>
      <c r="AA80" s="64"/>
      <c r="AB80" s="64"/>
      <c r="AC80" s="64"/>
      <c r="AD80" s="64"/>
      <c r="AE80" s="64"/>
      <c r="AF80" s="64"/>
      <c r="AG80" s="64"/>
      <c r="AH80" s="64"/>
      <c r="AI80" s="64"/>
      <c r="AJ80" s="64"/>
      <c r="AK80" s="64"/>
      <c r="AL80" s="64"/>
      <c r="AM80" s="64"/>
      <c r="AN80" s="64"/>
      <c r="AO80" s="64"/>
      <c r="AP80" s="64"/>
      <c r="AQ80" s="64"/>
      <c r="AR80" s="65"/>
      <c r="AS80" s="63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4"/>
      <c r="BR80" s="64"/>
      <c r="BS80" s="64"/>
      <c r="BT80" s="64"/>
      <c r="BU80" s="64"/>
      <c r="BV80" s="64"/>
      <c r="BW80" s="64"/>
      <c r="BX80" s="64"/>
      <c r="BY80" s="64"/>
      <c r="BZ80" s="64"/>
      <c r="CA80" s="65"/>
      <c r="CB80" s="60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4"/>
      <c r="CV80" s="64"/>
      <c r="CW80" s="64"/>
      <c r="CX80" s="64"/>
      <c r="CY80" s="64"/>
      <c r="CZ80" s="64"/>
      <c r="DA80" s="64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</row>
    <row r="81" spans="2:130" x14ac:dyDescent="0.15">
      <c r="B81" s="58" t="str">
        <f>IF(G81&lt;&gt;"",SUBTOTAL(3,$G$5:G81),"")</f>
        <v/>
      </c>
      <c r="C81" s="58"/>
      <c r="D81" s="58"/>
      <c r="E81" s="59"/>
      <c r="F81" s="59"/>
      <c r="G81" s="60"/>
      <c r="H81" s="61"/>
      <c r="I81" s="70">
        <v>1</v>
      </c>
      <c r="J81" s="63" t="s">
        <v>266</v>
      </c>
      <c r="K81" s="64"/>
      <c r="L81" s="64"/>
      <c r="M81" s="64"/>
      <c r="N81" s="64"/>
      <c r="O81" s="64"/>
      <c r="P81" s="64"/>
      <c r="Q81" s="64"/>
      <c r="R81" s="64"/>
      <c r="S81" s="64"/>
      <c r="T81" s="64"/>
      <c r="U81" s="64"/>
      <c r="V81" s="64"/>
      <c r="W81" s="64"/>
      <c r="X81" s="64"/>
      <c r="Y81" s="64"/>
      <c r="Z81" s="64"/>
      <c r="AA81" s="64"/>
      <c r="AB81" s="64"/>
      <c r="AC81" s="64"/>
      <c r="AD81" s="64"/>
      <c r="AE81" s="64"/>
      <c r="AF81" s="64"/>
      <c r="AG81" s="64"/>
      <c r="AH81" s="64"/>
      <c r="AI81" s="64"/>
      <c r="AJ81" s="64"/>
      <c r="AK81" s="64"/>
      <c r="AL81" s="64"/>
      <c r="AM81" s="64"/>
      <c r="AN81" s="64"/>
      <c r="AO81" s="64"/>
      <c r="AP81" s="64"/>
      <c r="AQ81" s="64"/>
      <c r="AR81" s="65"/>
      <c r="AS81" s="63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W81" s="64"/>
      <c r="BX81" s="64"/>
      <c r="BY81" s="64"/>
      <c r="BZ81" s="64"/>
      <c r="CA81" s="65"/>
      <c r="CB81" s="60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4"/>
      <c r="CV81" s="64"/>
      <c r="CW81" s="64"/>
      <c r="CX81" s="64"/>
      <c r="CY81" s="64"/>
      <c r="CZ81" s="64"/>
      <c r="DA81" s="64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</row>
    <row r="82" spans="2:130" x14ac:dyDescent="0.15">
      <c r="B82" s="58" t="str">
        <f>IF(G82&lt;&gt;"",SUBTOTAL(3,$G$5:G82),"")</f>
        <v/>
      </c>
      <c r="C82" s="58"/>
      <c r="D82" s="58"/>
      <c r="E82" s="59"/>
      <c r="F82" s="59"/>
      <c r="G82" s="60"/>
      <c r="H82" s="61"/>
      <c r="I82" s="70">
        <v>1</v>
      </c>
      <c r="J82" s="63" t="s">
        <v>267</v>
      </c>
      <c r="K82" s="64"/>
      <c r="L82" s="64"/>
      <c r="M82" s="64"/>
      <c r="N82" s="64"/>
      <c r="O82" s="64"/>
      <c r="P82" s="64"/>
      <c r="Q82" s="64"/>
      <c r="R82" s="64"/>
      <c r="S82" s="64"/>
      <c r="T82" s="64"/>
      <c r="U82" s="64"/>
      <c r="V82" s="64"/>
      <c r="W82" s="64"/>
      <c r="X82" s="64"/>
      <c r="Y82" s="64"/>
      <c r="Z82" s="64"/>
      <c r="AA82" s="64"/>
      <c r="AB82" s="64"/>
      <c r="AC82" s="64"/>
      <c r="AD82" s="64"/>
      <c r="AE82" s="64"/>
      <c r="AF82" s="64"/>
      <c r="AG82" s="64"/>
      <c r="AH82" s="64"/>
      <c r="AI82" s="64"/>
      <c r="AJ82" s="64"/>
      <c r="AK82" s="64"/>
      <c r="AL82" s="64"/>
      <c r="AM82" s="64"/>
      <c r="AN82" s="64"/>
      <c r="AO82" s="64"/>
      <c r="AP82" s="64"/>
      <c r="AQ82" s="64"/>
      <c r="AR82" s="65"/>
      <c r="AS82" s="63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4"/>
      <c r="BR82" s="64"/>
      <c r="BS82" s="64"/>
      <c r="BT82" s="64"/>
      <c r="BU82" s="64"/>
      <c r="BV82" s="64"/>
      <c r="BW82" s="64"/>
      <c r="BX82" s="64"/>
      <c r="BY82" s="64"/>
      <c r="BZ82" s="64"/>
      <c r="CA82" s="65"/>
      <c r="CB82" s="60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4"/>
      <c r="CV82" s="64"/>
      <c r="CW82" s="64"/>
      <c r="CX82" s="64"/>
      <c r="CY82" s="64"/>
      <c r="CZ82" s="64"/>
      <c r="DA82" s="64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</row>
    <row r="83" spans="2:130" x14ac:dyDescent="0.15">
      <c r="B83" s="58" t="str">
        <f>IF(G83&lt;&gt;"",SUBTOTAL(3,$G$5:G83),"")</f>
        <v/>
      </c>
      <c r="C83" s="58"/>
      <c r="D83" s="58"/>
      <c r="E83" s="59"/>
      <c r="F83" s="59"/>
      <c r="G83" s="60"/>
      <c r="H83" s="61"/>
      <c r="I83" s="70">
        <v>1</v>
      </c>
      <c r="J83" s="63" t="s">
        <v>268</v>
      </c>
      <c r="K83" s="64"/>
      <c r="L83" s="64"/>
      <c r="M83" s="64"/>
      <c r="N83" s="64"/>
      <c r="O83" s="64"/>
      <c r="P83" s="64"/>
      <c r="Q83" s="64"/>
      <c r="R83" s="64"/>
      <c r="S83" s="64"/>
      <c r="T83" s="64"/>
      <c r="U83" s="64"/>
      <c r="V83" s="64"/>
      <c r="W83" s="64"/>
      <c r="X83" s="64"/>
      <c r="Y83" s="64"/>
      <c r="Z83" s="64"/>
      <c r="AA83" s="64"/>
      <c r="AB83" s="64"/>
      <c r="AC83" s="64"/>
      <c r="AD83" s="64"/>
      <c r="AE83" s="64"/>
      <c r="AF83" s="64"/>
      <c r="AG83" s="64"/>
      <c r="AH83" s="64"/>
      <c r="AI83" s="64"/>
      <c r="AJ83" s="64"/>
      <c r="AK83" s="64"/>
      <c r="AL83" s="64"/>
      <c r="AM83" s="64"/>
      <c r="AN83" s="64"/>
      <c r="AO83" s="64"/>
      <c r="AP83" s="64"/>
      <c r="AQ83" s="64"/>
      <c r="AR83" s="65"/>
      <c r="AS83" s="63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5"/>
      <c r="CB83" s="60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4"/>
      <c r="CV83" s="64"/>
      <c r="CW83" s="64"/>
      <c r="CX83" s="64"/>
      <c r="CY83" s="64"/>
      <c r="CZ83" s="64"/>
      <c r="DA83" s="64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</row>
    <row r="84" spans="2:130" x14ac:dyDescent="0.15">
      <c r="B84" s="58" t="str">
        <f>IF(G84&lt;&gt;"",SUBTOTAL(3,$G$5:G84),"")</f>
        <v/>
      </c>
      <c r="C84" s="58"/>
      <c r="D84" s="58"/>
      <c r="E84" s="59"/>
      <c r="F84" s="59"/>
      <c r="G84" s="60"/>
      <c r="H84" s="61"/>
      <c r="I84" s="70">
        <v>1</v>
      </c>
      <c r="J84" s="63" t="s">
        <v>269</v>
      </c>
      <c r="K84" s="64"/>
      <c r="L84" s="64"/>
      <c r="M84" s="64"/>
      <c r="N84" s="64"/>
      <c r="O84" s="64"/>
      <c r="P84" s="64"/>
      <c r="Q84" s="64"/>
      <c r="R84" s="64"/>
      <c r="S84" s="64"/>
      <c r="T84" s="64"/>
      <c r="U84" s="64"/>
      <c r="V84" s="64"/>
      <c r="W84" s="64"/>
      <c r="X84" s="64"/>
      <c r="Y84" s="64"/>
      <c r="Z84" s="64"/>
      <c r="AA84" s="64"/>
      <c r="AB84" s="64"/>
      <c r="AC84" s="64"/>
      <c r="AD84" s="64"/>
      <c r="AE84" s="64"/>
      <c r="AF84" s="64"/>
      <c r="AG84" s="64"/>
      <c r="AH84" s="64"/>
      <c r="AI84" s="64"/>
      <c r="AJ84" s="64"/>
      <c r="AK84" s="64"/>
      <c r="AL84" s="64"/>
      <c r="AM84" s="64"/>
      <c r="AN84" s="64"/>
      <c r="AO84" s="64"/>
      <c r="AP84" s="64"/>
      <c r="AQ84" s="64"/>
      <c r="AR84" s="65"/>
      <c r="AS84" s="63"/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4"/>
      <c r="BR84" s="64"/>
      <c r="BS84" s="64"/>
      <c r="BT84" s="64"/>
      <c r="BU84" s="64"/>
      <c r="BV84" s="64"/>
      <c r="BW84" s="64"/>
      <c r="BX84" s="64"/>
      <c r="BY84" s="64"/>
      <c r="BZ84" s="64"/>
      <c r="CA84" s="65"/>
      <c r="CB84" s="60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  <c r="CS84" s="64"/>
      <c r="CT84" s="64"/>
      <c r="CU84" s="64"/>
      <c r="CV84" s="64"/>
      <c r="CW84" s="64"/>
      <c r="CX84" s="64"/>
      <c r="CY84" s="64"/>
      <c r="CZ84" s="64"/>
      <c r="DA84" s="64"/>
      <c r="DB84" s="64"/>
      <c r="DC84" s="64"/>
      <c r="DD84" s="64"/>
      <c r="DE84" s="64"/>
      <c r="DF84" s="64"/>
      <c r="DG84" s="64"/>
      <c r="DH84" s="64"/>
      <c r="DI84" s="64"/>
      <c r="DJ84" s="64"/>
      <c r="DK84" s="64"/>
      <c r="DL84" s="64"/>
      <c r="DM84" s="64"/>
      <c r="DN84" s="64"/>
      <c r="DO84" s="64"/>
      <c r="DP84" s="64"/>
      <c r="DQ84" s="64"/>
      <c r="DR84" s="64"/>
      <c r="DS84" s="64"/>
      <c r="DT84" s="64"/>
      <c r="DU84" s="64"/>
      <c r="DV84" s="64"/>
      <c r="DW84" s="64"/>
      <c r="DX84" s="64"/>
      <c r="DY84" s="64"/>
      <c r="DZ84" s="64"/>
    </row>
    <row r="85" spans="2:130" x14ac:dyDescent="0.15">
      <c r="B85" s="58" t="str">
        <f>IF(G85&lt;&gt;"",SUBTOTAL(3,$G$5:G85),"")</f>
        <v/>
      </c>
      <c r="C85" s="58"/>
      <c r="D85" s="58"/>
      <c r="E85" s="59"/>
      <c r="F85" s="59"/>
      <c r="G85" s="60"/>
      <c r="H85" s="61"/>
      <c r="I85" s="70">
        <v>1</v>
      </c>
      <c r="J85" s="63" t="s">
        <v>270</v>
      </c>
      <c r="K85" s="64"/>
      <c r="L85" s="64"/>
      <c r="M85" s="64"/>
      <c r="N85" s="64"/>
      <c r="O85" s="64"/>
      <c r="P85" s="64"/>
      <c r="Q85" s="64"/>
      <c r="R85" s="64"/>
      <c r="S85" s="64"/>
      <c r="T85" s="64"/>
      <c r="U85" s="64"/>
      <c r="V85" s="64"/>
      <c r="W85" s="64"/>
      <c r="X85" s="64"/>
      <c r="Y85" s="64"/>
      <c r="Z85" s="64"/>
      <c r="AA85" s="64"/>
      <c r="AB85" s="64"/>
      <c r="AC85" s="64"/>
      <c r="AD85" s="64"/>
      <c r="AE85" s="64"/>
      <c r="AF85" s="64"/>
      <c r="AG85" s="64"/>
      <c r="AH85" s="64"/>
      <c r="AI85" s="64"/>
      <c r="AJ85" s="64"/>
      <c r="AK85" s="64"/>
      <c r="AL85" s="64"/>
      <c r="AM85" s="64"/>
      <c r="AN85" s="64"/>
      <c r="AO85" s="64"/>
      <c r="AP85" s="64"/>
      <c r="AQ85" s="64"/>
      <c r="AR85" s="65"/>
      <c r="AS85" s="63"/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5"/>
      <c r="CB85" s="60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4"/>
      <c r="CV85" s="64"/>
      <c r="CW85" s="64"/>
      <c r="CX85" s="64"/>
      <c r="CY85" s="64"/>
      <c r="CZ85" s="64"/>
      <c r="DA85" s="64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</row>
    <row r="86" spans="2:130" x14ac:dyDescent="0.15">
      <c r="B86" s="58" t="str">
        <f>IF(G86&lt;&gt;"",SUBTOTAL(3,$G$5:G86),"")</f>
        <v/>
      </c>
      <c r="C86" s="58"/>
      <c r="D86" s="58"/>
      <c r="E86" s="59"/>
      <c r="F86" s="59"/>
      <c r="G86" s="60"/>
      <c r="H86" s="61"/>
      <c r="I86" s="70">
        <v>1</v>
      </c>
      <c r="J86" s="63"/>
      <c r="K86" s="64"/>
      <c r="L86" s="64"/>
      <c r="M86" s="64"/>
      <c r="N86" s="64"/>
      <c r="O86" s="64"/>
      <c r="P86" s="64"/>
      <c r="Q86" s="64"/>
      <c r="R86" s="64"/>
      <c r="S86" s="64"/>
      <c r="T86" s="64"/>
      <c r="U86" s="64"/>
      <c r="V86" s="64"/>
      <c r="W86" s="64"/>
      <c r="X86" s="64"/>
      <c r="Y86" s="64"/>
      <c r="Z86" s="64"/>
      <c r="AA86" s="64"/>
      <c r="AB86" s="64"/>
      <c r="AC86" s="64"/>
      <c r="AD86" s="64"/>
      <c r="AE86" s="64"/>
      <c r="AF86" s="64"/>
      <c r="AG86" s="64"/>
      <c r="AH86" s="64"/>
      <c r="AI86" s="64"/>
      <c r="AJ86" s="64"/>
      <c r="AK86" s="64"/>
      <c r="AL86" s="64"/>
      <c r="AM86" s="64"/>
      <c r="AN86" s="64"/>
      <c r="AO86" s="64"/>
      <c r="AP86" s="64"/>
      <c r="AQ86" s="64"/>
      <c r="AR86" s="65"/>
      <c r="AS86" s="63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4"/>
      <c r="BR86" s="64"/>
      <c r="BS86" s="64"/>
      <c r="BT86" s="64"/>
      <c r="BU86" s="64"/>
      <c r="BV86" s="64"/>
      <c r="BW86" s="64"/>
      <c r="BX86" s="64"/>
      <c r="BY86" s="64"/>
      <c r="BZ86" s="64"/>
      <c r="CA86" s="65"/>
      <c r="CB86" s="60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  <c r="CS86" s="64"/>
      <c r="CT86" s="64"/>
      <c r="CU86" s="64"/>
      <c r="CV86" s="64"/>
      <c r="CW86" s="64"/>
      <c r="CX86" s="64"/>
      <c r="CY86" s="64"/>
      <c r="CZ86" s="64"/>
      <c r="DA86" s="64"/>
      <c r="DB86" s="64"/>
      <c r="DC86" s="64"/>
      <c r="DD86" s="64"/>
      <c r="DE86" s="64"/>
      <c r="DF86" s="64"/>
      <c r="DG86" s="64"/>
      <c r="DH86" s="64"/>
      <c r="DI86" s="64"/>
      <c r="DJ86" s="64"/>
      <c r="DK86" s="64"/>
      <c r="DL86" s="64"/>
      <c r="DM86" s="64"/>
      <c r="DN86" s="64"/>
      <c r="DO86" s="64"/>
      <c r="DP86" s="64"/>
      <c r="DQ86" s="64"/>
      <c r="DR86" s="64"/>
      <c r="DS86" s="64"/>
      <c r="DT86" s="64"/>
      <c r="DU86" s="64"/>
      <c r="DV86" s="64"/>
      <c r="DW86" s="64"/>
      <c r="DX86" s="64"/>
      <c r="DY86" s="64"/>
      <c r="DZ86" s="64"/>
    </row>
    <row r="87" spans="2:130" x14ac:dyDescent="0.15">
      <c r="B87" s="58">
        <f>IF(G87&lt;&gt;"",SUBTOTAL(3,$G$5:G87),"")</f>
        <v>28</v>
      </c>
      <c r="C87" s="58"/>
      <c r="D87" s="58"/>
      <c r="E87" s="59" t="s">
        <v>139</v>
      </c>
      <c r="F87" s="59" t="s">
        <v>135</v>
      </c>
      <c r="G87" s="60" t="s">
        <v>215</v>
      </c>
      <c r="H87" s="61">
        <v>44053</v>
      </c>
      <c r="I87" s="62">
        <v>0.3</v>
      </c>
      <c r="J87" s="63" t="s">
        <v>271</v>
      </c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5"/>
      <c r="AS87" s="63" t="s">
        <v>372</v>
      </c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4"/>
      <c r="BR87" s="64"/>
      <c r="BS87" s="64"/>
      <c r="BT87" s="64"/>
      <c r="BU87" s="64"/>
      <c r="BV87" s="64"/>
      <c r="BW87" s="64"/>
      <c r="BX87" s="64"/>
      <c r="BY87" s="64"/>
      <c r="BZ87" s="64"/>
      <c r="CA87" s="65"/>
      <c r="CB87" s="60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</row>
    <row r="88" spans="2:130" x14ac:dyDescent="0.15">
      <c r="B88" s="58" t="str">
        <f>IF(G88&lt;&gt;"",SUBTOTAL(3,$G$5:G88),"")</f>
        <v/>
      </c>
      <c r="C88" s="58"/>
      <c r="D88" s="58"/>
      <c r="E88" s="59"/>
      <c r="F88" s="59"/>
      <c r="G88" s="60"/>
      <c r="H88" s="61"/>
      <c r="I88" s="68">
        <v>0.3</v>
      </c>
      <c r="J88" s="63" t="s">
        <v>373</v>
      </c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5"/>
      <c r="AS88" s="63" t="s">
        <v>272</v>
      </c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  <c r="BK88" s="64"/>
      <c r="BL88" s="64"/>
      <c r="BM88" s="64"/>
      <c r="BN88" s="64"/>
      <c r="BO88" s="64"/>
      <c r="BP88" s="64"/>
      <c r="BQ88" s="64"/>
      <c r="BR88" s="64"/>
      <c r="BS88" s="64"/>
      <c r="BT88" s="64"/>
      <c r="BU88" s="64"/>
      <c r="BV88" s="64"/>
      <c r="BW88" s="64"/>
      <c r="BX88" s="64"/>
      <c r="BY88" s="64"/>
      <c r="BZ88" s="64"/>
      <c r="CA88" s="65"/>
      <c r="CB88" s="60"/>
      <c r="CH88" s="64"/>
      <c r="CI88" s="64"/>
      <c r="CJ88" s="64"/>
      <c r="CK88" s="64"/>
      <c r="CL88" s="64"/>
      <c r="CM88" s="64"/>
      <c r="CN88" s="64"/>
      <c r="CO88" s="64"/>
      <c r="CP88" s="64"/>
      <c r="CQ88" s="64"/>
      <c r="CR88" s="64"/>
      <c r="CS88" s="64"/>
      <c r="CT88" s="64"/>
      <c r="CU88" s="64"/>
      <c r="CV88" s="64"/>
      <c r="CW88" s="64"/>
      <c r="CX88" s="64"/>
      <c r="CY88" s="64"/>
      <c r="CZ88" s="64"/>
      <c r="DA88" s="64"/>
      <c r="DB88" s="64"/>
      <c r="DC88" s="64"/>
      <c r="DD88" s="64"/>
      <c r="DE88" s="64"/>
      <c r="DF88" s="64"/>
      <c r="DG88" s="64"/>
      <c r="DH88" s="64"/>
      <c r="DI88" s="64"/>
      <c r="DJ88" s="64"/>
      <c r="DK88" s="64"/>
      <c r="DL88" s="64"/>
      <c r="DM88" s="64"/>
      <c r="DN88" s="64"/>
      <c r="DO88" s="64"/>
      <c r="DP88" s="64"/>
      <c r="DQ88" s="64"/>
      <c r="DR88" s="64"/>
      <c r="DS88" s="64"/>
      <c r="DT88" s="64"/>
      <c r="DU88" s="64"/>
      <c r="DV88" s="64"/>
      <c r="DW88" s="64"/>
      <c r="DX88" s="64"/>
      <c r="DY88" s="64"/>
      <c r="DZ88" s="64"/>
    </row>
    <row r="89" spans="2:130" x14ac:dyDescent="0.15">
      <c r="B89" s="58" t="str">
        <f>IF(G89&lt;&gt;"",SUBTOTAL(3,$G$5:G89),"")</f>
        <v/>
      </c>
      <c r="C89" s="58"/>
      <c r="D89" s="58"/>
      <c r="E89" s="59"/>
      <c r="F89" s="59"/>
      <c r="G89" s="60"/>
      <c r="H89" s="61"/>
      <c r="I89" s="68">
        <v>0.3</v>
      </c>
      <c r="J89" s="63" t="s">
        <v>374</v>
      </c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5"/>
      <c r="AS89" s="63"/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  <c r="BK89" s="64"/>
      <c r="BL89" s="64"/>
      <c r="BM89" s="64"/>
      <c r="BN89" s="64"/>
      <c r="BO89" s="64"/>
      <c r="BP89" s="64"/>
      <c r="BQ89" s="64"/>
      <c r="BR89" s="64"/>
      <c r="BS89" s="64"/>
      <c r="BT89" s="64"/>
      <c r="BU89" s="64"/>
      <c r="BV89" s="64"/>
      <c r="BW89" s="64"/>
      <c r="BX89" s="64"/>
      <c r="BY89" s="64"/>
      <c r="BZ89" s="64"/>
      <c r="CA89" s="65"/>
      <c r="CB89" s="60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4"/>
      <c r="CV89" s="64"/>
      <c r="CW89" s="64"/>
      <c r="CX89" s="64"/>
      <c r="CY89" s="64"/>
      <c r="CZ89" s="64"/>
      <c r="DA89" s="64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</row>
    <row r="90" spans="2:130" x14ac:dyDescent="0.15">
      <c r="B90" s="58" t="str">
        <f>IF(G90&lt;&gt;"",SUBTOTAL(3,$G$5:G90),"")</f>
        <v/>
      </c>
      <c r="C90" s="58"/>
      <c r="D90" s="58"/>
      <c r="E90" s="59"/>
      <c r="F90" s="59"/>
      <c r="G90" s="60"/>
      <c r="H90" s="61"/>
      <c r="I90" s="68">
        <v>0.3</v>
      </c>
      <c r="J90" s="63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5"/>
      <c r="AS90" s="63"/>
      <c r="AT90" s="64"/>
      <c r="AU90" s="64"/>
      <c r="AV90" s="64"/>
      <c r="AW90" s="64"/>
      <c r="AX90" s="64"/>
      <c r="AY90" s="64"/>
      <c r="AZ90" s="64"/>
      <c r="BA90" s="64"/>
      <c r="BB90" s="64"/>
      <c r="BC90" s="64"/>
      <c r="BD90" s="64"/>
      <c r="BE90" s="64"/>
      <c r="BF90" s="64"/>
      <c r="BG90" s="64"/>
      <c r="BH90" s="64"/>
      <c r="BI90" s="64"/>
      <c r="BJ90" s="64"/>
      <c r="BK90" s="64"/>
      <c r="BL90" s="64"/>
      <c r="BM90" s="64"/>
      <c r="BN90" s="64"/>
      <c r="BO90" s="64"/>
      <c r="BP90" s="64"/>
      <c r="BQ90" s="64"/>
      <c r="BR90" s="64"/>
      <c r="BS90" s="64"/>
      <c r="BT90" s="64"/>
      <c r="BU90" s="64"/>
      <c r="BV90" s="64"/>
      <c r="BW90" s="64"/>
      <c r="BX90" s="64"/>
      <c r="BY90" s="64"/>
      <c r="BZ90" s="64"/>
      <c r="CA90" s="65"/>
      <c r="CB90" s="60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4"/>
      <c r="CV90" s="64"/>
      <c r="CW90" s="64"/>
      <c r="CX90" s="64"/>
      <c r="CY90" s="64"/>
      <c r="CZ90" s="64"/>
      <c r="DA90" s="64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</row>
    <row r="91" spans="2:130" x14ac:dyDescent="0.15">
      <c r="B91" s="58">
        <f>IF(G91&lt;&gt;"",SUBTOTAL(3,$G$5:G91),"")</f>
        <v>29</v>
      </c>
      <c r="C91" s="58"/>
      <c r="D91" s="58"/>
      <c r="E91" s="59" t="s">
        <v>139</v>
      </c>
      <c r="F91" s="59" t="s">
        <v>135</v>
      </c>
      <c r="G91" s="60" t="s">
        <v>214</v>
      </c>
      <c r="H91" s="61">
        <v>44045</v>
      </c>
      <c r="I91" s="62">
        <v>1</v>
      </c>
      <c r="J91" s="63" t="s">
        <v>273</v>
      </c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5"/>
      <c r="AS91" s="63" t="s">
        <v>275</v>
      </c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  <c r="BK91" s="64"/>
      <c r="BL91" s="64"/>
      <c r="BM91" s="64"/>
      <c r="BN91" s="64"/>
      <c r="BO91" s="64"/>
      <c r="BP91" s="64"/>
      <c r="BQ91" s="64"/>
      <c r="BR91" s="64"/>
      <c r="BS91" s="64"/>
      <c r="BT91" s="64"/>
      <c r="BU91" s="64"/>
      <c r="BV91" s="64"/>
      <c r="BW91" s="64"/>
      <c r="BX91" s="64"/>
      <c r="BY91" s="64"/>
      <c r="BZ91" s="64"/>
      <c r="CA91" s="65"/>
      <c r="CB91" s="60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4"/>
      <c r="CV91" s="64"/>
      <c r="CW91" s="64"/>
      <c r="CX91" s="64"/>
      <c r="CY91" s="64"/>
      <c r="CZ91" s="64"/>
      <c r="DA91" s="64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</row>
    <row r="92" spans="2:130" x14ac:dyDescent="0.15">
      <c r="B92" s="58" t="str">
        <f>IF(G92&lt;&gt;"",SUBTOTAL(3,$G$5:G92),"")</f>
        <v/>
      </c>
      <c r="C92" s="58"/>
      <c r="D92" s="58"/>
      <c r="E92" s="59"/>
      <c r="F92" s="59"/>
      <c r="G92" s="60"/>
      <c r="H92" s="61"/>
      <c r="I92" s="70">
        <v>1</v>
      </c>
      <c r="J92" s="63" t="s">
        <v>274</v>
      </c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5"/>
      <c r="AS92" s="63" t="s">
        <v>276</v>
      </c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  <c r="BK92" s="64"/>
      <c r="BL92" s="64"/>
      <c r="BM92" s="64"/>
      <c r="BN92" s="64"/>
      <c r="BO92" s="64"/>
      <c r="BP92" s="64"/>
      <c r="BQ92" s="64"/>
      <c r="BR92" s="64"/>
      <c r="BS92" s="64"/>
      <c r="BT92" s="64"/>
      <c r="BU92" s="64"/>
      <c r="BV92" s="64"/>
      <c r="BW92" s="64"/>
      <c r="BX92" s="64"/>
      <c r="BY92" s="64"/>
      <c r="BZ92" s="64"/>
      <c r="CA92" s="65"/>
      <c r="CB92" s="60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4"/>
      <c r="CV92" s="64"/>
      <c r="CW92" s="64"/>
      <c r="CX92" s="64"/>
      <c r="CY92" s="64"/>
      <c r="CZ92" s="64"/>
      <c r="DA92" s="64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</row>
    <row r="93" spans="2:130" x14ac:dyDescent="0.15">
      <c r="B93" s="58" t="str">
        <f>IF(G93&lt;&gt;"",SUBTOTAL(3,$G$5:G93),"")</f>
        <v/>
      </c>
      <c r="C93" s="58"/>
      <c r="D93" s="58"/>
      <c r="E93" s="59"/>
      <c r="F93" s="59"/>
      <c r="G93" s="60"/>
      <c r="H93" s="61"/>
      <c r="I93" s="70">
        <v>1</v>
      </c>
      <c r="J93" s="63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5"/>
      <c r="AS93" s="63" t="s">
        <v>277</v>
      </c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  <c r="BK93" s="64"/>
      <c r="BL93" s="64"/>
      <c r="BM93" s="64"/>
      <c r="BN93" s="64"/>
      <c r="BO93" s="64"/>
      <c r="BP93" s="64"/>
      <c r="BQ93" s="64"/>
      <c r="BR93" s="64"/>
      <c r="BS93" s="64"/>
      <c r="BT93" s="64"/>
      <c r="BU93" s="64"/>
      <c r="BV93" s="64"/>
      <c r="BW93" s="64"/>
      <c r="BX93" s="64"/>
      <c r="BY93" s="64"/>
      <c r="BZ93" s="64"/>
      <c r="CA93" s="65"/>
      <c r="CB93" s="60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4"/>
      <c r="CV93" s="64"/>
      <c r="CW93" s="64"/>
      <c r="CX93" s="64"/>
      <c r="CY93" s="64"/>
      <c r="CZ93" s="64"/>
      <c r="DA93" s="64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</row>
    <row r="94" spans="2:130" x14ac:dyDescent="0.15">
      <c r="B94" s="58" t="str">
        <f>IF(G94&lt;&gt;"",SUBTOTAL(3,$G$5:G94),"")</f>
        <v/>
      </c>
      <c r="C94" s="58"/>
      <c r="D94" s="58"/>
      <c r="E94" s="59"/>
      <c r="F94" s="59"/>
      <c r="G94" s="60"/>
      <c r="H94" s="61"/>
      <c r="I94" s="70">
        <v>1</v>
      </c>
      <c r="J94" s="63"/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5"/>
      <c r="AS94" s="63" t="s">
        <v>278</v>
      </c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  <c r="BK94" s="64"/>
      <c r="BL94" s="64"/>
      <c r="BM94" s="64"/>
      <c r="BN94" s="64"/>
      <c r="BO94" s="64"/>
      <c r="BP94" s="64"/>
      <c r="BQ94" s="64"/>
      <c r="BR94" s="64"/>
      <c r="BS94" s="64"/>
      <c r="BT94" s="64"/>
      <c r="BU94" s="64"/>
      <c r="BV94" s="64"/>
      <c r="BW94" s="64"/>
      <c r="BX94" s="64"/>
      <c r="BY94" s="64"/>
      <c r="BZ94" s="64"/>
      <c r="CA94" s="65"/>
      <c r="CB94" s="60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4"/>
      <c r="CV94" s="64"/>
      <c r="CW94" s="64"/>
      <c r="CX94" s="64"/>
      <c r="CY94" s="64"/>
      <c r="CZ94" s="64"/>
      <c r="DA94" s="64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</row>
    <row r="95" spans="2:130" x14ac:dyDescent="0.15">
      <c r="B95" s="58" t="str">
        <f>IF(G95&lt;&gt;"",SUBTOTAL(3,$G$5:G95),"")</f>
        <v/>
      </c>
      <c r="C95" s="58"/>
      <c r="D95" s="58"/>
      <c r="E95" s="59"/>
      <c r="F95" s="59"/>
      <c r="G95" s="60"/>
      <c r="H95" s="61"/>
      <c r="I95" s="70">
        <v>1</v>
      </c>
      <c r="J95" s="63"/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5"/>
      <c r="AS95" s="63" t="s">
        <v>278</v>
      </c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  <c r="BK95" s="64"/>
      <c r="BL95" s="64"/>
      <c r="BM95" s="64"/>
      <c r="BN95" s="64"/>
      <c r="BO95" s="64"/>
      <c r="BP95" s="64"/>
      <c r="BQ95" s="64"/>
      <c r="BR95" s="64"/>
      <c r="BS95" s="64"/>
      <c r="BT95" s="64"/>
      <c r="BU95" s="64"/>
      <c r="BV95" s="64"/>
      <c r="BW95" s="64"/>
      <c r="BX95" s="64"/>
      <c r="BY95" s="64"/>
      <c r="BZ95" s="64"/>
      <c r="CA95" s="65"/>
      <c r="CB95" s="60"/>
      <c r="CH95" s="64"/>
      <c r="CI95" s="64"/>
      <c r="CJ95" s="64"/>
      <c r="CK95" s="64"/>
      <c r="CL95" s="64"/>
      <c r="CM95" s="64"/>
      <c r="CN95" s="64"/>
      <c r="CO95" s="64"/>
      <c r="CP95" s="64"/>
      <c r="CQ95" s="64"/>
      <c r="CR95" s="64"/>
      <c r="CS95" s="64"/>
      <c r="CT95" s="64"/>
      <c r="CU95" s="64"/>
      <c r="CV95" s="64"/>
      <c r="CW95" s="64"/>
      <c r="CX95" s="64"/>
      <c r="CY95" s="64"/>
      <c r="CZ95" s="64"/>
      <c r="DA95" s="64"/>
      <c r="DB95" s="64"/>
      <c r="DC95" s="64"/>
      <c r="DD95" s="64"/>
      <c r="DE95" s="64"/>
      <c r="DF95" s="64"/>
      <c r="DG95" s="64"/>
      <c r="DH95" s="64"/>
      <c r="DI95" s="64"/>
      <c r="DJ95" s="64"/>
      <c r="DK95" s="64"/>
      <c r="DL95" s="64"/>
      <c r="DM95" s="64"/>
      <c r="DN95" s="64"/>
      <c r="DO95" s="64"/>
      <c r="DP95" s="64"/>
      <c r="DQ95" s="64"/>
      <c r="DR95" s="64"/>
      <c r="DS95" s="64"/>
      <c r="DT95" s="64"/>
      <c r="DU95" s="64"/>
      <c r="DV95" s="64"/>
      <c r="DW95" s="64"/>
      <c r="DX95" s="64"/>
      <c r="DY95" s="64"/>
      <c r="DZ95" s="64"/>
    </row>
    <row r="96" spans="2:130" x14ac:dyDescent="0.15">
      <c r="B96" s="58" t="str">
        <f>IF(G96&lt;&gt;"",SUBTOTAL(3,$G$5:G96),"")</f>
        <v/>
      </c>
      <c r="C96" s="58"/>
      <c r="D96" s="58"/>
      <c r="E96" s="59"/>
      <c r="F96" s="59"/>
      <c r="G96" s="60"/>
      <c r="H96" s="61"/>
      <c r="I96" s="70">
        <v>1</v>
      </c>
      <c r="J96" s="63"/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5"/>
      <c r="AS96" s="63" t="s">
        <v>279</v>
      </c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  <c r="BK96" s="64"/>
      <c r="BL96" s="64"/>
      <c r="BM96" s="64"/>
      <c r="BN96" s="64"/>
      <c r="BO96" s="64"/>
      <c r="BP96" s="64"/>
      <c r="BQ96" s="64"/>
      <c r="BR96" s="64"/>
      <c r="BS96" s="64"/>
      <c r="BT96" s="64"/>
      <c r="BU96" s="64"/>
      <c r="BV96" s="64"/>
      <c r="BW96" s="64"/>
      <c r="BX96" s="64"/>
      <c r="BY96" s="64"/>
      <c r="BZ96" s="64"/>
      <c r="CA96" s="65"/>
      <c r="CB96" s="60"/>
      <c r="CH96" s="64"/>
      <c r="CI96" s="64"/>
      <c r="CJ96" s="64"/>
      <c r="CK96" s="64"/>
      <c r="CL96" s="64"/>
      <c r="CM96" s="64"/>
      <c r="CN96" s="64"/>
      <c r="CO96" s="64"/>
      <c r="CP96" s="64"/>
      <c r="CQ96" s="64"/>
      <c r="CR96" s="64"/>
      <c r="CS96" s="64"/>
      <c r="CT96" s="64"/>
      <c r="CU96" s="64"/>
      <c r="CV96" s="64"/>
      <c r="CW96" s="64"/>
      <c r="CX96" s="64"/>
      <c r="CY96" s="64"/>
      <c r="CZ96" s="64"/>
      <c r="DA96" s="64"/>
      <c r="DB96" s="64"/>
      <c r="DC96" s="64"/>
      <c r="DD96" s="64"/>
      <c r="DE96" s="64"/>
      <c r="DF96" s="64"/>
      <c r="DG96" s="64"/>
      <c r="DH96" s="64"/>
      <c r="DI96" s="64"/>
      <c r="DJ96" s="64"/>
      <c r="DK96" s="64"/>
      <c r="DL96" s="64"/>
      <c r="DM96" s="64"/>
      <c r="DN96" s="64"/>
      <c r="DO96" s="64"/>
      <c r="DP96" s="64"/>
      <c r="DQ96" s="64"/>
      <c r="DR96" s="64"/>
      <c r="DS96" s="64"/>
      <c r="DT96" s="64"/>
      <c r="DU96" s="64"/>
      <c r="DV96" s="64"/>
      <c r="DW96" s="64"/>
      <c r="DX96" s="64"/>
      <c r="DY96" s="64"/>
      <c r="DZ96" s="64"/>
    </row>
    <row r="97" spans="2:130" x14ac:dyDescent="0.15">
      <c r="B97" s="58" t="str">
        <f>IF(G97&lt;&gt;"",SUBTOTAL(3,$G$5:G97),"")</f>
        <v/>
      </c>
      <c r="C97" s="58"/>
      <c r="D97" s="58"/>
      <c r="E97" s="59"/>
      <c r="F97" s="59"/>
      <c r="G97" s="60"/>
      <c r="H97" s="61"/>
      <c r="I97" s="70">
        <v>1</v>
      </c>
      <c r="J97" s="63"/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5"/>
      <c r="AS97" s="63" t="s">
        <v>280</v>
      </c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4"/>
      <c r="BR97" s="64"/>
      <c r="BS97" s="64"/>
      <c r="BT97" s="64"/>
      <c r="BU97" s="64"/>
      <c r="BV97" s="64"/>
      <c r="BW97" s="64"/>
      <c r="BX97" s="64"/>
      <c r="BY97" s="64"/>
      <c r="BZ97" s="64"/>
      <c r="CA97" s="65"/>
      <c r="CB97" s="60"/>
      <c r="CH97" s="64"/>
      <c r="CI97" s="64"/>
      <c r="CJ97" s="64"/>
      <c r="CK97" s="64"/>
      <c r="CL97" s="64"/>
      <c r="CM97" s="64"/>
      <c r="CN97" s="64"/>
      <c r="CO97" s="64"/>
      <c r="CP97" s="64"/>
      <c r="CQ97" s="64"/>
      <c r="CR97" s="64"/>
      <c r="CS97" s="64"/>
      <c r="CT97" s="64"/>
      <c r="CU97" s="64"/>
      <c r="CV97" s="64"/>
      <c r="CW97" s="64"/>
      <c r="CX97" s="64"/>
      <c r="CY97" s="64"/>
      <c r="CZ97" s="64"/>
      <c r="DA97" s="64"/>
      <c r="DB97" s="64"/>
      <c r="DC97" s="64"/>
      <c r="DD97" s="64"/>
      <c r="DE97" s="64"/>
      <c r="DF97" s="64"/>
      <c r="DG97" s="64"/>
      <c r="DH97" s="64"/>
      <c r="DI97" s="64"/>
      <c r="DJ97" s="64"/>
      <c r="DK97" s="64"/>
      <c r="DL97" s="64"/>
      <c r="DM97" s="64"/>
      <c r="DN97" s="64"/>
      <c r="DO97" s="64"/>
      <c r="DP97" s="64"/>
      <c r="DQ97" s="64"/>
      <c r="DR97" s="64"/>
      <c r="DS97" s="64"/>
      <c r="DT97" s="64"/>
      <c r="DU97" s="64"/>
      <c r="DV97" s="64"/>
      <c r="DW97" s="64"/>
      <c r="DX97" s="64"/>
      <c r="DY97" s="64"/>
      <c r="DZ97" s="64"/>
    </row>
    <row r="98" spans="2:130" x14ac:dyDescent="0.15">
      <c r="B98" s="58" t="str">
        <f>IF(G98&lt;&gt;"",SUBTOTAL(3,$G$5:G98),"")</f>
        <v/>
      </c>
      <c r="C98" s="58"/>
      <c r="D98" s="58"/>
      <c r="E98" s="59"/>
      <c r="F98" s="59"/>
      <c r="G98" s="60"/>
      <c r="H98" s="61"/>
      <c r="I98" s="70">
        <v>1</v>
      </c>
      <c r="J98" s="63"/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5"/>
      <c r="AS98" s="63" t="s">
        <v>281</v>
      </c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  <c r="BK98" s="64"/>
      <c r="BL98" s="64"/>
      <c r="BM98" s="64"/>
      <c r="BN98" s="64"/>
      <c r="BO98" s="64"/>
      <c r="BP98" s="64"/>
      <c r="BQ98" s="64"/>
      <c r="BR98" s="64"/>
      <c r="BS98" s="64"/>
      <c r="BT98" s="64"/>
      <c r="BU98" s="64"/>
      <c r="BV98" s="64"/>
      <c r="BW98" s="64"/>
      <c r="BX98" s="64"/>
      <c r="BY98" s="64"/>
      <c r="BZ98" s="64"/>
      <c r="CA98" s="65"/>
      <c r="CB98" s="60"/>
      <c r="CH98" s="64"/>
      <c r="CI98" s="64"/>
      <c r="CJ98" s="64"/>
      <c r="CK98" s="64"/>
      <c r="CL98" s="64"/>
      <c r="CM98" s="64"/>
      <c r="CN98" s="64"/>
      <c r="CO98" s="64"/>
      <c r="CP98" s="64"/>
      <c r="CQ98" s="64"/>
      <c r="CR98" s="64"/>
      <c r="CS98" s="64"/>
      <c r="CT98" s="64"/>
      <c r="CU98" s="64"/>
      <c r="CV98" s="64"/>
      <c r="CW98" s="64"/>
      <c r="CX98" s="64"/>
      <c r="CY98" s="64"/>
      <c r="CZ98" s="64"/>
      <c r="DA98" s="64"/>
      <c r="DB98" s="64"/>
      <c r="DC98" s="64"/>
      <c r="DD98" s="64"/>
      <c r="DE98" s="64"/>
      <c r="DF98" s="64"/>
      <c r="DG98" s="64"/>
      <c r="DH98" s="64"/>
      <c r="DI98" s="64"/>
      <c r="DJ98" s="64"/>
      <c r="DK98" s="64"/>
      <c r="DL98" s="64"/>
      <c r="DM98" s="64"/>
      <c r="DN98" s="64"/>
      <c r="DO98" s="64"/>
      <c r="DP98" s="64"/>
      <c r="DQ98" s="64"/>
      <c r="DR98" s="64"/>
      <c r="DS98" s="64"/>
      <c r="DT98" s="64"/>
      <c r="DU98" s="64"/>
      <c r="DV98" s="64"/>
      <c r="DW98" s="64"/>
      <c r="DX98" s="64"/>
      <c r="DY98" s="64"/>
      <c r="DZ98" s="64"/>
    </row>
    <row r="99" spans="2:130" x14ac:dyDescent="0.15">
      <c r="B99" s="58">
        <f>IF(G99&lt;&gt;"",SUBTOTAL(3,$G$5:G99),"")</f>
        <v>30</v>
      </c>
      <c r="C99" s="58"/>
      <c r="D99" s="58"/>
      <c r="E99" s="59" t="s">
        <v>139</v>
      </c>
      <c r="F99" s="59" t="s">
        <v>135</v>
      </c>
      <c r="G99" s="60" t="s">
        <v>211</v>
      </c>
      <c r="H99" s="61">
        <v>44045</v>
      </c>
      <c r="I99" s="62">
        <v>0.8</v>
      </c>
      <c r="J99" s="63" t="s">
        <v>282</v>
      </c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5"/>
      <c r="AS99" s="63" t="s">
        <v>287</v>
      </c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  <c r="BK99" s="64"/>
      <c r="BL99" s="64"/>
      <c r="BM99" s="64"/>
      <c r="BN99" s="64"/>
      <c r="BO99" s="64"/>
      <c r="BP99" s="64"/>
      <c r="BQ99" s="64"/>
      <c r="BR99" s="64"/>
      <c r="BS99" s="64"/>
      <c r="BT99" s="64"/>
      <c r="BU99" s="64"/>
      <c r="BV99" s="64"/>
      <c r="BW99" s="64"/>
      <c r="BX99" s="64"/>
      <c r="BY99" s="64"/>
      <c r="BZ99" s="64"/>
      <c r="CA99" s="65"/>
      <c r="CB99" s="60"/>
      <c r="CH99" s="64"/>
      <c r="CI99" s="64"/>
      <c r="CJ99" s="64"/>
      <c r="CK99" s="64"/>
      <c r="CL99" s="64"/>
      <c r="CM99" s="64"/>
      <c r="CN99" s="64"/>
      <c r="CO99" s="64"/>
      <c r="CP99" s="64"/>
      <c r="CQ99" s="64"/>
      <c r="CR99" s="64"/>
      <c r="CS99" s="64"/>
      <c r="CT99" s="64"/>
      <c r="CU99" s="64"/>
      <c r="CV99" s="64"/>
      <c r="CW99" s="64"/>
      <c r="CX99" s="64"/>
      <c r="CY99" s="64"/>
      <c r="CZ99" s="64"/>
      <c r="DA99" s="64"/>
      <c r="DB99" s="64"/>
      <c r="DC99" s="64"/>
      <c r="DD99" s="64"/>
      <c r="DE99" s="64"/>
      <c r="DF99" s="64"/>
      <c r="DG99" s="64"/>
      <c r="DH99" s="64"/>
      <c r="DI99" s="64"/>
      <c r="DJ99" s="64"/>
      <c r="DK99" s="64"/>
      <c r="DL99" s="64"/>
      <c r="DM99" s="64"/>
      <c r="DN99" s="64"/>
      <c r="DO99" s="64"/>
      <c r="DP99" s="64"/>
      <c r="DQ99" s="64"/>
      <c r="DR99" s="64"/>
      <c r="DS99" s="64"/>
      <c r="DT99" s="64"/>
      <c r="DU99" s="64"/>
      <c r="DV99" s="64"/>
      <c r="DW99" s="64"/>
      <c r="DX99" s="64"/>
      <c r="DY99" s="64"/>
      <c r="DZ99" s="64"/>
    </row>
    <row r="100" spans="2:130" x14ac:dyDescent="0.15">
      <c r="B100" s="58" t="str">
        <f>IF(G100&lt;&gt;"",SUBTOTAL(3,$G$5:G100),"")</f>
        <v/>
      </c>
      <c r="C100" s="58"/>
      <c r="D100" s="58"/>
      <c r="E100" s="59"/>
      <c r="F100" s="59"/>
      <c r="G100" s="60"/>
      <c r="H100" s="61"/>
      <c r="I100" s="68">
        <v>0.8</v>
      </c>
      <c r="J100" s="63" t="s">
        <v>283</v>
      </c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5"/>
      <c r="AS100" s="63" t="s">
        <v>288</v>
      </c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  <c r="BK100" s="64"/>
      <c r="BL100" s="64"/>
      <c r="BM100" s="64"/>
      <c r="BN100" s="64"/>
      <c r="BO100" s="64"/>
      <c r="BP100" s="64"/>
      <c r="BQ100" s="64"/>
      <c r="BR100" s="64"/>
      <c r="BS100" s="64"/>
      <c r="BT100" s="64"/>
      <c r="BU100" s="64"/>
      <c r="BV100" s="64"/>
      <c r="BW100" s="64"/>
      <c r="BX100" s="64"/>
      <c r="BY100" s="64"/>
      <c r="BZ100" s="64"/>
      <c r="CA100" s="65"/>
      <c r="CB100" s="60"/>
      <c r="CH100" s="64"/>
      <c r="CI100" s="64"/>
      <c r="CJ100" s="64"/>
      <c r="CK100" s="64"/>
      <c r="CL100" s="64"/>
      <c r="CM100" s="64"/>
      <c r="CN100" s="64"/>
      <c r="CO100" s="64"/>
      <c r="CP100" s="64"/>
      <c r="CQ100" s="64"/>
      <c r="CR100" s="64"/>
      <c r="CS100" s="64"/>
      <c r="CT100" s="64"/>
      <c r="CU100" s="64"/>
      <c r="CV100" s="64"/>
      <c r="CW100" s="64"/>
      <c r="CX100" s="64"/>
      <c r="CY100" s="64"/>
      <c r="CZ100" s="64"/>
      <c r="DA100" s="64"/>
      <c r="DB100" s="64"/>
      <c r="DC100" s="64"/>
      <c r="DD100" s="64"/>
      <c r="DE100" s="64"/>
      <c r="DF100" s="64"/>
      <c r="DG100" s="64"/>
      <c r="DH100" s="64"/>
      <c r="DI100" s="64"/>
      <c r="DJ100" s="64"/>
      <c r="DK100" s="64"/>
      <c r="DL100" s="64"/>
      <c r="DM100" s="64"/>
      <c r="DN100" s="64"/>
      <c r="DO100" s="64"/>
      <c r="DP100" s="64"/>
      <c r="DQ100" s="64"/>
      <c r="DR100" s="64"/>
      <c r="DS100" s="64"/>
      <c r="DT100" s="64"/>
      <c r="DU100" s="64"/>
      <c r="DV100" s="64"/>
      <c r="DW100" s="64"/>
      <c r="DX100" s="64"/>
      <c r="DY100" s="64"/>
      <c r="DZ100" s="64"/>
    </row>
    <row r="101" spans="2:130" x14ac:dyDescent="0.15">
      <c r="B101" s="58" t="str">
        <f>IF(G101&lt;&gt;"",SUBTOTAL(3,$G$5:G101),"")</f>
        <v/>
      </c>
      <c r="C101" s="58"/>
      <c r="D101" s="58"/>
      <c r="E101" s="59"/>
      <c r="F101" s="59"/>
      <c r="G101" s="60"/>
      <c r="H101" s="61"/>
      <c r="I101" s="68">
        <v>0.8</v>
      </c>
      <c r="J101" s="63" t="s">
        <v>284</v>
      </c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5"/>
      <c r="AS101" s="63" t="s">
        <v>289</v>
      </c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  <c r="BK101" s="64"/>
      <c r="BL101" s="64"/>
      <c r="BM101" s="64"/>
      <c r="BN101" s="64"/>
      <c r="BO101" s="64"/>
      <c r="BP101" s="64"/>
      <c r="BQ101" s="64"/>
      <c r="BR101" s="64"/>
      <c r="BS101" s="64"/>
      <c r="BT101" s="64"/>
      <c r="BU101" s="64"/>
      <c r="BV101" s="64"/>
      <c r="BW101" s="64"/>
      <c r="BX101" s="64"/>
      <c r="BY101" s="64"/>
      <c r="BZ101" s="64"/>
      <c r="CA101" s="65"/>
      <c r="CB101" s="60"/>
      <c r="CH101" s="64"/>
      <c r="CI101" s="64"/>
      <c r="CJ101" s="64"/>
      <c r="CK101" s="64"/>
      <c r="CL101" s="64"/>
      <c r="CM101" s="64"/>
      <c r="CN101" s="64"/>
      <c r="CO101" s="64"/>
      <c r="CP101" s="64"/>
      <c r="CQ101" s="64"/>
      <c r="CR101" s="64"/>
      <c r="CS101" s="64"/>
      <c r="CT101" s="64"/>
      <c r="CU101" s="64"/>
      <c r="CV101" s="64"/>
      <c r="CW101" s="64"/>
      <c r="CX101" s="64"/>
      <c r="CY101" s="64"/>
      <c r="CZ101" s="64"/>
      <c r="DA101" s="64"/>
      <c r="DB101" s="64"/>
      <c r="DC101" s="64"/>
      <c r="DD101" s="64"/>
      <c r="DE101" s="64"/>
      <c r="DF101" s="64"/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64"/>
      <c r="DW101" s="64"/>
      <c r="DX101" s="64"/>
      <c r="DY101" s="64"/>
      <c r="DZ101" s="64"/>
    </row>
    <row r="102" spans="2:130" x14ac:dyDescent="0.15">
      <c r="B102" s="58" t="str">
        <f>IF(G102&lt;&gt;"",SUBTOTAL(3,$G$5:G102),"")</f>
        <v/>
      </c>
      <c r="C102" s="58"/>
      <c r="D102" s="58"/>
      <c r="E102" s="59"/>
      <c r="F102" s="59"/>
      <c r="G102" s="60"/>
      <c r="H102" s="61"/>
      <c r="I102" s="68">
        <v>0.8</v>
      </c>
      <c r="J102" s="63" t="s">
        <v>285</v>
      </c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5"/>
      <c r="AS102" s="63" t="s">
        <v>292</v>
      </c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  <c r="BK102" s="64"/>
      <c r="BL102" s="64"/>
      <c r="BM102" s="64"/>
      <c r="BN102" s="64"/>
      <c r="BO102" s="64"/>
      <c r="BP102" s="64"/>
      <c r="BQ102" s="64"/>
      <c r="BR102" s="64"/>
      <c r="BS102" s="64"/>
      <c r="BT102" s="64"/>
      <c r="BU102" s="64"/>
      <c r="BV102" s="64"/>
      <c r="BW102" s="64"/>
      <c r="BX102" s="64"/>
      <c r="BY102" s="64"/>
      <c r="BZ102" s="64"/>
      <c r="CA102" s="65"/>
      <c r="CB102" s="60"/>
      <c r="CH102" s="64"/>
      <c r="CI102" s="64"/>
      <c r="CJ102" s="64"/>
      <c r="CK102" s="64"/>
      <c r="CL102" s="64"/>
      <c r="CM102" s="64"/>
      <c r="CN102" s="64"/>
      <c r="CO102" s="64"/>
      <c r="CP102" s="64"/>
      <c r="CQ102" s="64"/>
      <c r="CR102" s="64"/>
      <c r="CS102" s="64"/>
      <c r="CT102" s="64"/>
      <c r="CU102" s="64"/>
      <c r="CV102" s="64"/>
      <c r="CW102" s="64"/>
      <c r="CX102" s="64"/>
      <c r="CY102" s="64"/>
      <c r="CZ102" s="64"/>
      <c r="DA102" s="64"/>
      <c r="DB102" s="64"/>
      <c r="DC102" s="64"/>
      <c r="DD102" s="64"/>
      <c r="DE102" s="64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64"/>
      <c r="DW102" s="64"/>
      <c r="DX102" s="64"/>
      <c r="DY102" s="64"/>
      <c r="DZ102" s="64"/>
    </row>
    <row r="103" spans="2:130" x14ac:dyDescent="0.15">
      <c r="B103" s="58" t="str">
        <f>IF(G103&lt;&gt;"",SUBTOTAL(3,$G$5:G103),"")</f>
        <v/>
      </c>
      <c r="C103" s="58"/>
      <c r="D103" s="58"/>
      <c r="E103" s="59"/>
      <c r="F103" s="59"/>
      <c r="G103" s="60"/>
      <c r="H103" s="61"/>
      <c r="I103" s="68">
        <v>0.8</v>
      </c>
      <c r="J103" s="63" t="s">
        <v>286</v>
      </c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5"/>
      <c r="AS103" s="63" t="s">
        <v>293</v>
      </c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4"/>
      <c r="BR103" s="64"/>
      <c r="BS103" s="64"/>
      <c r="BT103" s="64"/>
      <c r="BU103" s="64"/>
      <c r="BV103" s="64"/>
      <c r="BW103" s="64"/>
      <c r="BX103" s="64"/>
      <c r="BY103" s="64"/>
      <c r="BZ103" s="64"/>
      <c r="CA103" s="65"/>
      <c r="CB103" s="60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4"/>
      <c r="CV103" s="64"/>
      <c r="CW103" s="64"/>
      <c r="CX103" s="64"/>
      <c r="CY103" s="64"/>
      <c r="CZ103" s="64"/>
      <c r="DA103" s="64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</row>
    <row r="104" spans="2:130" x14ac:dyDescent="0.15">
      <c r="B104" s="58" t="str">
        <f>IF(G104&lt;&gt;"",SUBTOTAL(3,$G$5:G104),"")</f>
        <v/>
      </c>
      <c r="C104" s="58"/>
      <c r="D104" s="58"/>
      <c r="E104" s="59"/>
      <c r="F104" s="59"/>
      <c r="G104" s="60"/>
      <c r="H104" s="61"/>
      <c r="I104" s="68">
        <v>0.8</v>
      </c>
      <c r="J104" s="71" t="s">
        <v>212</v>
      </c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5"/>
      <c r="AS104" s="63" t="s">
        <v>290</v>
      </c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4"/>
      <c r="BR104" s="64"/>
      <c r="BS104" s="64"/>
      <c r="BT104" s="64"/>
      <c r="BU104" s="64"/>
      <c r="BV104" s="64"/>
      <c r="BW104" s="64"/>
      <c r="BX104" s="64"/>
      <c r="BY104" s="64"/>
      <c r="BZ104" s="64"/>
      <c r="CA104" s="65"/>
      <c r="CB104" s="60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4"/>
      <c r="CV104" s="64"/>
      <c r="CW104" s="64"/>
      <c r="CX104" s="64"/>
      <c r="CY104" s="64"/>
      <c r="CZ104" s="64"/>
      <c r="DA104" s="64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</row>
    <row r="105" spans="2:130" x14ac:dyDescent="0.15">
      <c r="B105" s="58" t="str">
        <f>IF(G105&lt;&gt;"",SUBTOTAL(3,$G$5:G105),"")</f>
        <v/>
      </c>
      <c r="C105" s="58"/>
      <c r="D105" s="58"/>
      <c r="E105" s="59"/>
      <c r="F105" s="59"/>
      <c r="G105" s="60"/>
      <c r="H105" s="61"/>
      <c r="I105" s="68">
        <v>0.8</v>
      </c>
      <c r="J105" s="63"/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5"/>
      <c r="AS105" s="63" t="s">
        <v>291</v>
      </c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4"/>
      <c r="BR105" s="64"/>
      <c r="BS105" s="64"/>
      <c r="BT105" s="64"/>
      <c r="BU105" s="64"/>
      <c r="BV105" s="64"/>
      <c r="BW105" s="64"/>
      <c r="BX105" s="64"/>
      <c r="BY105" s="64"/>
      <c r="BZ105" s="64"/>
      <c r="CA105" s="65"/>
      <c r="CB105" s="60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4"/>
      <c r="CV105" s="64"/>
      <c r="CW105" s="64"/>
      <c r="CX105" s="64"/>
      <c r="CY105" s="64"/>
      <c r="CZ105" s="64"/>
      <c r="DA105" s="64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</row>
    <row r="106" spans="2:130" x14ac:dyDescent="0.15">
      <c r="B106" s="58" t="str">
        <f>IF(G106&lt;&gt;"",SUBTOTAL(3,$G$5:G106),"")</f>
        <v/>
      </c>
      <c r="C106" s="58"/>
      <c r="D106" s="58"/>
      <c r="E106" s="59"/>
      <c r="F106" s="59"/>
      <c r="G106" s="60"/>
      <c r="H106" s="61"/>
      <c r="I106" s="68">
        <v>0.8</v>
      </c>
      <c r="J106" s="63"/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5"/>
      <c r="AS106" s="63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4"/>
      <c r="BR106" s="64"/>
      <c r="BS106" s="64"/>
      <c r="BT106" s="64"/>
      <c r="BU106" s="64"/>
      <c r="BV106" s="64"/>
      <c r="BW106" s="64"/>
      <c r="BX106" s="64"/>
      <c r="BY106" s="64"/>
      <c r="BZ106" s="64"/>
      <c r="CA106" s="65"/>
      <c r="CB106" s="60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4"/>
      <c r="CV106" s="64"/>
      <c r="CW106" s="64"/>
      <c r="CX106" s="64"/>
      <c r="CY106" s="64"/>
      <c r="CZ106" s="64"/>
      <c r="DA106" s="64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</row>
    <row r="107" spans="2:130" x14ac:dyDescent="0.15">
      <c r="B107" s="58">
        <f>IF(G107&lt;&gt;"",SUBTOTAL(3,$G$5:G107),"")</f>
        <v>31</v>
      </c>
      <c r="C107" s="58"/>
      <c r="D107" s="58"/>
      <c r="E107" s="59" t="s">
        <v>139</v>
      </c>
      <c r="F107" s="59" t="s">
        <v>135</v>
      </c>
      <c r="G107" s="60" t="s">
        <v>210</v>
      </c>
      <c r="H107" s="61">
        <v>44045</v>
      </c>
      <c r="I107" s="62">
        <v>1</v>
      </c>
      <c r="J107" s="63" t="s">
        <v>294</v>
      </c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5"/>
      <c r="AS107" s="63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4"/>
      <c r="BR107" s="64"/>
      <c r="BS107" s="64"/>
      <c r="BT107" s="64"/>
      <c r="BU107" s="64"/>
      <c r="BV107" s="64"/>
      <c r="BW107" s="64"/>
      <c r="BX107" s="64"/>
      <c r="BY107" s="64"/>
      <c r="BZ107" s="64"/>
      <c r="CA107" s="65"/>
      <c r="CB107" s="60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4"/>
      <c r="CV107" s="64"/>
      <c r="CW107" s="64"/>
      <c r="CX107" s="64"/>
      <c r="CY107" s="64"/>
      <c r="CZ107" s="64"/>
      <c r="DA107" s="64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</row>
    <row r="108" spans="2:130" x14ac:dyDescent="0.15">
      <c r="B108" s="58" t="str">
        <f>IF(G108&lt;&gt;"",SUBTOTAL(3,$G$5:G108),"")</f>
        <v/>
      </c>
      <c r="C108" s="58"/>
      <c r="D108" s="58"/>
      <c r="E108" s="59"/>
      <c r="F108" s="59"/>
      <c r="G108" s="60"/>
      <c r="H108" s="61"/>
      <c r="I108" s="70">
        <v>1</v>
      </c>
      <c r="J108" s="63" t="s">
        <v>295</v>
      </c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5"/>
      <c r="AS108" s="63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4"/>
      <c r="BR108" s="64"/>
      <c r="BS108" s="64"/>
      <c r="BT108" s="64"/>
      <c r="BU108" s="64"/>
      <c r="BV108" s="64"/>
      <c r="BW108" s="64"/>
      <c r="BX108" s="64"/>
      <c r="BY108" s="64"/>
      <c r="BZ108" s="64"/>
      <c r="CA108" s="65"/>
      <c r="CB108" s="60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4"/>
      <c r="CV108" s="64"/>
      <c r="CW108" s="64"/>
      <c r="CX108" s="64"/>
      <c r="CY108" s="64"/>
      <c r="CZ108" s="64"/>
      <c r="DA108" s="64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</row>
    <row r="109" spans="2:130" x14ac:dyDescent="0.15">
      <c r="B109" s="58" t="str">
        <f>IF(G109&lt;&gt;"",SUBTOTAL(3,$G$5:G109),"")</f>
        <v/>
      </c>
      <c r="C109" s="58"/>
      <c r="D109" s="58"/>
      <c r="E109" s="59"/>
      <c r="F109" s="59"/>
      <c r="G109" s="60"/>
      <c r="H109" s="61"/>
      <c r="I109" s="70">
        <v>1</v>
      </c>
      <c r="J109" s="63" t="s">
        <v>296</v>
      </c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5"/>
      <c r="AS109" s="63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4"/>
      <c r="BR109" s="64"/>
      <c r="BS109" s="64"/>
      <c r="BT109" s="64"/>
      <c r="BU109" s="64"/>
      <c r="BV109" s="64"/>
      <c r="BW109" s="64"/>
      <c r="BX109" s="64"/>
      <c r="BY109" s="64"/>
      <c r="BZ109" s="64"/>
      <c r="CA109" s="65"/>
      <c r="CB109" s="60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4"/>
      <c r="CV109" s="64"/>
      <c r="CW109" s="64"/>
      <c r="CX109" s="64"/>
      <c r="CY109" s="64"/>
      <c r="CZ109" s="64"/>
      <c r="DA109" s="64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</row>
    <row r="110" spans="2:130" x14ac:dyDescent="0.15">
      <c r="B110" s="58" t="str">
        <f>IF(G110&lt;&gt;"",SUBTOTAL(3,$G$5:G110),"")</f>
        <v/>
      </c>
      <c r="C110" s="58"/>
      <c r="D110" s="58"/>
      <c r="E110" s="59"/>
      <c r="F110" s="59"/>
      <c r="G110" s="60"/>
      <c r="H110" s="61"/>
      <c r="I110" s="70">
        <v>1</v>
      </c>
      <c r="J110" s="63" t="s">
        <v>297</v>
      </c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5"/>
      <c r="AS110" s="63"/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4"/>
      <c r="BR110" s="64"/>
      <c r="BS110" s="64"/>
      <c r="BT110" s="64"/>
      <c r="BU110" s="64"/>
      <c r="BV110" s="64"/>
      <c r="BW110" s="64"/>
      <c r="BX110" s="64"/>
      <c r="BY110" s="64"/>
      <c r="BZ110" s="64"/>
      <c r="CA110" s="65"/>
      <c r="CB110" s="60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4"/>
      <c r="CV110" s="64"/>
      <c r="CW110" s="64"/>
      <c r="CX110" s="64"/>
      <c r="CY110" s="64"/>
      <c r="CZ110" s="64"/>
      <c r="DA110" s="64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</row>
    <row r="111" spans="2:130" x14ac:dyDescent="0.15">
      <c r="B111" s="58" t="str">
        <f>IF(G111&lt;&gt;"",SUBTOTAL(3,$G$5:G111),"")</f>
        <v/>
      </c>
      <c r="C111" s="58"/>
      <c r="D111" s="58"/>
      <c r="E111" s="59"/>
      <c r="F111" s="59"/>
      <c r="G111" s="60"/>
      <c r="H111" s="61"/>
      <c r="I111" s="70">
        <v>1</v>
      </c>
      <c r="J111" s="63" t="s">
        <v>298</v>
      </c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5"/>
      <c r="AS111" s="63"/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4"/>
      <c r="BR111" s="64"/>
      <c r="BS111" s="64"/>
      <c r="BT111" s="64"/>
      <c r="BU111" s="64"/>
      <c r="BV111" s="64"/>
      <c r="BW111" s="64"/>
      <c r="BX111" s="64"/>
      <c r="BY111" s="64"/>
      <c r="BZ111" s="64"/>
      <c r="CA111" s="65"/>
      <c r="CB111" s="60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</row>
    <row r="112" spans="2:130" x14ac:dyDescent="0.15">
      <c r="B112" s="58" t="str">
        <f>IF(G112&lt;&gt;"",SUBTOTAL(3,$G$5:G112),"")</f>
        <v/>
      </c>
      <c r="C112" s="58"/>
      <c r="D112" s="58"/>
      <c r="E112" s="59"/>
      <c r="F112" s="59"/>
      <c r="G112" s="60"/>
      <c r="H112" s="61"/>
      <c r="I112" s="70">
        <v>1</v>
      </c>
      <c r="J112" s="63"/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5"/>
      <c r="AS112" s="63"/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  <c r="BK112" s="64"/>
      <c r="BL112" s="64"/>
      <c r="BM112" s="64"/>
      <c r="BN112" s="64"/>
      <c r="BO112" s="64"/>
      <c r="BP112" s="64"/>
      <c r="BQ112" s="64"/>
      <c r="BR112" s="64"/>
      <c r="BS112" s="64"/>
      <c r="BT112" s="64"/>
      <c r="BU112" s="64"/>
      <c r="BV112" s="64"/>
      <c r="BW112" s="64"/>
      <c r="BX112" s="64"/>
      <c r="BY112" s="64"/>
      <c r="BZ112" s="64"/>
      <c r="CA112" s="65"/>
      <c r="CB112" s="60"/>
      <c r="CH112" s="64"/>
      <c r="CI112" s="64"/>
      <c r="CJ112" s="64"/>
      <c r="CK112" s="64"/>
      <c r="CL112" s="64"/>
      <c r="CM112" s="64"/>
      <c r="CN112" s="64"/>
      <c r="CO112" s="64"/>
      <c r="CP112" s="64"/>
      <c r="CQ112" s="64"/>
      <c r="CR112" s="64"/>
      <c r="CS112" s="64"/>
      <c r="CT112" s="64"/>
      <c r="CU112" s="64"/>
      <c r="CV112" s="64"/>
      <c r="CW112" s="64"/>
      <c r="CX112" s="64"/>
      <c r="CY112" s="64"/>
      <c r="CZ112" s="64"/>
      <c r="DA112" s="64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4"/>
    </row>
    <row r="113" spans="2:130" x14ac:dyDescent="0.15">
      <c r="B113" s="58">
        <f>IF(G113&lt;&gt;"",SUBTOTAL(3,$G$5:G113),"")</f>
        <v>32</v>
      </c>
      <c r="C113" s="58"/>
      <c r="D113" s="58"/>
      <c r="E113" s="59" t="s">
        <v>139</v>
      </c>
      <c r="F113" s="59" t="s">
        <v>135</v>
      </c>
      <c r="G113" s="60" t="s">
        <v>209</v>
      </c>
      <c r="H113" s="61">
        <v>44044</v>
      </c>
      <c r="I113" s="62">
        <v>1</v>
      </c>
      <c r="J113" s="63" t="s">
        <v>299</v>
      </c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5"/>
      <c r="AS113" s="63" t="s">
        <v>275</v>
      </c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  <c r="BK113" s="64"/>
      <c r="BL113" s="64"/>
      <c r="BM113" s="64"/>
      <c r="BN113" s="64"/>
      <c r="BO113" s="64"/>
      <c r="BP113" s="64"/>
      <c r="BQ113" s="64"/>
      <c r="BR113" s="64"/>
      <c r="BS113" s="64"/>
      <c r="BT113" s="64"/>
      <c r="BU113" s="64"/>
      <c r="BV113" s="64"/>
      <c r="BW113" s="64"/>
      <c r="BX113" s="64"/>
      <c r="BY113" s="64"/>
      <c r="BZ113" s="64"/>
      <c r="CA113" s="65"/>
      <c r="CB113" s="60"/>
      <c r="CH113" s="64"/>
      <c r="CI113" s="64"/>
      <c r="CJ113" s="64"/>
      <c r="CK113" s="64"/>
      <c r="CL113" s="64"/>
      <c r="CM113" s="64"/>
      <c r="CN113" s="64"/>
      <c r="CO113" s="64"/>
      <c r="CP113" s="64"/>
      <c r="CQ113" s="64"/>
      <c r="CR113" s="64"/>
      <c r="CS113" s="64"/>
      <c r="CT113" s="64"/>
      <c r="CU113" s="64"/>
      <c r="CV113" s="64"/>
      <c r="CW113" s="64"/>
      <c r="CX113" s="64"/>
      <c r="CY113" s="64"/>
      <c r="CZ113" s="64"/>
      <c r="DA113" s="64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64"/>
      <c r="DO113" s="64"/>
      <c r="DP113" s="64"/>
      <c r="DQ113" s="64"/>
      <c r="DR113" s="64"/>
      <c r="DS113" s="64"/>
      <c r="DT113" s="64"/>
      <c r="DU113" s="64"/>
      <c r="DV113" s="64"/>
      <c r="DW113" s="64"/>
      <c r="DX113" s="64"/>
      <c r="DY113" s="64"/>
      <c r="DZ113" s="64"/>
    </row>
    <row r="114" spans="2:130" x14ac:dyDescent="0.15">
      <c r="B114" s="58" t="str">
        <f>IF(G114&lt;&gt;"",SUBTOTAL(3,$G$5:G114),"")</f>
        <v/>
      </c>
      <c r="C114" s="58"/>
      <c r="D114" s="58"/>
      <c r="E114" s="59"/>
      <c r="F114" s="59"/>
      <c r="G114" s="60"/>
      <c r="H114" s="61"/>
      <c r="I114" s="70">
        <v>1</v>
      </c>
      <c r="J114" s="63" t="s">
        <v>349</v>
      </c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5"/>
      <c r="AS114" s="63" t="s">
        <v>375</v>
      </c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4"/>
      <c r="BR114" s="64"/>
      <c r="BS114" s="64"/>
      <c r="BT114" s="64"/>
      <c r="BU114" s="64"/>
      <c r="BV114" s="64"/>
      <c r="BW114" s="64"/>
      <c r="BX114" s="64"/>
      <c r="BY114" s="64"/>
      <c r="BZ114" s="64"/>
      <c r="CA114" s="65"/>
      <c r="CB114" s="60"/>
      <c r="CH114" s="64"/>
      <c r="CI114" s="64"/>
      <c r="CJ114" s="64"/>
      <c r="CK114" s="64"/>
      <c r="CL114" s="64"/>
      <c r="CM114" s="64"/>
      <c r="CN114" s="64"/>
      <c r="CO114" s="64"/>
      <c r="CP114" s="64"/>
      <c r="CQ114" s="64"/>
      <c r="CR114" s="64"/>
      <c r="CS114" s="64"/>
      <c r="CT114" s="64"/>
      <c r="CU114" s="64"/>
      <c r="CV114" s="64"/>
      <c r="CW114" s="64"/>
      <c r="CX114" s="64"/>
      <c r="CY114" s="64"/>
      <c r="CZ114" s="64"/>
      <c r="DA114" s="64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64"/>
      <c r="DN114" s="64"/>
      <c r="DO114" s="64"/>
      <c r="DP114" s="64"/>
      <c r="DQ114" s="64"/>
      <c r="DR114" s="64"/>
      <c r="DS114" s="64"/>
      <c r="DT114" s="64"/>
      <c r="DU114" s="64"/>
      <c r="DV114" s="64"/>
      <c r="DW114" s="64"/>
      <c r="DX114" s="64"/>
      <c r="DY114" s="64"/>
      <c r="DZ114" s="64"/>
    </row>
    <row r="115" spans="2:130" x14ac:dyDescent="0.15">
      <c r="B115" s="58" t="str">
        <f>IF(G115&lt;&gt;"",SUBTOTAL(3,$G$5:G115),"")</f>
        <v/>
      </c>
      <c r="C115" s="58"/>
      <c r="D115" s="58"/>
      <c r="E115" s="59"/>
      <c r="F115" s="59"/>
      <c r="G115" s="60"/>
      <c r="H115" s="61"/>
      <c r="I115" s="70">
        <v>1</v>
      </c>
      <c r="J115" s="63" t="s">
        <v>300</v>
      </c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5"/>
      <c r="AS115" s="63" t="s">
        <v>376</v>
      </c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4"/>
      <c r="BR115" s="64"/>
      <c r="BS115" s="64"/>
      <c r="BT115" s="64"/>
      <c r="BU115" s="64"/>
      <c r="BV115" s="64"/>
      <c r="BW115" s="64"/>
      <c r="BX115" s="64"/>
      <c r="BY115" s="64"/>
      <c r="BZ115" s="64"/>
      <c r="CA115" s="65"/>
      <c r="CB115" s="60"/>
      <c r="CH115" s="64"/>
      <c r="CI115" s="64"/>
      <c r="CJ115" s="64"/>
      <c r="CK115" s="64"/>
      <c r="CL115" s="64"/>
      <c r="CM115" s="64"/>
      <c r="CN115" s="64"/>
      <c r="CO115" s="64"/>
      <c r="CP115" s="64"/>
      <c r="CQ115" s="64"/>
      <c r="CR115" s="64"/>
      <c r="CS115" s="64"/>
      <c r="CT115" s="64"/>
      <c r="CU115" s="64"/>
      <c r="CV115" s="64"/>
      <c r="CW115" s="64"/>
      <c r="CX115" s="64"/>
      <c r="CY115" s="64"/>
      <c r="CZ115" s="64"/>
      <c r="DA115" s="64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64"/>
      <c r="DM115" s="64"/>
      <c r="DN115" s="64"/>
      <c r="DO115" s="64"/>
      <c r="DP115" s="64"/>
      <c r="DQ115" s="64"/>
      <c r="DR115" s="64"/>
      <c r="DS115" s="64"/>
      <c r="DT115" s="64"/>
      <c r="DU115" s="64"/>
      <c r="DV115" s="64"/>
      <c r="DW115" s="64"/>
      <c r="DX115" s="64"/>
      <c r="DY115" s="64"/>
      <c r="DZ115" s="64"/>
    </row>
    <row r="116" spans="2:130" x14ac:dyDescent="0.15">
      <c r="B116" s="58" t="str">
        <f>IF(G116&lt;&gt;"",SUBTOTAL(3,$G$5:G116),"")</f>
        <v/>
      </c>
      <c r="C116" s="58"/>
      <c r="D116" s="58"/>
      <c r="E116" s="59"/>
      <c r="F116" s="59"/>
      <c r="G116" s="60"/>
      <c r="H116" s="61"/>
      <c r="I116" s="70">
        <v>1</v>
      </c>
      <c r="J116" s="63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5"/>
      <c r="AS116" s="63" t="s">
        <v>377</v>
      </c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4"/>
      <c r="BR116" s="64"/>
      <c r="BS116" s="64"/>
      <c r="BT116" s="64"/>
      <c r="BU116" s="64"/>
      <c r="BV116" s="64"/>
      <c r="BW116" s="64"/>
      <c r="BX116" s="64"/>
      <c r="BY116" s="64"/>
      <c r="BZ116" s="64"/>
      <c r="CA116" s="65"/>
      <c r="CB116" s="60"/>
      <c r="CH116" s="64"/>
      <c r="CI116" s="64"/>
      <c r="CJ116" s="64"/>
      <c r="CK116" s="64"/>
      <c r="CL116" s="64"/>
      <c r="CM116" s="64"/>
      <c r="CN116" s="64"/>
      <c r="CO116" s="64"/>
      <c r="CP116" s="64"/>
      <c r="CQ116" s="64"/>
      <c r="CR116" s="64"/>
      <c r="CS116" s="64"/>
      <c r="CT116" s="64"/>
      <c r="CU116" s="64"/>
      <c r="CV116" s="64"/>
      <c r="CW116" s="64"/>
      <c r="CX116" s="64"/>
      <c r="CY116" s="64"/>
      <c r="CZ116" s="64"/>
      <c r="DA116" s="64"/>
      <c r="DB116" s="64"/>
      <c r="DC116" s="64"/>
      <c r="DD116" s="64"/>
      <c r="DE116" s="64"/>
      <c r="DF116" s="64"/>
      <c r="DG116" s="64"/>
      <c r="DH116" s="64"/>
      <c r="DI116" s="64"/>
      <c r="DJ116" s="64"/>
      <c r="DK116" s="64"/>
      <c r="DL116" s="64"/>
      <c r="DM116" s="64"/>
      <c r="DN116" s="64"/>
      <c r="DO116" s="64"/>
      <c r="DP116" s="64"/>
      <c r="DQ116" s="64"/>
      <c r="DR116" s="64"/>
      <c r="DS116" s="64"/>
      <c r="DT116" s="64"/>
      <c r="DU116" s="64"/>
      <c r="DV116" s="64"/>
      <c r="DW116" s="64"/>
      <c r="DX116" s="64"/>
      <c r="DY116" s="64"/>
      <c r="DZ116" s="64"/>
    </row>
    <row r="117" spans="2:130" x14ac:dyDescent="0.15">
      <c r="B117" s="58" t="str">
        <f>IF(G117&lt;&gt;"",SUBTOTAL(3,$G$5:G117),"")</f>
        <v/>
      </c>
      <c r="C117" s="58"/>
      <c r="D117" s="58"/>
      <c r="E117" s="59"/>
      <c r="F117" s="59"/>
      <c r="G117" s="60"/>
      <c r="H117" s="61"/>
      <c r="I117" s="70">
        <v>1</v>
      </c>
      <c r="J117" s="63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5"/>
      <c r="AS117" s="63" t="s">
        <v>378</v>
      </c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4"/>
      <c r="BR117" s="64"/>
      <c r="BS117" s="64"/>
      <c r="BT117" s="64"/>
      <c r="BU117" s="64"/>
      <c r="BV117" s="64"/>
      <c r="BW117" s="64"/>
      <c r="BX117" s="64"/>
      <c r="BY117" s="64"/>
      <c r="BZ117" s="64"/>
      <c r="CA117" s="65"/>
      <c r="CB117" s="60"/>
      <c r="CH117" s="64"/>
      <c r="CI117" s="64"/>
      <c r="CJ117" s="64"/>
      <c r="CK117" s="64"/>
      <c r="CL117" s="64"/>
      <c r="CM117" s="64"/>
      <c r="CN117" s="64"/>
      <c r="CO117" s="64"/>
      <c r="CP117" s="64"/>
      <c r="CQ117" s="64"/>
      <c r="CR117" s="64"/>
      <c r="CS117" s="64"/>
      <c r="CT117" s="64"/>
      <c r="CU117" s="64"/>
      <c r="CV117" s="64"/>
      <c r="CW117" s="64"/>
      <c r="CX117" s="64"/>
      <c r="CY117" s="64"/>
      <c r="CZ117" s="64"/>
      <c r="DA117" s="64"/>
      <c r="DB117" s="64"/>
      <c r="DC117" s="64"/>
      <c r="DD117" s="64"/>
      <c r="DE117" s="64"/>
      <c r="DF117" s="64"/>
      <c r="DG117" s="64"/>
      <c r="DH117" s="64"/>
      <c r="DI117" s="64"/>
      <c r="DJ117" s="64"/>
      <c r="DK117" s="64"/>
      <c r="DL117" s="64"/>
      <c r="DM117" s="64"/>
      <c r="DN117" s="64"/>
      <c r="DO117" s="64"/>
      <c r="DP117" s="64"/>
      <c r="DQ117" s="64"/>
      <c r="DR117" s="64"/>
      <c r="DS117" s="64"/>
      <c r="DT117" s="64"/>
      <c r="DU117" s="64"/>
      <c r="DV117" s="64"/>
      <c r="DW117" s="64"/>
      <c r="DX117" s="64"/>
      <c r="DY117" s="64"/>
      <c r="DZ117" s="64"/>
    </row>
    <row r="118" spans="2:130" x14ac:dyDescent="0.15">
      <c r="B118" s="58" t="str">
        <f>IF(G118&lt;&gt;"",SUBTOTAL(3,$G$5:G118),"")</f>
        <v/>
      </c>
      <c r="C118" s="58"/>
      <c r="D118" s="58"/>
      <c r="E118" s="59"/>
      <c r="F118" s="59"/>
      <c r="G118" s="60"/>
      <c r="H118" s="61"/>
      <c r="I118" s="70">
        <v>1</v>
      </c>
      <c r="J118" s="63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5"/>
      <c r="AS118" s="63" t="s">
        <v>279</v>
      </c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4"/>
      <c r="BR118" s="64"/>
      <c r="BS118" s="64"/>
      <c r="BT118" s="64"/>
      <c r="BU118" s="64"/>
      <c r="BV118" s="64"/>
      <c r="BW118" s="64"/>
      <c r="BX118" s="64"/>
      <c r="BY118" s="64"/>
      <c r="BZ118" s="64"/>
      <c r="CA118" s="65"/>
      <c r="CB118" s="60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4"/>
      <c r="CV118" s="64"/>
      <c r="CW118" s="64"/>
      <c r="CX118" s="64"/>
      <c r="CY118" s="64"/>
      <c r="CZ118" s="64"/>
      <c r="DA118" s="64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</row>
    <row r="119" spans="2:130" x14ac:dyDescent="0.15">
      <c r="B119" s="58" t="str">
        <f>IF(G119&lt;&gt;"",SUBTOTAL(3,$G$5:G119),"")</f>
        <v/>
      </c>
      <c r="C119" s="58"/>
      <c r="D119" s="58"/>
      <c r="E119" s="59"/>
      <c r="F119" s="59"/>
      <c r="G119" s="60"/>
      <c r="H119" s="61"/>
      <c r="I119" s="70">
        <v>1</v>
      </c>
      <c r="J119" s="63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5"/>
      <c r="AS119" s="63" t="s">
        <v>301</v>
      </c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Q119" s="64"/>
      <c r="BR119" s="64"/>
      <c r="BS119" s="64"/>
      <c r="BT119" s="64"/>
      <c r="BU119" s="64"/>
      <c r="BV119" s="64"/>
      <c r="BW119" s="64"/>
      <c r="BX119" s="64"/>
      <c r="BY119" s="64"/>
      <c r="BZ119" s="64"/>
      <c r="CA119" s="65"/>
      <c r="CB119" s="60"/>
      <c r="CH119" s="64"/>
      <c r="CI119" s="64"/>
      <c r="CJ119" s="64"/>
      <c r="CK119" s="64"/>
      <c r="CL119" s="64"/>
      <c r="CM119" s="64"/>
      <c r="CN119" s="64"/>
      <c r="CO119" s="64"/>
      <c r="CP119" s="64"/>
      <c r="CQ119" s="64"/>
      <c r="CR119" s="64"/>
      <c r="CS119" s="64"/>
      <c r="CT119" s="64"/>
      <c r="CU119" s="64"/>
      <c r="CV119" s="64"/>
      <c r="CW119" s="64"/>
      <c r="CX119" s="64"/>
      <c r="CY119" s="64"/>
      <c r="CZ119" s="64"/>
      <c r="DA119" s="64"/>
      <c r="DB119" s="64"/>
      <c r="DC119" s="64"/>
      <c r="DD119" s="64"/>
      <c r="DE119" s="64"/>
      <c r="DF119" s="64"/>
      <c r="DG119" s="64"/>
      <c r="DH119" s="64"/>
      <c r="DI119" s="64"/>
      <c r="DJ119" s="64"/>
      <c r="DK119" s="64"/>
      <c r="DL119" s="64"/>
      <c r="DM119" s="64"/>
      <c r="DN119" s="64"/>
      <c r="DO119" s="64"/>
      <c r="DP119" s="64"/>
      <c r="DQ119" s="64"/>
      <c r="DR119" s="64"/>
      <c r="DS119" s="64"/>
      <c r="DT119" s="64"/>
      <c r="DU119" s="64"/>
      <c r="DV119" s="64"/>
      <c r="DW119" s="64"/>
      <c r="DX119" s="64"/>
      <c r="DY119" s="64"/>
      <c r="DZ119" s="64"/>
    </row>
    <row r="120" spans="2:130" x14ac:dyDescent="0.15">
      <c r="B120" s="58" t="str">
        <f>IF(G120&lt;&gt;"",SUBTOTAL(3,$G$5:G120),"")</f>
        <v/>
      </c>
      <c r="C120" s="58"/>
      <c r="D120" s="58"/>
      <c r="E120" s="59"/>
      <c r="F120" s="59"/>
      <c r="G120" s="60"/>
      <c r="H120" s="61"/>
      <c r="I120" s="70">
        <v>1</v>
      </c>
      <c r="J120" s="63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5"/>
      <c r="AS120" s="63" t="s">
        <v>302</v>
      </c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  <c r="BK120" s="64"/>
      <c r="BL120" s="64"/>
      <c r="BM120" s="64"/>
      <c r="BN120" s="64"/>
      <c r="BO120" s="64"/>
      <c r="BP120" s="64"/>
      <c r="BQ120" s="64"/>
      <c r="BR120" s="64"/>
      <c r="BS120" s="64"/>
      <c r="BT120" s="64"/>
      <c r="BU120" s="64"/>
      <c r="BV120" s="64"/>
      <c r="BW120" s="64"/>
      <c r="BX120" s="64"/>
      <c r="BY120" s="64"/>
      <c r="BZ120" s="64"/>
      <c r="CA120" s="65"/>
      <c r="CB120" s="60"/>
      <c r="CH120" s="64"/>
      <c r="CI120" s="64"/>
      <c r="CJ120" s="64"/>
      <c r="CK120" s="64"/>
      <c r="CL120" s="64"/>
      <c r="CM120" s="64"/>
      <c r="CN120" s="64"/>
      <c r="CO120" s="64"/>
      <c r="CP120" s="64"/>
      <c r="CQ120" s="64"/>
      <c r="CR120" s="64"/>
      <c r="CS120" s="64"/>
      <c r="CT120" s="64"/>
      <c r="CU120" s="64"/>
      <c r="CV120" s="64"/>
      <c r="CW120" s="64"/>
      <c r="CX120" s="64"/>
      <c r="CY120" s="64"/>
      <c r="CZ120" s="64"/>
      <c r="DA120" s="64"/>
      <c r="DB120" s="64"/>
      <c r="DC120" s="64"/>
      <c r="DD120" s="64"/>
      <c r="DE120" s="64"/>
      <c r="DF120" s="64"/>
      <c r="DG120" s="64"/>
      <c r="DH120" s="64"/>
      <c r="DI120" s="64"/>
      <c r="DJ120" s="64"/>
      <c r="DK120" s="64"/>
      <c r="DL120" s="64"/>
      <c r="DM120" s="64"/>
      <c r="DN120" s="64"/>
      <c r="DO120" s="64"/>
      <c r="DP120" s="64"/>
      <c r="DQ120" s="64"/>
      <c r="DR120" s="64"/>
      <c r="DS120" s="64"/>
      <c r="DT120" s="64"/>
      <c r="DU120" s="64"/>
      <c r="DV120" s="64"/>
      <c r="DW120" s="64"/>
      <c r="DX120" s="64"/>
      <c r="DY120" s="64"/>
      <c r="DZ120" s="64"/>
    </row>
    <row r="121" spans="2:130" x14ac:dyDescent="0.15">
      <c r="B121" s="58" t="str">
        <f>IF(G121&lt;&gt;"",SUBTOTAL(3,$G$5:G121),"")</f>
        <v/>
      </c>
      <c r="C121" s="58"/>
      <c r="D121" s="58"/>
      <c r="E121" s="59"/>
      <c r="F121" s="59"/>
      <c r="G121" s="60"/>
      <c r="H121" s="61"/>
      <c r="I121" s="70">
        <v>1</v>
      </c>
      <c r="J121" s="63"/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5"/>
      <c r="AS121" s="63" t="s">
        <v>303</v>
      </c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4"/>
      <c r="BR121" s="64"/>
      <c r="BS121" s="64"/>
      <c r="BT121" s="64"/>
      <c r="BU121" s="64"/>
      <c r="BV121" s="64"/>
      <c r="BW121" s="64"/>
      <c r="BX121" s="64"/>
      <c r="BY121" s="64"/>
      <c r="BZ121" s="64"/>
      <c r="CA121" s="65"/>
      <c r="CB121" s="60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4"/>
      <c r="CV121" s="64"/>
      <c r="CW121" s="64"/>
      <c r="CX121" s="64"/>
      <c r="CY121" s="64"/>
      <c r="CZ121" s="64"/>
      <c r="DA121" s="64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</row>
    <row r="122" spans="2:130" x14ac:dyDescent="0.15">
      <c r="B122" s="58" t="str">
        <f>IF(G122&lt;&gt;"",SUBTOTAL(3,$G$5:G122),"")</f>
        <v/>
      </c>
      <c r="C122" s="58"/>
      <c r="D122" s="58"/>
      <c r="E122" s="59"/>
      <c r="F122" s="59"/>
      <c r="G122" s="60"/>
      <c r="H122" s="61"/>
      <c r="I122" s="70">
        <v>1</v>
      </c>
      <c r="J122" s="63"/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5"/>
      <c r="AS122" s="63"/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  <c r="BK122" s="64"/>
      <c r="BL122" s="64"/>
      <c r="BM122" s="64"/>
      <c r="BN122" s="64"/>
      <c r="BO122" s="64"/>
      <c r="BP122" s="64"/>
      <c r="BQ122" s="64"/>
      <c r="BR122" s="64"/>
      <c r="BS122" s="64"/>
      <c r="BT122" s="64"/>
      <c r="BU122" s="64"/>
      <c r="BV122" s="64"/>
      <c r="BW122" s="64"/>
      <c r="BX122" s="64"/>
      <c r="BY122" s="64"/>
      <c r="BZ122" s="64"/>
      <c r="CA122" s="65"/>
      <c r="CB122" s="60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4"/>
      <c r="CV122" s="64"/>
      <c r="CW122" s="64"/>
      <c r="CX122" s="64"/>
      <c r="CY122" s="64"/>
      <c r="CZ122" s="64"/>
      <c r="DA122" s="64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</row>
    <row r="123" spans="2:130" x14ac:dyDescent="0.15">
      <c r="B123" s="58" t="str">
        <f>IF(G123&lt;&gt;"",SUBTOTAL(3,$G$5:G123),"")</f>
        <v/>
      </c>
      <c r="C123" s="58"/>
      <c r="D123" s="58"/>
      <c r="E123" s="59"/>
      <c r="F123" s="59"/>
      <c r="G123" s="60"/>
      <c r="H123" s="61"/>
      <c r="I123" s="70">
        <v>1</v>
      </c>
      <c r="J123" s="63"/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5"/>
      <c r="AS123" s="63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Q123" s="64"/>
      <c r="BR123" s="64"/>
      <c r="BS123" s="64"/>
      <c r="BT123" s="64"/>
      <c r="BU123" s="64"/>
      <c r="BV123" s="64"/>
      <c r="BW123" s="64"/>
      <c r="BX123" s="64"/>
      <c r="BY123" s="64"/>
      <c r="BZ123" s="64"/>
      <c r="CA123" s="65"/>
      <c r="CB123" s="60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</row>
    <row r="124" spans="2:130" x14ac:dyDescent="0.15">
      <c r="B124" s="58">
        <f>IF(G124&lt;&gt;"",SUBTOTAL(3,$G$5:G124),"")</f>
        <v>33</v>
      </c>
      <c r="C124" s="58"/>
      <c r="D124" s="58"/>
      <c r="E124" s="59" t="s">
        <v>139</v>
      </c>
      <c r="F124" s="59" t="s">
        <v>135</v>
      </c>
      <c r="G124" s="60" t="s">
        <v>208</v>
      </c>
      <c r="H124" s="61">
        <v>44038</v>
      </c>
      <c r="I124" s="62">
        <v>1</v>
      </c>
      <c r="J124" s="63" t="s">
        <v>304</v>
      </c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5"/>
      <c r="AS124" s="63" t="s">
        <v>275</v>
      </c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  <c r="BK124" s="64"/>
      <c r="BL124" s="64"/>
      <c r="BM124" s="64"/>
      <c r="BN124" s="64"/>
      <c r="BO124" s="64"/>
      <c r="BP124" s="64"/>
      <c r="BQ124" s="64"/>
      <c r="BR124" s="64"/>
      <c r="BS124" s="64"/>
      <c r="BT124" s="64"/>
      <c r="BU124" s="64"/>
      <c r="BV124" s="64"/>
      <c r="BW124" s="64"/>
      <c r="BX124" s="64"/>
      <c r="BY124" s="64"/>
      <c r="BZ124" s="64"/>
      <c r="CA124" s="65"/>
      <c r="CB124" s="60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</row>
    <row r="125" spans="2:130" x14ac:dyDescent="0.15">
      <c r="B125" s="58" t="str">
        <f>IF(G125&lt;&gt;"",SUBTOTAL(3,$G$5:G125),"")</f>
        <v/>
      </c>
      <c r="C125" s="58"/>
      <c r="D125" s="58"/>
      <c r="E125" s="59"/>
      <c r="F125" s="59"/>
      <c r="G125" s="60"/>
      <c r="H125" s="61"/>
      <c r="I125" s="70">
        <v>1</v>
      </c>
      <c r="J125" s="63" t="s">
        <v>305</v>
      </c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5"/>
      <c r="AS125" s="63" t="s">
        <v>379</v>
      </c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  <c r="BK125" s="64"/>
      <c r="BL125" s="64"/>
      <c r="BM125" s="64"/>
      <c r="BN125" s="64"/>
      <c r="BO125" s="64"/>
      <c r="BP125" s="64"/>
      <c r="BQ125" s="64"/>
      <c r="BR125" s="64"/>
      <c r="BS125" s="64"/>
      <c r="BT125" s="64"/>
      <c r="BU125" s="64"/>
      <c r="BV125" s="64"/>
      <c r="BW125" s="64"/>
      <c r="BX125" s="64"/>
      <c r="BY125" s="64"/>
      <c r="BZ125" s="64"/>
      <c r="CA125" s="65"/>
      <c r="CB125" s="60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4"/>
      <c r="CV125" s="64"/>
      <c r="CW125" s="64"/>
      <c r="CX125" s="64"/>
      <c r="CY125" s="64"/>
      <c r="CZ125" s="64"/>
      <c r="DA125" s="64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</row>
    <row r="126" spans="2:130" x14ac:dyDescent="0.15">
      <c r="B126" s="58" t="str">
        <f>IF(G126&lt;&gt;"",SUBTOTAL(3,$G$5:G126),"")</f>
        <v/>
      </c>
      <c r="C126" s="58"/>
      <c r="D126" s="58"/>
      <c r="E126" s="59"/>
      <c r="F126" s="59"/>
      <c r="G126" s="60"/>
      <c r="H126" s="61"/>
      <c r="I126" s="70">
        <v>1</v>
      </c>
      <c r="J126" s="63" t="s">
        <v>350</v>
      </c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5"/>
      <c r="AS126" s="63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  <c r="BK126" s="64"/>
      <c r="BL126" s="64"/>
      <c r="BM126" s="64"/>
      <c r="BN126" s="64"/>
      <c r="BO126" s="64"/>
      <c r="BP126" s="64"/>
      <c r="BQ126" s="64"/>
      <c r="BR126" s="64"/>
      <c r="BS126" s="64"/>
      <c r="BT126" s="64"/>
      <c r="BU126" s="64"/>
      <c r="BV126" s="64"/>
      <c r="BW126" s="64"/>
      <c r="BX126" s="64"/>
      <c r="BY126" s="64"/>
      <c r="BZ126" s="64"/>
      <c r="CA126" s="65"/>
      <c r="CB126" s="60"/>
      <c r="CH126" s="64"/>
      <c r="CI126" s="64"/>
      <c r="CJ126" s="64"/>
      <c r="CK126" s="64"/>
      <c r="CL126" s="64"/>
      <c r="CM126" s="64"/>
      <c r="CN126" s="64"/>
      <c r="CO126" s="64"/>
      <c r="CP126" s="64"/>
      <c r="CQ126" s="64"/>
      <c r="CR126" s="64"/>
      <c r="CS126" s="64"/>
      <c r="CT126" s="64"/>
      <c r="CU126" s="64"/>
      <c r="CV126" s="64"/>
      <c r="CW126" s="64"/>
      <c r="CX126" s="64"/>
      <c r="CY126" s="64"/>
      <c r="CZ126" s="64"/>
      <c r="DA126" s="64"/>
      <c r="DB126" s="64"/>
      <c r="DC126" s="64"/>
      <c r="DD126" s="64"/>
      <c r="DE126" s="64"/>
      <c r="DF126" s="64"/>
      <c r="DG126" s="64"/>
      <c r="DH126" s="64"/>
      <c r="DI126" s="64"/>
      <c r="DJ126" s="64"/>
      <c r="DK126" s="64"/>
      <c r="DL126" s="64"/>
      <c r="DM126" s="64"/>
      <c r="DN126" s="64"/>
      <c r="DO126" s="64"/>
      <c r="DP126" s="64"/>
      <c r="DQ126" s="64"/>
      <c r="DR126" s="64"/>
      <c r="DS126" s="64"/>
      <c r="DT126" s="64"/>
      <c r="DU126" s="64"/>
      <c r="DV126" s="64"/>
      <c r="DW126" s="64"/>
      <c r="DX126" s="64"/>
      <c r="DY126" s="64"/>
      <c r="DZ126" s="64"/>
    </row>
    <row r="127" spans="2:130" x14ac:dyDescent="0.15">
      <c r="B127" s="58" t="str">
        <f>IF(G127&lt;&gt;"",SUBTOTAL(3,$G$5:G127),"")</f>
        <v/>
      </c>
      <c r="C127" s="58"/>
      <c r="D127" s="58"/>
      <c r="E127" s="59"/>
      <c r="F127" s="59"/>
      <c r="G127" s="60"/>
      <c r="H127" s="61"/>
      <c r="I127" s="70">
        <v>1</v>
      </c>
      <c r="J127" s="63" t="s">
        <v>351</v>
      </c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5"/>
      <c r="AS127" s="63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  <c r="BK127" s="64"/>
      <c r="BL127" s="64"/>
      <c r="BM127" s="64"/>
      <c r="BN127" s="64"/>
      <c r="BO127" s="64"/>
      <c r="BP127" s="64"/>
      <c r="BQ127" s="64"/>
      <c r="BR127" s="64"/>
      <c r="BS127" s="64"/>
      <c r="BT127" s="64"/>
      <c r="BU127" s="64"/>
      <c r="BV127" s="64"/>
      <c r="BW127" s="64"/>
      <c r="BX127" s="64"/>
      <c r="BY127" s="64"/>
      <c r="BZ127" s="64"/>
      <c r="CA127" s="65"/>
      <c r="CB127" s="60"/>
      <c r="CH127" s="64"/>
      <c r="CI127" s="64"/>
      <c r="CJ127" s="64"/>
      <c r="CK127" s="64"/>
      <c r="CL127" s="64"/>
      <c r="CM127" s="64"/>
      <c r="CN127" s="64"/>
      <c r="CO127" s="64"/>
      <c r="CP127" s="64"/>
      <c r="CQ127" s="64"/>
      <c r="CR127" s="64"/>
      <c r="CS127" s="64"/>
      <c r="CT127" s="64"/>
      <c r="CU127" s="64"/>
      <c r="CV127" s="64"/>
      <c r="CW127" s="64"/>
      <c r="CX127" s="64"/>
      <c r="CY127" s="64"/>
      <c r="CZ127" s="64"/>
      <c r="DA127" s="64"/>
      <c r="DB127" s="64"/>
      <c r="DC127" s="64"/>
      <c r="DD127" s="64"/>
      <c r="DE127" s="64"/>
      <c r="DF127" s="64"/>
      <c r="DG127" s="64"/>
      <c r="DH127" s="64"/>
      <c r="DI127" s="64"/>
      <c r="DJ127" s="64"/>
      <c r="DK127" s="64"/>
      <c r="DL127" s="64"/>
      <c r="DM127" s="64"/>
      <c r="DN127" s="64"/>
      <c r="DO127" s="64"/>
      <c r="DP127" s="64"/>
      <c r="DQ127" s="64"/>
      <c r="DR127" s="64"/>
      <c r="DS127" s="64"/>
      <c r="DT127" s="64"/>
      <c r="DU127" s="64"/>
      <c r="DV127" s="64"/>
      <c r="DW127" s="64"/>
      <c r="DX127" s="64"/>
      <c r="DY127" s="64"/>
      <c r="DZ127" s="64"/>
    </row>
    <row r="128" spans="2:130" x14ac:dyDescent="0.15">
      <c r="B128" s="58" t="str">
        <f>IF(G128&lt;&gt;"",SUBTOTAL(3,$G$5:G128),"")</f>
        <v/>
      </c>
      <c r="C128" s="58"/>
      <c r="D128" s="58"/>
      <c r="E128" s="59"/>
      <c r="F128" s="59"/>
      <c r="G128" s="60"/>
      <c r="H128" s="61"/>
      <c r="I128" s="70">
        <v>1</v>
      </c>
      <c r="J128" s="63" t="s">
        <v>306</v>
      </c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5"/>
      <c r="AS128" s="63"/>
      <c r="AT128" s="64"/>
      <c r="AU128" s="64"/>
      <c r="AV128" s="64"/>
      <c r="AW128" s="64"/>
      <c r="AX128" s="64"/>
      <c r="AY128" s="64"/>
      <c r="AZ128" s="64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  <c r="BK128" s="64"/>
      <c r="BL128" s="64"/>
      <c r="BM128" s="64"/>
      <c r="BN128" s="64"/>
      <c r="BO128" s="64"/>
      <c r="BP128" s="64"/>
      <c r="BQ128" s="64"/>
      <c r="BR128" s="64"/>
      <c r="BS128" s="64"/>
      <c r="BT128" s="64"/>
      <c r="BU128" s="64"/>
      <c r="BV128" s="64"/>
      <c r="BW128" s="64"/>
      <c r="BX128" s="64"/>
      <c r="BY128" s="64"/>
      <c r="BZ128" s="64"/>
      <c r="CA128" s="65"/>
      <c r="CB128" s="60"/>
      <c r="CH128" s="64"/>
      <c r="CI128" s="64"/>
      <c r="CJ128" s="64"/>
      <c r="CK128" s="64"/>
      <c r="CL128" s="64"/>
      <c r="CM128" s="64"/>
      <c r="CN128" s="64"/>
      <c r="CO128" s="64"/>
      <c r="CP128" s="64"/>
      <c r="CQ128" s="64"/>
      <c r="CR128" s="64"/>
      <c r="CS128" s="64"/>
      <c r="CT128" s="64"/>
      <c r="CU128" s="64"/>
      <c r="CV128" s="64"/>
      <c r="CW128" s="64"/>
      <c r="CX128" s="64"/>
      <c r="CY128" s="64"/>
      <c r="CZ128" s="64"/>
      <c r="DA128" s="64"/>
      <c r="DB128" s="64"/>
      <c r="DC128" s="64"/>
      <c r="DD128" s="64"/>
      <c r="DE128" s="64"/>
      <c r="DF128" s="64"/>
      <c r="DG128" s="64"/>
      <c r="DH128" s="64"/>
      <c r="DI128" s="64"/>
      <c r="DJ128" s="64"/>
      <c r="DK128" s="64"/>
      <c r="DL128" s="64"/>
      <c r="DM128" s="64"/>
      <c r="DN128" s="64"/>
      <c r="DO128" s="64"/>
      <c r="DP128" s="64"/>
      <c r="DQ128" s="64"/>
      <c r="DR128" s="64"/>
      <c r="DS128" s="64"/>
      <c r="DT128" s="64"/>
      <c r="DU128" s="64"/>
      <c r="DV128" s="64"/>
      <c r="DW128" s="64"/>
      <c r="DX128" s="64"/>
      <c r="DY128" s="64"/>
      <c r="DZ128" s="64"/>
    </row>
    <row r="129" spans="2:130" x14ac:dyDescent="0.15">
      <c r="B129" s="58" t="str">
        <f>IF(G129&lt;&gt;"",SUBTOTAL(3,$G$5:G129),"")</f>
        <v/>
      </c>
      <c r="C129" s="58"/>
      <c r="D129" s="58"/>
      <c r="E129" s="59"/>
      <c r="F129" s="59"/>
      <c r="G129" s="60"/>
      <c r="H129" s="61"/>
      <c r="I129" s="70">
        <v>1</v>
      </c>
      <c r="J129" s="63" t="s">
        <v>307</v>
      </c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5"/>
      <c r="AS129" s="63"/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  <c r="BL129" s="64"/>
      <c r="BM129" s="64"/>
      <c r="BN129" s="64"/>
      <c r="BO129" s="64"/>
      <c r="BP129" s="64"/>
      <c r="BQ129" s="64"/>
      <c r="BR129" s="64"/>
      <c r="BS129" s="64"/>
      <c r="BT129" s="64"/>
      <c r="BU129" s="64"/>
      <c r="BV129" s="64"/>
      <c r="BW129" s="64"/>
      <c r="BX129" s="64"/>
      <c r="BY129" s="64"/>
      <c r="BZ129" s="64"/>
      <c r="CA129" s="65"/>
      <c r="CB129" s="60"/>
      <c r="CH129" s="64"/>
      <c r="CI129" s="64"/>
      <c r="CJ129" s="64"/>
      <c r="CK129" s="64"/>
      <c r="CL129" s="64"/>
      <c r="CM129" s="64"/>
      <c r="CN129" s="64"/>
      <c r="CO129" s="64"/>
      <c r="CP129" s="64"/>
      <c r="CQ129" s="64"/>
      <c r="CR129" s="64"/>
      <c r="CS129" s="64"/>
      <c r="CT129" s="64"/>
      <c r="CU129" s="64"/>
      <c r="CV129" s="64"/>
      <c r="CW129" s="64"/>
      <c r="CX129" s="64"/>
      <c r="CY129" s="64"/>
      <c r="CZ129" s="64"/>
      <c r="DA129" s="64"/>
      <c r="DB129" s="64"/>
      <c r="DC129" s="64"/>
      <c r="DD129" s="64"/>
      <c r="DE129" s="64"/>
      <c r="DF129" s="64"/>
      <c r="DG129" s="64"/>
      <c r="DH129" s="64"/>
      <c r="DI129" s="64"/>
      <c r="DJ129" s="64"/>
      <c r="DK129" s="64"/>
      <c r="DL129" s="64"/>
      <c r="DM129" s="64"/>
      <c r="DN129" s="64"/>
      <c r="DO129" s="64"/>
      <c r="DP129" s="64"/>
      <c r="DQ129" s="64"/>
      <c r="DR129" s="64"/>
      <c r="DS129" s="64"/>
      <c r="DT129" s="64"/>
      <c r="DU129" s="64"/>
      <c r="DV129" s="64"/>
      <c r="DW129" s="64"/>
      <c r="DX129" s="64"/>
      <c r="DY129" s="64"/>
      <c r="DZ129" s="64"/>
    </row>
    <row r="130" spans="2:130" x14ac:dyDescent="0.15">
      <c r="B130" s="58" t="str">
        <f>IF(G130&lt;&gt;"",SUBTOTAL(3,$G$5:G130),"")</f>
        <v/>
      </c>
      <c r="C130" s="58"/>
      <c r="D130" s="58"/>
      <c r="E130" s="59"/>
      <c r="F130" s="59"/>
      <c r="G130" s="60"/>
      <c r="H130" s="61"/>
      <c r="I130" s="70">
        <v>1</v>
      </c>
      <c r="J130" s="63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5"/>
      <c r="AS130" s="63"/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  <c r="BK130" s="64"/>
      <c r="BL130" s="64"/>
      <c r="BM130" s="64"/>
      <c r="BN130" s="64"/>
      <c r="BO130" s="64"/>
      <c r="BP130" s="64"/>
      <c r="BQ130" s="64"/>
      <c r="BR130" s="64"/>
      <c r="BS130" s="64"/>
      <c r="BT130" s="64"/>
      <c r="BU130" s="64"/>
      <c r="BV130" s="64"/>
      <c r="BW130" s="64"/>
      <c r="BX130" s="64"/>
      <c r="BY130" s="64"/>
      <c r="BZ130" s="64"/>
      <c r="CA130" s="65"/>
      <c r="CB130" s="60"/>
      <c r="CH130" s="64"/>
      <c r="CI130" s="64"/>
      <c r="CJ130" s="64"/>
      <c r="CK130" s="64"/>
      <c r="CL130" s="64"/>
      <c r="CM130" s="64"/>
      <c r="CN130" s="64"/>
      <c r="CO130" s="64"/>
      <c r="CP130" s="64"/>
      <c r="CQ130" s="64"/>
      <c r="CR130" s="64"/>
      <c r="CS130" s="64"/>
      <c r="CT130" s="64"/>
      <c r="CU130" s="64"/>
      <c r="CV130" s="64"/>
      <c r="CW130" s="64"/>
      <c r="CX130" s="64"/>
      <c r="CY130" s="64"/>
      <c r="CZ130" s="64"/>
      <c r="DA130" s="64"/>
      <c r="DB130" s="64"/>
      <c r="DC130" s="64"/>
      <c r="DD130" s="64"/>
      <c r="DE130" s="64"/>
      <c r="DF130" s="64"/>
      <c r="DG130" s="64"/>
      <c r="DH130" s="64"/>
      <c r="DI130" s="64"/>
      <c r="DJ130" s="64"/>
      <c r="DK130" s="64"/>
      <c r="DL130" s="64"/>
      <c r="DM130" s="64"/>
      <c r="DN130" s="64"/>
      <c r="DO130" s="64"/>
      <c r="DP130" s="64"/>
      <c r="DQ130" s="64"/>
      <c r="DR130" s="64"/>
      <c r="DS130" s="64"/>
      <c r="DT130" s="64"/>
      <c r="DU130" s="64"/>
      <c r="DV130" s="64"/>
      <c r="DW130" s="64"/>
      <c r="DX130" s="64"/>
      <c r="DY130" s="64"/>
      <c r="DZ130" s="64"/>
    </row>
    <row r="131" spans="2:130" x14ac:dyDescent="0.15">
      <c r="B131" s="58">
        <f>IF(G131&lt;&gt;"",SUBTOTAL(3,$G$5:G131),"")</f>
        <v>34</v>
      </c>
      <c r="C131" s="58"/>
      <c r="D131" s="58"/>
      <c r="E131" s="59" t="s">
        <v>139</v>
      </c>
      <c r="F131" s="59" t="s">
        <v>135</v>
      </c>
      <c r="G131" s="60" t="s">
        <v>207</v>
      </c>
      <c r="H131" s="61">
        <v>44038</v>
      </c>
      <c r="I131" s="62">
        <v>1</v>
      </c>
      <c r="J131" s="63" t="s">
        <v>380</v>
      </c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5"/>
      <c r="AS131" s="63" t="s">
        <v>275</v>
      </c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  <c r="BK131" s="64"/>
      <c r="BL131" s="64"/>
      <c r="BM131" s="64"/>
      <c r="BN131" s="64"/>
      <c r="BO131" s="64"/>
      <c r="BP131" s="64"/>
      <c r="BQ131" s="64"/>
      <c r="BR131" s="64"/>
      <c r="BS131" s="64"/>
      <c r="BT131" s="64"/>
      <c r="BU131" s="64"/>
      <c r="BV131" s="64"/>
      <c r="BW131" s="64"/>
      <c r="BX131" s="64"/>
      <c r="BY131" s="64"/>
      <c r="BZ131" s="64"/>
      <c r="CA131" s="65"/>
      <c r="CB131" s="67"/>
      <c r="CH131" s="64"/>
      <c r="CI131" s="64"/>
      <c r="CJ131" s="64"/>
      <c r="CK131" s="64"/>
      <c r="CL131" s="64"/>
      <c r="CM131" s="64"/>
      <c r="CN131" s="64"/>
      <c r="CO131" s="64"/>
      <c r="CP131" s="64"/>
      <c r="CQ131" s="64"/>
      <c r="CR131" s="64"/>
      <c r="CS131" s="64"/>
      <c r="CT131" s="64"/>
      <c r="CU131" s="64"/>
      <c r="CV131" s="64"/>
      <c r="CW131" s="64"/>
      <c r="CX131" s="64"/>
      <c r="CY131" s="64"/>
      <c r="CZ131" s="64"/>
      <c r="DA131" s="64"/>
      <c r="DB131" s="64"/>
      <c r="DC131" s="64"/>
      <c r="DD131" s="64"/>
      <c r="DE131" s="64"/>
      <c r="DF131" s="64"/>
      <c r="DG131" s="64"/>
      <c r="DH131" s="64"/>
      <c r="DI131" s="64"/>
      <c r="DJ131" s="64"/>
      <c r="DK131" s="64"/>
      <c r="DL131" s="64"/>
      <c r="DM131" s="64"/>
      <c r="DN131" s="64"/>
      <c r="DO131" s="64"/>
      <c r="DP131" s="64"/>
      <c r="DQ131" s="64"/>
      <c r="DR131" s="64"/>
      <c r="DS131" s="64"/>
      <c r="DT131" s="64"/>
      <c r="DU131" s="64"/>
      <c r="DV131" s="64"/>
      <c r="DW131" s="64"/>
      <c r="DX131" s="64"/>
      <c r="DY131" s="64"/>
      <c r="DZ131" s="64"/>
    </row>
    <row r="132" spans="2:130" x14ac:dyDescent="0.15">
      <c r="B132" s="58" t="str">
        <f>IF(G132&lt;&gt;"",SUBTOTAL(3,$G$5:G132),"")</f>
        <v/>
      </c>
      <c r="C132" s="58"/>
      <c r="D132" s="58"/>
      <c r="E132" s="59"/>
      <c r="F132" s="59"/>
      <c r="G132" s="60"/>
      <c r="H132" s="61"/>
      <c r="I132" s="70">
        <v>1</v>
      </c>
      <c r="J132" s="63" t="s">
        <v>381</v>
      </c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5"/>
      <c r="AS132" s="63" t="s">
        <v>308</v>
      </c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  <c r="BK132" s="64"/>
      <c r="BL132" s="64"/>
      <c r="BM132" s="64"/>
      <c r="BN132" s="64"/>
      <c r="BO132" s="64"/>
      <c r="BP132" s="64"/>
      <c r="BQ132" s="64"/>
      <c r="BR132" s="64"/>
      <c r="BS132" s="64"/>
      <c r="BT132" s="64"/>
      <c r="BU132" s="64"/>
      <c r="BV132" s="64"/>
      <c r="BW132" s="64"/>
      <c r="BX132" s="64"/>
      <c r="BY132" s="64"/>
      <c r="BZ132" s="64"/>
      <c r="CA132" s="65"/>
      <c r="CB132" s="67"/>
      <c r="CH132" s="64"/>
      <c r="CI132" s="64"/>
      <c r="CJ132" s="64"/>
      <c r="CK132" s="64"/>
      <c r="CL132" s="64"/>
      <c r="CM132" s="64"/>
      <c r="CN132" s="64"/>
      <c r="CO132" s="64"/>
      <c r="CP132" s="64"/>
      <c r="CQ132" s="64"/>
      <c r="CR132" s="64"/>
      <c r="CS132" s="64"/>
      <c r="CT132" s="64"/>
      <c r="CU132" s="64"/>
      <c r="CV132" s="64"/>
      <c r="CW132" s="64"/>
      <c r="CX132" s="64"/>
      <c r="CY132" s="64"/>
      <c r="CZ132" s="64"/>
      <c r="DA132" s="64"/>
      <c r="DB132" s="64"/>
      <c r="DC132" s="64"/>
      <c r="DD132" s="64"/>
      <c r="DE132" s="64"/>
      <c r="DF132" s="64"/>
      <c r="DG132" s="64"/>
      <c r="DH132" s="64"/>
      <c r="DI132" s="64"/>
      <c r="DJ132" s="64"/>
      <c r="DK132" s="64"/>
      <c r="DL132" s="64"/>
      <c r="DM132" s="64"/>
      <c r="DN132" s="64"/>
      <c r="DO132" s="64"/>
      <c r="DP132" s="64"/>
      <c r="DQ132" s="64"/>
      <c r="DR132" s="64"/>
      <c r="DS132" s="64"/>
      <c r="DT132" s="64"/>
      <c r="DU132" s="64"/>
      <c r="DV132" s="64"/>
      <c r="DW132" s="64"/>
      <c r="DX132" s="64"/>
      <c r="DY132" s="64"/>
      <c r="DZ132" s="64"/>
    </row>
    <row r="133" spans="2:130" x14ac:dyDescent="0.15">
      <c r="B133" s="58" t="str">
        <f>IF(G133&lt;&gt;"",SUBTOTAL(3,$G$5:G133),"")</f>
        <v/>
      </c>
      <c r="C133" s="58"/>
      <c r="D133" s="58"/>
      <c r="E133" s="59"/>
      <c r="F133" s="59"/>
      <c r="G133" s="60"/>
      <c r="H133" s="61"/>
      <c r="I133" s="70">
        <v>1</v>
      </c>
      <c r="J133" s="63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5"/>
      <c r="AS133" s="63" t="s">
        <v>382</v>
      </c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  <c r="BK133" s="64"/>
      <c r="BL133" s="64"/>
      <c r="BM133" s="64"/>
      <c r="BN133" s="64"/>
      <c r="BO133" s="64"/>
      <c r="BP133" s="64"/>
      <c r="BQ133" s="64"/>
      <c r="BR133" s="64"/>
      <c r="BS133" s="64"/>
      <c r="BT133" s="64"/>
      <c r="BU133" s="64"/>
      <c r="BV133" s="64"/>
      <c r="BW133" s="64"/>
      <c r="BX133" s="64"/>
      <c r="BY133" s="64"/>
      <c r="BZ133" s="64"/>
      <c r="CA133" s="65"/>
      <c r="CB133" s="67"/>
      <c r="CH133" s="64"/>
      <c r="CI133" s="64"/>
      <c r="CJ133" s="64"/>
      <c r="CK133" s="64"/>
      <c r="CL133" s="64"/>
      <c r="CM133" s="64"/>
      <c r="CN133" s="64"/>
      <c r="CO133" s="64"/>
      <c r="CP133" s="64"/>
      <c r="CQ133" s="64"/>
      <c r="CR133" s="64"/>
      <c r="CS133" s="64"/>
      <c r="CT133" s="64"/>
      <c r="CU133" s="64"/>
      <c r="CV133" s="64"/>
      <c r="CW133" s="64"/>
      <c r="CX133" s="64"/>
      <c r="CY133" s="64"/>
      <c r="CZ133" s="64"/>
      <c r="DA133" s="64"/>
      <c r="DB133" s="64"/>
      <c r="DC133" s="64"/>
      <c r="DD133" s="64"/>
      <c r="DE133" s="64"/>
      <c r="DF133" s="64"/>
      <c r="DG133" s="64"/>
      <c r="DH133" s="64"/>
      <c r="DI133" s="64"/>
      <c r="DJ133" s="64"/>
      <c r="DK133" s="64"/>
      <c r="DL133" s="64"/>
      <c r="DM133" s="64"/>
      <c r="DN133" s="64"/>
      <c r="DO133" s="64"/>
      <c r="DP133" s="64"/>
      <c r="DQ133" s="64"/>
      <c r="DR133" s="64"/>
      <c r="DS133" s="64"/>
      <c r="DT133" s="64"/>
      <c r="DU133" s="64"/>
      <c r="DV133" s="64"/>
      <c r="DW133" s="64"/>
      <c r="DX133" s="64"/>
      <c r="DY133" s="64"/>
      <c r="DZ133" s="64"/>
    </row>
    <row r="134" spans="2:130" x14ac:dyDescent="0.15">
      <c r="B134" s="58" t="str">
        <f>IF(G134&lt;&gt;"",SUBTOTAL(3,$G$5:G134),"")</f>
        <v/>
      </c>
      <c r="C134" s="58"/>
      <c r="D134" s="58"/>
      <c r="E134" s="59"/>
      <c r="F134" s="59"/>
      <c r="G134" s="60"/>
      <c r="H134" s="61"/>
      <c r="I134" s="70">
        <v>1</v>
      </c>
      <c r="J134" s="63"/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5"/>
      <c r="AS134" s="63" t="s">
        <v>383</v>
      </c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  <c r="BK134" s="64"/>
      <c r="BL134" s="64"/>
      <c r="BM134" s="64"/>
      <c r="BN134" s="64"/>
      <c r="BO134" s="64"/>
      <c r="BP134" s="64"/>
      <c r="BQ134" s="64"/>
      <c r="BR134" s="64"/>
      <c r="BS134" s="64"/>
      <c r="BT134" s="64"/>
      <c r="BU134" s="64"/>
      <c r="BV134" s="64"/>
      <c r="BW134" s="64"/>
      <c r="BX134" s="64"/>
      <c r="BY134" s="64"/>
      <c r="BZ134" s="64"/>
      <c r="CA134" s="65"/>
      <c r="CB134" s="67"/>
      <c r="CH134" s="64"/>
      <c r="CI134" s="64"/>
      <c r="CJ134" s="64"/>
      <c r="CK134" s="64"/>
      <c r="CL134" s="64"/>
      <c r="CM134" s="64"/>
      <c r="CN134" s="64"/>
      <c r="CO134" s="64"/>
      <c r="CP134" s="64"/>
      <c r="CQ134" s="64"/>
      <c r="CR134" s="64"/>
      <c r="CS134" s="64"/>
      <c r="CT134" s="64"/>
      <c r="CU134" s="64"/>
      <c r="CV134" s="64"/>
      <c r="CW134" s="64"/>
      <c r="CX134" s="64"/>
      <c r="CY134" s="64"/>
      <c r="CZ134" s="64"/>
      <c r="DA134" s="64"/>
      <c r="DB134" s="64"/>
      <c r="DC134" s="64"/>
      <c r="DD134" s="64"/>
      <c r="DE134" s="64"/>
      <c r="DF134" s="64"/>
      <c r="DG134" s="64"/>
      <c r="DH134" s="64"/>
      <c r="DI134" s="64"/>
      <c r="DJ134" s="64"/>
      <c r="DK134" s="64"/>
      <c r="DL134" s="64"/>
      <c r="DM134" s="64"/>
      <c r="DN134" s="64"/>
      <c r="DO134" s="64"/>
      <c r="DP134" s="64"/>
      <c r="DQ134" s="64"/>
      <c r="DR134" s="64"/>
      <c r="DS134" s="64"/>
      <c r="DT134" s="64"/>
      <c r="DU134" s="64"/>
      <c r="DV134" s="64"/>
      <c r="DW134" s="64"/>
      <c r="DX134" s="64"/>
      <c r="DY134" s="64"/>
      <c r="DZ134" s="64"/>
    </row>
    <row r="135" spans="2:130" x14ac:dyDescent="0.15">
      <c r="B135" s="58" t="str">
        <f>IF(G135&lt;&gt;"",SUBTOTAL(3,$G$5:G135),"")</f>
        <v/>
      </c>
      <c r="C135" s="58"/>
      <c r="D135" s="58"/>
      <c r="E135" s="59"/>
      <c r="F135" s="59"/>
      <c r="G135" s="60"/>
      <c r="H135" s="61"/>
      <c r="I135" s="70">
        <v>1</v>
      </c>
      <c r="J135" s="63"/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5"/>
      <c r="AS135" s="63" t="s">
        <v>384</v>
      </c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64"/>
      <c r="BQ135" s="64"/>
      <c r="BR135" s="64"/>
      <c r="BS135" s="64"/>
      <c r="BT135" s="64"/>
      <c r="BU135" s="64"/>
      <c r="BV135" s="64"/>
      <c r="BW135" s="64"/>
      <c r="BX135" s="64"/>
      <c r="BY135" s="64"/>
      <c r="BZ135" s="64"/>
      <c r="CA135" s="65"/>
      <c r="CB135" s="67"/>
      <c r="CH135" s="64"/>
      <c r="CI135" s="64"/>
      <c r="CJ135" s="64"/>
      <c r="CK135" s="64"/>
      <c r="CL135" s="64"/>
      <c r="CM135" s="64"/>
      <c r="CN135" s="64"/>
      <c r="CO135" s="64"/>
      <c r="CP135" s="64"/>
      <c r="CQ135" s="64"/>
      <c r="CR135" s="64"/>
      <c r="CS135" s="64"/>
      <c r="CT135" s="64"/>
      <c r="CU135" s="64"/>
      <c r="CV135" s="64"/>
      <c r="CW135" s="64"/>
      <c r="CX135" s="64"/>
      <c r="CY135" s="64"/>
      <c r="CZ135" s="64"/>
      <c r="DA135" s="64"/>
      <c r="DB135" s="64"/>
      <c r="DC135" s="64"/>
      <c r="DD135" s="64"/>
      <c r="DE135" s="64"/>
      <c r="DF135" s="64"/>
      <c r="DG135" s="64"/>
      <c r="DH135" s="64"/>
      <c r="DI135" s="64"/>
      <c r="DJ135" s="64"/>
      <c r="DK135" s="64"/>
      <c r="DL135" s="64"/>
      <c r="DM135" s="64"/>
      <c r="DN135" s="64"/>
      <c r="DO135" s="64"/>
      <c r="DP135" s="64"/>
      <c r="DQ135" s="64"/>
      <c r="DR135" s="64"/>
      <c r="DS135" s="64"/>
      <c r="DT135" s="64"/>
      <c r="DU135" s="64"/>
      <c r="DV135" s="64"/>
      <c r="DW135" s="64"/>
      <c r="DX135" s="64"/>
      <c r="DY135" s="64"/>
      <c r="DZ135" s="64"/>
    </row>
    <row r="136" spans="2:130" x14ac:dyDescent="0.15">
      <c r="B136" s="58" t="str">
        <f>IF(G136&lt;&gt;"",SUBTOTAL(3,$G$5:G136),"")</f>
        <v/>
      </c>
      <c r="C136" s="58"/>
      <c r="D136" s="58"/>
      <c r="E136" s="59"/>
      <c r="F136" s="59"/>
      <c r="G136" s="60"/>
      <c r="H136" s="61"/>
      <c r="I136" s="70">
        <v>1</v>
      </c>
      <c r="J136" s="63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5"/>
      <c r="AS136" s="63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4"/>
      <c r="BR136" s="64"/>
      <c r="BS136" s="64"/>
      <c r="BT136" s="64"/>
      <c r="BU136" s="64"/>
      <c r="BV136" s="64"/>
      <c r="BW136" s="64"/>
      <c r="BX136" s="64"/>
      <c r="BY136" s="64"/>
      <c r="BZ136" s="64"/>
      <c r="CA136" s="65"/>
      <c r="CB136" s="67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4"/>
      <c r="CV136" s="64"/>
      <c r="CW136" s="64"/>
      <c r="CX136" s="64"/>
      <c r="CY136" s="64"/>
      <c r="CZ136" s="64"/>
      <c r="DA136" s="64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</row>
    <row r="137" spans="2:130" x14ac:dyDescent="0.15">
      <c r="B137" s="58">
        <f>IF(G137&lt;&gt;"",SUBTOTAL(3,$G$5:G137),"")</f>
        <v>35</v>
      </c>
      <c r="C137" s="58"/>
      <c r="D137" s="58"/>
      <c r="E137" s="59" t="s">
        <v>139</v>
      </c>
      <c r="F137" s="59" t="s">
        <v>135</v>
      </c>
      <c r="G137" s="60" t="s">
        <v>160</v>
      </c>
      <c r="H137" s="61">
        <v>43960</v>
      </c>
      <c r="I137" s="62">
        <v>1</v>
      </c>
      <c r="J137" s="63" t="s">
        <v>309</v>
      </c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5"/>
      <c r="AS137" s="63" t="s">
        <v>275</v>
      </c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4"/>
      <c r="BR137" s="64"/>
      <c r="BS137" s="64"/>
      <c r="BT137" s="64"/>
      <c r="BU137" s="64"/>
      <c r="BV137" s="64"/>
      <c r="BW137" s="64"/>
      <c r="BX137" s="64"/>
      <c r="BY137" s="64"/>
      <c r="BZ137" s="64"/>
      <c r="CA137" s="65"/>
      <c r="CB137" s="67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4"/>
      <c r="CV137" s="64"/>
      <c r="CW137" s="64"/>
      <c r="CX137" s="64"/>
      <c r="CY137" s="64"/>
      <c r="CZ137" s="64"/>
      <c r="DA137" s="64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</row>
    <row r="138" spans="2:130" x14ac:dyDescent="0.15">
      <c r="B138" s="58" t="str">
        <f>IF(G138&lt;&gt;"",SUBTOTAL(3,$G$5:G138),"")</f>
        <v/>
      </c>
      <c r="C138" s="58"/>
      <c r="D138" s="58"/>
      <c r="E138" s="59"/>
      <c r="F138" s="59"/>
      <c r="G138" s="60"/>
      <c r="H138" s="61"/>
      <c r="I138" s="70">
        <v>1</v>
      </c>
      <c r="J138" s="63" t="s">
        <v>310</v>
      </c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5"/>
      <c r="AS138" s="63" t="s">
        <v>385</v>
      </c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4"/>
      <c r="BR138" s="64"/>
      <c r="BS138" s="64"/>
      <c r="BT138" s="64"/>
      <c r="BU138" s="64"/>
      <c r="BV138" s="64"/>
      <c r="BW138" s="64"/>
      <c r="BX138" s="64"/>
      <c r="BY138" s="64"/>
      <c r="BZ138" s="64"/>
      <c r="CA138" s="65"/>
      <c r="CB138" s="67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4"/>
      <c r="CV138" s="64"/>
      <c r="CW138" s="64"/>
      <c r="CX138" s="64"/>
      <c r="CY138" s="64"/>
      <c r="CZ138" s="64"/>
      <c r="DA138" s="64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</row>
    <row r="139" spans="2:130" x14ac:dyDescent="0.15">
      <c r="B139" s="58" t="str">
        <f>IF(G139&lt;&gt;"",SUBTOTAL(3,$G$5:G139),"")</f>
        <v/>
      </c>
      <c r="C139" s="58"/>
      <c r="D139" s="58"/>
      <c r="E139" s="59"/>
      <c r="F139" s="59"/>
      <c r="G139" s="60"/>
      <c r="H139" s="61"/>
      <c r="I139" s="70">
        <v>1</v>
      </c>
      <c r="J139" s="63"/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5"/>
      <c r="AS139" s="63"/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5"/>
      <c r="CB139" s="67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</row>
    <row r="140" spans="2:130" ht="15.75" x14ac:dyDescent="0.15">
      <c r="B140" s="58">
        <f>IF(G140&lt;&gt;"",SUBTOTAL(3,$G$5:G140),"")</f>
        <v>36</v>
      </c>
      <c r="C140" s="58"/>
      <c r="D140" s="58"/>
      <c r="E140" s="59" t="s">
        <v>139</v>
      </c>
      <c r="F140" s="59" t="s">
        <v>135</v>
      </c>
      <c r="G140" s="60" t="s">
        <v>161</v>
      </c>
      <c r="H140" s="61">
        <v>44036</v>
      </c>
      <c r="I140" s="62">
        <v>0.3</v>
      </c>
      <c r="J140" s="63" t="s">
        <v>311</v>
      </c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5"/>
      <c r="AS140" s="64" t="s">
        <v>359</v>
      </c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5"/>
      <c r="CB140" s="60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</row>
    <row r="141" spans="2:130" x14ac:dyDescent="0.15">
      <c r="B141" s="58" t="str">
        <f>IF(G141&lt;&gt;"",SUBTOTAL(3,$G$5:G141),"")</f>
        <v/>
      </c>
      <c r="C141" s="58"/>
      <c r="D141" s="58"/>
      <c r="E141" s="59"/>
      <c r="F141" s="59"/>
      <c r="G141" s="60"/>
      <c r="H141" s="61"/>
      <c r="I141" s="68">
        <v>0.3</v>
      </c>
      <c r="J141" s="63" t="s">
        <v>357</v>
      </c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5"/>
      <c r="AS141" s="64" t="s">
        <v>275</v>
      </c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5"/>
      <c r="CB141" s="60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</row>
    <row r="142" spans="2:130" x14ac:dyDescent="0.15">
      <c r="B142" s="58" t="str">
        <f>IF(G142&lt;&gt;"",SUBTOTAL(3,$G$5:G142),"")</f>
        <v/>
      </c>
      <c r="C142" s="58"/>
      <c r="D142" s="58"/>
      <c r="E142" s="59"/>
      <c r="F142" s="59"/>
      <c r="G142" s="60"/>
      <c r="H142" s="61"/>
      <c r="I142" s="68">
        <v>0.3</v>
      </c>
      <c r="J142" s="63" t="s">
        <v>358</v>
      </c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5"/>
      <c r="AS142" s="64" t="s">
        <v>313</v>
      </c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5"/>
      <c r="CB142" s="60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</row>
    <row r="143" spans="2:130" x14ac:dyDescent="0.15">
      <c r="B143" s="58" t="str">
        <f>IF(G143&lt;&gt;"",SUBTOTAL(3,$G$5:G143),"")</f>
        <v/>
      </c>
      <c r="C143" s="58"/>
      <c r="D143" s="58"/>
      <c r="E143" s="59"/>
      <c r="F143" s="59"/>
      <c r="G143" s="60"/>
      <c r="H143" s="61"/>
      <c r="I143" s="68">
        <v>0.3</v>
      </c>
      <c r="J143" s="63" t="s">
        <v>352</v>
      </c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5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5"/>
      <c r="CB143" s="60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</row>
    <row r="144" spans="2:130" x14ac:dyDescent="0.15">
      <c r="B144" s="58" t="str">
        <f>IF(G144&lt;&gt;"",SUBTOTAL(3,$G$5:G144),"")</f>
        <v/>
      </c>
      <c r="C144" s="58"/>
      <c r="D144" s="58"/>
      <c r="E144" s="59"/>
      <c r="F144" s="59"/>
      <c r="G144" s="60"/>
      <c r="H144" s="61"/>
      <c r="I144" s="68">
        <v>0.3</v>
      </c>
      <c r="J144" s="63" t="s">
        <v>312</v>
      </c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5"/>
      <c r="AS144" s="64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5"/>
      <c r="CB144" s="60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</row>
    <row r="145" spans="2:130" x14ac:dyDescent="0.15">
      <c r="B145" s="58" t="str">
        <f>IF(G145&lt;&gt;"",SUBTOTAL(3,$G$5:G145),"")</f>
        <v/>
      </c>
      <c r="C145" s="58"/>
      <c r="D145" s="58"/>
      <c r="E145" s="59"/>
      <c r="F145" s="59"/>
      <c r="G145" s="60"/>
      <c r="H145" s="61"/>
      <c r="I145" s="68">
        <v>0.3</v>
      </c>
      <c r="J145" s="63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5"/>
      <c r="AS145" s="64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4"/>
      <c r="BR145" s="64"/>
      <c r="BS145" s="64"/>
      <c r="BT145" s="64"/>
      <c r="BU145" s="64"/>
      <c r="BV145" s="64"/>
      <c r="BW145" s="64"/>
      <c r="BX145" s="64"/>
      <c r="BY145" s="64"/>
      <c r="BZ145" s="64"/>
      <c r="CA145" s="65"/>
      <c r="CB145" s="60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  <c r="CX145" s="64"/>
      <c r="CY145" s="64"/>
      <c r="CZ145" s="64"/>
      <c r="DA145" s="64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</row>
    <row r="146" spans="2:130" x14ac:dyDescent="0.15">
      <c r="B146" s="58" t="str">
        <f>IF(G146&lt;&gt;"",SUBTOTAL(3,$G$5:G146),"")</f>
        <v/>
      </c>
      <c r="C146" s="58"/>
      <c r="D146" s="58"/>
      <c r="E146" s="59"/>
      <c r="F146" s="59"/>
      <c r="G146" s="60"/>
      <c r="H146" s="61"/>
      <c r="I146" s="68">
        <v>0.3</v>
      </c>
      <c r="J146" s="63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5"/>
      <c r="AS146" s="64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4"/>
      <c r="BR146" s="64"/>
      <c r="BS146" s="64"/>
      <c r="BT146" s="64"/>
      <c r="BU146" s="64"/>
      <c r="BV146" s="64"/>
      <c r="BW146" s="64"/>
      <c r="BX146" s="64"/>
      <c r="BY146" s="64"/>
      <c r="BZ146" s="64"/>
      <c r="CA146" s="65"/>
      <c r="CB146" s="60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4"/>
      <c r="CV146" s="64"/>
      <c r="CW146" s="64"/>
      <c r="CX146" s="64"/>
      <c r="CY146" s="64"/>
      <c r="CZ146" s="64"/>
      <c r="DA146" s="64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</row>
    <row r="147" spans="2:130" x14ac:dyDescent="0.15">
      <c r="B147" s="58">
        <f>IF(G147&lt;&gt;"",SUBTOTAL(3,$G$5:G147),"")</f>
        <v>37</v>
      </c>
      <c r="C147" s="58"/>
      <c r="D147" s="58"/>
      <c r="E147" s="105" t="s">
        <v>139</v>
      </c>
      <c r="F147" s="105" t="s">
        <v>135</v>
      </c>
      <c r="G147" s="106" t="s">
        <v>162</v>
      </c>
      <c r="H147" s="103">
        <v>44013</v>
      </c>
      <c r="I147" s="62"/>
      <c r="J147" s="63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5"/>
      <c r="AS147" s="63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4"/>
      <c r="BR147" s="64"/>
      <c r="BS147" s="64"/>
      <c r="BT147" s="64"/>
      <c r="BU147" s="64"/>
      <c r="BV147" s="64"/>
      <c r="BW147" s="64"/>
      <c r="BX147" s="64"/>
      <c r="BY147" s="64"/>
      <c r="BZ147" s="64"/>
      <c r="CA147" s="65"/>
      <c r="CB147" s="60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</row>
    <row r="148" spans="2:130" x14ac:dyDescent="0.15">
      <c r="B148" s="58">
        <f>IF(G148&lt;&gt;"",SUBTOTAL(3,$G$5:G148),"")</f>
        <v>38</v>
      </c>
      <c r="C148" s="58"/>
      <c r="D148" s="58"/>
      <c r="E148" s="105" t="s">
        <v>139</v>
      </c>
      <c r="F148" s="105" t="s">
        <v>135</v>
      </c>
      <c r="G148" s="106" t="s">
        <v>163</v>
      </c>
      <c r="H148" s="103">
        <v>44010</v>
      </c>
      <c r="I148" s="62"/>
      <c r="J148" s="63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5"/>
      <c r="AS148" s="63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4"/>
      <c r="BR148" s="64"/>
      <c r="BS148" s="64"/>
      <c r="BT148" s="64"/>
      <c r="BU148" s="64"/>
      <c r="BV148" s="64"/>
      <c r="BW148" s="64"/>
      <c r="BX148" s="64"/>
      <c r="BY148" s="64"/>
      <c r="BZ148" s="64"/>
      <c r="CA148" s="65"/>
      <c r="CB148" s="60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4"/>
      <c r="CV148" s="64"/>
      <c r="CW148" s="64"/>
      <c r="CX148" s="64"/>
      <c r="CY148" s="64"/>
      <c r="CZ148" s="64"/>
      <c r="DA148" s="64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</row>
    <row r="149" spans="2:130" x14ac:dyDescent="0.15">
      <c r="B149" s="58">
        <f>IF(G149&lt;&gt;"",SUBTOTAL(3,$G$5:G149),"")</f>
        <v>39</v>
      </c>
      <c r="C149" s="58"/>
      <c r="D149" s="58"/>
      <c r="E149" s="105" t="s">
        <v>139</v>
      </c>
      <c r="F149" s="105" t="s">
        <v>135</v>
      </c>
      <c r="G149" s="106" t="s">
        <v>164</v>
      </c>
      <c r="H149" s="103">
        <v>44007</v>
      </c>
      <c r="I149" s="62"/>
      <c r="J149" s="63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5"/>
      <c r="AS149" s="63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4"/>
      <c r="BR149" s="64"/>
      <c r="BS149" s="64"/>
      <c r="BT149" s="64"/>
      <c r="BU149" s="64"/>
      <c r="BV149" s="64"/>
      <c r="BW149" s="64"/>
      <c r="BX149" s="64"/>
      <c r="BY149" s="64"/>
      <c r="BZ149" s="64"/>
      <c r="CA149" s="65"/>
      <c r="CB149" s="60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4"/>
      <c r="CV149" s="64"/>
      <c r="CW149" s="64"/>
      <c r="CX149" s="64"/>
      <c r="CY149" s="64"/>
      <c r="CZ149" s="64"/>
      <c r="DA149" s="64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</row>
    <row r="150" spans="2:130" x14ac:dyDescent="0.15">
      <c r="B150" s="58">
        <f>IF(G150&lt;&gt;"",SUBTOTAL(3,$G$5:G150),"")</f>
        <v>40</v>
      </c>
      <c r="C150" s="58"/>
      <c r="D150" s="58"/>
      <c r="E150" s="105" t="s">
        <v>139</v>
      </c>
      <c r="F150" s="105" t="s">
        <v>135</v>
      </c>
      <c r="G150" s="106" t="s">
        <v>165</v>
      </c>
      <c r="H150" s="103">
        <v>44006</v>
      </c>
      <c r="I150" s="62"/>
      <c r="J150" s="63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5"/>
      <c r="AS150" s="63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4"/>
      <c r="BR150" s="64"/>
      <c r="BS150" s="64"/>
      <c r="BT150" s="64"/>
      <c r="BU150" s="64"/>
      <c r="BV150" s="64"/>
      <c r="BW150" s="64"/>
      <c r="BX150" s="64"/>
      <c r="BY150" s="64"/>
      <c r="BZ150" s="64"/>
      <c r="CA150" s="65"/>
      <c r="CB150" s="60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4"/>
      <c r="CV150" s="64"/>
      <c r="CW150" s="64"/>
      <c r="CX150" s="64"/>
      <c r="CY150" s="64"/>
      <c r="CZ150" s="64"/>
      <c r="DA150" s="64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</row>
    <row r="151" spans="2:130" x14ac:dyDescent="0.15">
      <c r="B151" s="58">
        <f>IF(G151&lt;&gt;"",SUBTOTAL(3,$G$5:G151),"")</f>
        <v>41</v>
      </c>
      <c r="C151" s="58"/>
      <c r="D151" s="58"/>
      <c r="E151" s="105" t="s">
        <v>139</v>
      </c>
      <c r="F151" s="105" t="s">
        <v>135</v>
      </c>
      <c r="G151" s="106" t="s">
        <v>166</v>
      </c>
      <c r="H151" s="103">
        <v>44003</v>
      </c>
      <c r="I151" s="62"/>
      <c r="J151" s="63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5"/>
      <c r="AS151" s="63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4"/>
      <c r="BR151" s="64"/>
      <c r="BS151" s="64"/>
      <c r="BT151" s="64"/>
      <c r="BU151" s="64"/>
      <c r="BV151" s="64"/>
      <c r="BW151" s="64"/>
      <c r="BX151" s="64"/>
      <c r="BY151" s="64"/>
      <c r="BZ151" s="64"/>
      <c r="CA151" s="65"/>
      <c r="CB151" s="60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</row>
    <row r="152" spans="2:130" x14ac:dyDescent="0.15">
      <c r="B152" s="58">
        <f>IF(G152&lt;&gt;"",SUBTOTAL(3,$G$5:G152),"")</f>
        <v>42</v>
      </c>
      <c r="C152" s="58"/>
      <c r="D152" s="58"/>
      <c r="E152" s="105" t="s">
        <v>139</v>
      </c>
      <c r="F152" s="105" t="s">
        <v>135</v>
      </c>
      <c r="G152" s="106" t="s">
        <v>167</v>
      </c>
      <c r="H152" s="103">
        <v>44000</v>
      </c>
      <c r="I152" s="62"/>
      <c r="J152" s="63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5"/>
      <c r="AS152" s="63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4"/>
      <c r="BR152" s="64"/>
      <c r="BS152" s="64"/>
      <c r="BT152" s="64"/>
      <c r="BU152" s="64"/>
      <c r="BV152" s="64"/>
      <c r="BW152" s="64"/>
      <c r="BX152" s="64"/>
      <c r="BY152" s="64"/>
      <c r="BZ152" s="64"/>
      <c r="CA152" s="65"/>
      <c r="CB152" s="60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</row>
    <row r="153" spans="2:130" x14ac:dyDescent="0.15">
      <c r="B153" s="58">
        <f>IF(G153&lt;&gt;"",SUBTOTAL(3,$G$5:G153),"")</f>
        <v>43</v>
      </c>
      <c r="C153" s="58"/>
      <c r="D153" s="58"/>
      <c r="E153" s="105" t="s">
        <v>139</v>
      </c>
      <c r="F153" s="105" t="s">
        <v>135</v>
      </c>
      <c r="G153" s="106" t="s">
        <v>168</v>
      </c>
      <c r="H153" s="103">
        <v>43996</v>
      </c>
      <c r="I153" s="62"/>
      <c r="J153" s="63"/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5"/>
      <c r="AS153" s="63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4"/>
      <c r="BR153" s="64"/>
      <c r="BS153" s="64"/>
      <c r="BT153" s="64"/>
      <c r="BU153" s="64"/>
      <c r="BV153" s="64"/>
      <c r="BW153" s="64"/>
      <c r="BX153" s="64"/>
      <c r="BY153" s="64"/>
      <c r="BZ153" s="64"/>
      <c r="CA153" s="65"/>
      <c r="CB153" s="60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</row>
    <row r="154" spans="2:130" x14ac:dyDescent="0.15">
      <c r="B154" s="58">
        <f>IF(G154&lt;&gt;"",SUBTOTAL(3,$G$5:G154),"")</f>
        <v>44</v>
      </c>
      <c r="C154" s="58"/>
      <c r="D154" s="58"/>
      <c r="E154" s="105" t="s">
        <v>139</v>
      </c>
      <c r="F154" s="105" t="s">
        <v>135</v>
      </c>
      <c r="G154" s="106" t="s">
        <v>169</v>
      </c>
      <c r="H154" s="103">
        <v>43996</v>
      </c>
      <c r="I154" s="62"/>
      <c r="J154" s="63"/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5"/>
      <c r="AS154" s="63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5"/>
      <c r="CB154" s="60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4"/>
      <c r="CV154" s="64"/>
      <c r="CW154" s="64"/>
      <c r="CX154" s="64"/>
      <c r="CY154" s="64"/>
      <c r="CZ154" s="64"/>
      <c r="DA154" s="64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</row>
    <row r="155" spans="2:130" x14ac:dyDescent="0.15">
      <c r="B155" s="58">
        <f>IF(G155&lt;&gt;"",SUBTOTAL(3,$G$5:G155),"")</f>
        <v>45</v>
      </c>
      <c r="C155" s="58"/>
      <c r="D155" s="58"/>
      <c r="E155" s="105" t="s">
        <v>139</v>
      </c>
      <c r="F155" s="105" t="s">
        <v>135</v>
      </c>
      <c r="G155" s="106" t="s">
        <v>170</v>
      </c>
      <c r="H155" s="103">
        <v>43996</v>
      </c>
      <c r="I155" s="62"/>
      <c r="J155" s="63"/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5"/>
      <c r="AS155" s="63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5"/>
      <c r="CB155" s="60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4"/>
      <c r="CV155" s="64"/>
      <c r="CW155" s="64"/>
      <c r="CX155" s="64"/>
      <c r="CY155" s="64"/>
      <c r="CZ155" s="64"/>
      <c r="DA155" s="64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</row>
    <row r="156" spans="2:130" x14ac:dyDescent="0.15">
      <c r="B156" s="58">
        <f>IF(G156&lt;&gt;"",SUBTOTAL(3,$G$5:G156),"")</f>
        <v>46</v>
      </c>
      <c r="C156" s="58"/>
      <c r="D156" s="58"/>
      <c r="E156" s="105" t="s">
        <v>139</v>
      </c>
      <c r="F156" s="105" t="s">
        <v>135</v>
      </c>
      <c r="G156" s="106" t="s">
        <v>171</v>
      </c>
      <c r="H156" s="103">
        <v>43995</v>
      </c>
      <c r="I156" s="62"/>
      <c r="J156" s="63"/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5"/>
      <c r="AS156" s="63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5"/>
      <c r="CB156" s="60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4"/>
      <c r="CV156" s="64"/>
      <c r="CW156" s="64"/>
      <c r="CX156" s="64"/>
      <c r="CY156" s="64"/>
      <c r="CZ156" s="64"/>
      <c r="DA156" s="64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</row>
    <row r="157" spans="2:130" x14ac:dyDescent="0.15">
      <c r="B157" s="58">
        <f>IF(G157&lt;&gt;"",SUBTOTAL(3,$G$5:G157),"")</f>
        <v>47</v>
      </c>
      <c r="C157" s="58"/>
      <c r="D157" s="58"/>
      <c r="E157" s="59" t="s">
        <v>139</v>
      </c>
      <c r="F157" s="59" t="s">
        <v>135</v>
      </c>
      <c r="G157" s="60" t="s">
        <v>172</v>
      </c>
      <c r="H157" s="61">
        <v>43995</v>
      </c>
      <c r="I157" s="62">
        <v>1</v>
      </c>
      <c r="J157" s="63" t="s">
        <v>434</v>
      </c>
      <c r="K157" s="64"/>
      <c r="L157" s="64"/>
      <c r="M157" s="64"/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4"/>
      <c r="Y157" s="64"/>
      <c r="Z157" s="64"/>
      <c r="AA157" s="64"/>
      <c r="AB157" s="64"/>
      <c r="AC157" s="64"/>
      <c r="AD157" s="64"/>
      <c r="AE157" s="64"/>
      <c r="AF157" s="64"/>
      <c r="AG157" s="64"/>
      <c r="AH157" s="64"/>
      <c r="AI157" s="64"/>
      <c r="AJ157" s="64"/>
      <c r="AK157" s="64"/>
      <c r="AL157" s="64"/>
      <c r="AM157" s="64"/>
      <c r="AN157" s="64"/>
      <c r="AO157" s="64"/>
      <c r="AP157" s="64"/>
      <c r="AQ157" s="64"/>
      <c r="AR157" s="65"/>
      <c r="AS157" s="63"/>
      <c r="AT157" s="64"/>
      <c r="AU157" s="64"/>
      <c r="AV157" s="64"/>
      <c r="AW157" s="64"/>
      <c r="AX157" s="64"/>
      <c r="AY157" s="64"/>
      <c r="AZ157" s="64"/>
      <c r="BA157" s="64"/>
      <c r="BB157" s="64"/>
      <c r="BC157" s="64"/>
      <c r="BD157" s="64"/>
      <c r="BE157" s="64"/>
      <c r="BF157" s="64"/>
      <c r="BG157" s="64"/>
      <c r="BH157" s="64"/>
      <c r="BI157" s="64"/>
      <c r="BJ157" s="64"/>
      <c r="BK157" s="64"/>
      <c r="BL157" s="64"/>
      <c r="BM157" s="64"/>
      <c r="BN157" s="64"/>
      <c r="BO157" s="64"/>
      <c r="BP157" s="64"/>
      <c r="BQ157" s="64"/>
      <c r="BR157" s="64"/>
      <c r="BS157" s="64"/>
      <c r="BT157" s="64"/>
      <c r="BU157" s="64"/>
      <c r="BV157" s="64"/>
      <c r="BW157" s="64"/>
      <c r="BX157" s="64"/>
      <c r="BY157" s="64"/>
      <c r="BZ157" s="64"/>
      <c r="CA157" s="65"/>
      <c r="CB157" s="60"/>
      <c r="CH157" s="64"/>
      <c r="CI157" s="64"/>
      <c r="CJ157" s="64"/>
      <c r="CK157" s="64"/>
      <c r="CL157" s="64"/>
      <c r="CM157" s="64"/>
      <c r="CN157" s="64"/>
      <c r="CO157" s="64"/>
      <c r="CP157" s="64"/>
      <c r="CQ157" s="64"/>
      <c r="CR157" s="64"/>
      <c r="CS157" s="64"/>
      <c r="CT157" s="64"/>
      <c r="CU157" s="64"/>
      <c r="CV157" s="64"/>
      <c r="CW157" s="64"/>
      <c r="CX157" s="64"/>
      <c r="CY157" s="64"/>
      <c r="CZ157" s="64"/>
      <c r="DA157" s="64"/>
      <c r="DB157" s="64"/>
      <c r="DC157" s="64"/>
      <c r="DD157" s="64"/>
      <c r="DE157" s="64"/>
      <c r="DF157" s="64"/>
      <c r="DG157" s="64"/>
      <c r="DH157" s="64"/>
      <c r="DI157" s="64"/>
      <c r="DJ157" s="64"/>
      <c r="DK157" s="64"/>
      <c r="DL157" s="64"/>
      <c r="DM157" s="64"/>
      <c r="DN157" s="64"/>
      <c r="DO157" s="64"/>
      <c r="DP157" s="64"/>
      <c r="DQ157" s="64"/>
      <c r="DR157" s="64"/>
      <c r="DS157" s="64"/>
      <c r="DT157" s="64"/>
      <c r="DU157" s="64"/>
      <c r="DV157" s="64"/>
      <c r="DW157" s="64"/>
      <c r="DX157" s="64"/>
      <c r="DY157" s="64"/>
      <c r="DZ157" s="64"/>
    </row>
    <row r="158" spans="2:130" x14ac:dyDescent="0.15">
      <c r="B158" s="99" t="str">
        <f>IF(G158&lt;&gt;"",SUBTOTAL(3,$G$5:G158),"")</f>
        <v/>
      </c>
      <c r="C158" s="58"/>
      <c r="D158" s="58"/>
      <c r="E158" s="59"/>
      <c r="F158" s="59"/>
      <c r="G158" s="60"/>
      <c r="H158" s="61"/>
      <c r="I158" s="70">
        <v>1</v>
      </c>
      <c r="J158" s="63" t="s">
        <v>432</v>
      </c>
      <c r="K158" s="64"/>
      <c r="L158" s="64"/>
      <c r="M158" s="64"/>
      <c r="N158" s="64"/>
      <c r="O158" s="64"/>
      <c r="P158" s="64"/>
      <c r="Q158" s="64"/>
      <c r="R158" s="64"/>
      <c r="S158" s="64"/>
      <c r="T158" s="64"/>
      <c r="U158" s="64"/>
      <c r="V158" s="64"/>
      <c r="W158" s="64"/>
      <c r="X158" s="64"/>
      <c r="Y158" s="64"/>
      <c r="Z158" s="64"/>
      <c r="AA158" s="64"/>
      <c r="AB158" s="64"/>
      <c r="AC158" s="64"/>
      <c r="AD158" s="64"/>
      <c r="AE158" s="64"/>
      <c r="AF158" s="64"/>
      <c r="AG158" s="64"/>
      <c r="AH158" s="64"/>
      <c r="AI158" s="64"/>
      <c r="AJ158" s="64"/>
      <c r="AK158" s="64"/>
      <c r="AL158" s="64"/>
      <c r="AM158" s="64"/>
      <c r="AN158" s="64"/>
      <c r="AO158" s="64"/>
      <c r="AP158" s="64"/>
      <c r="AQ158" s="64"/>
      <c r="AR158" s="65"/>
      <c r="AS158" s="63"/>
      <c r="AT158" s="64"/>
      <c r="AU158" s="64"/>
      <c r="AV158" s="64"/>
      <c r="AW158" s="64"/>
      <c r="AX158" s="64"/>
      <c r="AY158" s="64"/>
      <c r="AZ158" s="64"/>
      <c r="BA158" s="64"/>
      <c r="BB158" s="64"/>
      <c r="BC158" s="64"/>
      <c r="BD158" s="64"/>
      <c r="BE158" s="64"/>
      <c r="BF158" s="64"/>
      <c r="BG158" s="64"/>
      <c r="BH158" s="64"/>
      <c r="BI158" s="64"/>
      <c r="BJ158" s="64"/>
      <c r="BK158" s="64"/>
      <c r="BL158" s="64"/>
      <c r="BM158" s="64"/>
      <c r="BN158" s="64"/>
      <c r="BO158" s="64"/>
      <c r="BP158" s="64"/>
      <c r="BQ158" s="64"/>
      <c r="BR158" s="64"/>
      <c r="BS158" s="64"/>
      <c r="BT158" s="64"/>
      <c r="BU158" s="64"/>
      <c r="BV158" s="64"/>
      <c r="BW158" s="64"/>
      <c r="BX158" s="64"/>
      <c r="BY158" s="64"/>
      <c r="BZ158" s="64"/>
      <c r="CA158" s="65"/>
      <c r="CB158" s="60"/>
      <c r="CH158" s="64"/>
      <c r="CI158" s="64"/>
      <c r="CJ158" s="64"/>
      <c r="CK158" s="64"/>
      <c r="CL158" s="64"/>
      <c r="CM158" s="64"/>
      <c r="CN158" s="64"/>
      <c r="CO158" s="64"/>
      <c r="CP158" s="64"/>
      <c r="CQ158" s="64"/>
      <c r="CR158" s="64"/>
      <c r="CS158" s="64"/>
      <c r="CT158" s="64"/>
      <c r="CU158" s="64"/>
      <c r="CV158" s="64"/>
      <c r="CW158" s="64"/>
      <c r="CX158" s="64"/>
      <c r="CY158" s="64"/>
      <c r="CZ158" s="64"/>
      <c r="DA158" s="64"/>
      <c r="DB158" s="64"/>
      <c r="DC158" s="64"/>
      <c r="DD158" s="64"/>
      <c r="DE158" s="64"/>
      <c r="DF158" s="64"/>
      <c r="DG158" s="64"/>
      <c r="DH158" s="64"/>
      <c r="DI158" s="64"/>
      <c r="DJ158" s="64"/>
      <c r="DK158" s="64"/>
      <c r="DL158" s="64"/>
      <c r="DM158" s="64"/>
      <c r="DN158" s="64"/>
      <c r="DO158" s="64"/>
      <c r="DP158" s="64"/>
      <c r="DQ158" s="64"/>
      <c r="DR158" s="64"/>
      <c r="DS158" s="64"/>
      <c r="DT158" s="64"/>
      <c r="DU158" s="64"/>
      <c r="DV158" s="64"/>
      <c r="DW158" s="64"/>
      <c r="DX158" s="64"/>
      <c r="DY158" s="64"/>
      <c r="DZ158" s="64"/>
    </row>
    <row r="159" spans="2:130" x14ac:dyDescent="0.15">
      <c r="B159" s="99" t="str">
        <f>IF(G159&lt;&gt;"",SUBTOTAL(3,$G$5:G159),"")</f>
        <v/>
      </c>
      <c r="C159" s="58"/>
      <c r="D159" s="58"/>
      <c r="E159" s="59"/>
      <c r="F159" s="59"/>
      <c r="G159" s="60"/>
      <c r="H159" s="61"/>
      <c r="I159" s="70">
        <v>1</v>
      </c>
      <c r="J159" s="63" t="s">
        <v>433</v>
      </c>
      <c r="K159" s="64"/>
      <c r="L159" s="64"/>
      <c r="M159" s="64"/>
      <c r="N159" s="64"/>
      <c r="O159" s="64"/>
      <c r="P159" s="64"/>
      <c r="Q159" s="64"/>
      <c r="R159" s="64"/>
      <c r="S159" s="64"/>
      <c r="T159" s="64"/>
      <c r="U159" s="64"/>
      <c r="V159" s="64"/>
      <c r="W159" s="64"/>
      <c r="X159" s="64"/>
      <c r="Y159" s="64"/>
      <c r="Z159" s="64"/>
      <c r="AA159" s="64"/>
      <c r="AB159" s="64"/>
      <c r="AC159" s="64"/>
      <c r="AD159" s="64"/>
      <c r="AE159" s="64"/>
      <c r="AF159" s="64"/>
      <c r="AG159" s="64"/>
      <c r="AH159" s="64"/>
      <c r="AI159" s="64"/>
      <c r="AJ159" s="64"/>
      <c r="AK159" s="64"/>
      <c r="AL159" s="64"/>
      <c r="AM159" s="64"/>
      <c r="AN159" s="64"/>
      <c r="AO159" s="64"/>
      <c r="AP159" s="64"/>
      <c r="AQ159" s="64"/>
      <c r="AR159" s="65"/>
      <c r="AS159" s="63"/>
      <c r="AT159" s="64"/>
      <c r="AU159" s="64"/>
      <c r="AV159" s="64"/>
      <c r="AW159" s="64"/>
      <c r="AX159" s="64"/>
      <c r="AY159" s="64"/>
      <c r="AZ159" s="64"/>
      <c r="BA159" s="64"/>
      <c r="BB159" s="64"/>
      <c r="BC159" s="64"/>
      <c r="BD159" s="64"/>
      <c r="BE159" s="64"/>
      <c r="BF159" s="64"/>
      <c r="BG159" s="64"/>
      <c r="BH159" s="64"/>
      <c r="BI159" s="64"/>
      <c r="BJ159" s="64"/>
      <c r="BK159" s="64"/>
      <c r="BL159" s="64"/>
      <c r="BM159" s="64"/>
      <c r="BN159" s="64"/>
      <c r="BO159" s="64"/>
      <c r="BP159" s="64"/>
      <c r="BQ159" s="64"/>
      <c r="BR159" s="64"/>
      <c r="BS159" s="64"/>
      <c r="BT159" s="64"/>
      <c r="BU159" s="64"/>
      <c r="BV159" s="64"/>
      <c r="BW159" s="64"/>
      <c r="BX159" s="64"/>
      <c r="BY159" s="64"/>
      <c r="BZ159" s="64"/>
      <c r="CA159" s="65"/>
      <c r="CB159" s="60"/>
      <c r="CH159" s="64"/>
      <c r="CI159" s="64"/>
      <c r="CJ159" s="64"/>
      <c r="CK159" s="64"/>
      <c r="CL159" s="64"/>
      <c r="CM159" s="64"/>
      <c r="CN159" s="64"/>
      <c r="CO159" s="64"/>
      <c r="CP159" s="64"/>
      <c r="CQ159" s="64"/>
      <c r="CR159" s="64"/>
      <c r="CS159" s="64"/>
      <c r="CT159" s="64"/>
      <c r="CU159" s="64"/>
      <c r="CV159" s="64"/>
      <c r="CW159" s="64"/>
      <c r="CX159" s="64"/>
      <c r="CY159" s="64"/>
      <c r="CZ159" s="64"/>
      <c r="DA159" s="64"/>
      <c r="DB159" s="64"/>
      <c r="DC159" s="64"/>
      <c r="DD159" s="64"/>
      <c r="DE159" s="64"/>
      <c r="DF159" s="64"/>
      <c r="DG159" s="64"/>
      <c r="DH159" s="64"/>
      <c r="DI159" s="64"/>
      <c r="DJ159" s="64"/>
      <c r="DK159" s="64"/>
      <c r="DL159" s="64"/>
      <c r="DM159" s="64"/>
      <c r="DN159" s="64"/>
      <c r="DO159" s="64"/>
      <c r="DP159" s="64"/>
      <c r="DQ159" s="64"/>
      <c r="DR159" s="64"/>
      <c r="DS159" s="64"/>
      <c r="DT159" s="64"/>
      <c r="DU159" s="64"/>
      <c r="DV159" s="64"/>
      <c r="DW159" s="64"/>
      <c r="DX159" s="64"/>
      <c r="DY159" s="64"/>
      <c r="DZ159" s="64"/>
    </row>
    <row r="160" spans="2:130" x14ac:dyDescent="0.15">
      <c r="B160" s="99" t="str">
        <f>IF(G160&lt;&gt;"",SUBTOTAL(3,$G$5:G160),"")</f>
        <v/>
      </c>
      <c r="C160" s="58"/>
      <c r="D160" s="58"/>
      <c r="E160" s="59"/>
      <c r="F160" s="59"/>
      <c r="G160" s="60"/>
      <c r="H160" s="61"/>
      <c r="I160" s="70">
        <v>1</v>
      </c>
      <c r="J160" s="63"/>
      <c r="K160" s="64"/>
      <c r="L160" s="64"/>
      <c r="M160" s="64"/>
      <c r="N160" s="64"/>
      <c r="O160" s="64"/>
      <c r="P160" s="64"/>
      <c r="Q160" s="64"/>
      <c r="R160" s="64"/>
      <c r="S160" s="64"/>
      <c r="T160" s="64"/>
      <c r="U160" s="64"/>
      <c r="V160" s="64"/>
      <c r="W160" s="64"/>
      <c r="X160" s="64"/>
      <c r="Y160" s="64"/>
      <c r="Z160" s="64"/>
      <c r="AA160" s="64"/>
      <c r="AB160" s="64"/>
      <c r="AC160" s="64"/>
      <c r="AD160" s="64"/>
      <c r="AE160" s="64"/>
      <c r="AF160" s="64"/>
      <c r="AG160" s="64"/>
      <c r="AH160" s="64"/>
      <c r="AI160" s="64"/>
      <c r="AJ160" s="64"/>
      <c r="AK160" s="64"/>
      <c r="AL160" s="64"/>
      <c r="AM160" s="64"/>
      <c r="AN160" s="64"/>
      <c r="AO160" s="64"/>
      <c r="AP160" s="64"/>
      <c r="AQ160" s="64"/>
      <c r="AR160" s="65"/>
      <c r="AS160" s="63"/>
      <c r="AT160" s="64"/>
      <c r="AU160" s="64"/>
      <c r="AV160" s="64"/>
      <c r="AW160" s="64"/>
      <c r="AX160" s="64"/>
      <c r="AY160" s="64"/>
      <c r="AZ160" s="64"/>
      <c r="BA160" s="64"/>
      <c r="BB160" s="64"/>
      <c r="BC160" s="64"/>
      <c r="BD160" s="64"/>
      <c r="BE160" s="64"/>
      <c r="BF160" s="64"/>
      <c r="BG160" s="64"/>
      <c r="BH160" s="64"/>
      <c r="BI160" s="64"/>
      <c r="BJ160" s="64"/>
      <c r="BK160" s="64"/>
      <c r="BL160" s="64"/>
      <c r="BM160" s="64"/>
      <c r="BN160" s="64"/>
      <c r="BO160" s="64"/>
      <c r="BP160" s="64"/>
      <c r="BQ160" s="64"/>
      <c r="BR160" s="64"/>
      <c r="BS160" s="64"/>
      <c r="BT160" s="64"/>
      <c r="BU160" s="64"/>
      <c r="BV160" s="64"/>
      <c r="BW160" s="64"/>
      <c r="BX160" s="64"/>
      <c r="BY160" s="64"/>
      <c r="BZ160" s="64"/>
      <c r="CA160" s="65"/>
      <c r="CB160" s="60"/>
      <c r="CH160" s="64"/>
      <c r="CI160" s="64"/>
      <c r="CJ160" s="64"/>
      <c r="CK160" s="64"/>
      <c r="CL160" s="64"/>
      <c r="CM160" s="64"/>
      <c r="CN160" s="64"/>
      <c r="CO160" s="64"/>
      <c r="CP160" s="64"/>
      <c r="CQ160" s="64"/>
      <c r="CR160" s="64"/>
      <c r="CS160" s="64"/>
      <c r="CT160" s="64"/>
      <c r="CU160" s="64"/>
      <c r="CV160" s="64"/>
      <c r="CW160" s="64"/>
      <c r="CX160" s="64"/>
      <c r="CY160" s="64"/>
      <c r="CZ160" s="64"/>
      <c r="DA160" s="64"/>
      <c r="DB160" s="64"/>
      <c r="DC160" s="64"/>
      <c r="DD160" s="64"/>
      <c r="DE160" s="64"/>
      <c r="DF160" s="64"/>
      <c r="DG160" s="64"/>
      <c r="DH160" s="64"/>
      <c r="DI160" s="64"/>
      <c r="DJ160" s="64"/>
      <c r="DK160" s="64"/>
      <c r="DL160" s="64"/>
      <c r="DM160" s="64"/>
      <c r="DN160" s="64"/>
      <c r="DO160" s="64"/>
      <c r="DP160" s="64"/>
      <c r="DQ160" s="64"/>
      <c r="DR160" s="64"/>
      <c r="DS160" s="64"/>
      <c r="DT160" s="64"/>
      <c r="DU160" s="64"/>
      <c r="DV160" s="64"/>
      <c r="DW160" s="64"/>
      <c r="DX160" s="64"/>
      <c r="DY160" s="64"/>
      <c r="DZ160" s="64"/>
    </row>
    <row r="161" spans="2:130" x14ac:dyDescent="0.15">
      <c r="B161" s="58">
        <f>IF(G161&lt;&gt;"",SUBTOTAL(3,$G$5:G161),"")</f>
        <v>48</v>
      </c>
      <c r="C161" s="58"/>
      <c r="D161" s="58"/>
      <c r="E161" s="59" t="s">
        <v>139</v>
      </c>
      <c r="F161" s="59" t="s">
        <v>135</v>
      </c>
      <c r="G161" s="74" t="s">
        <v>173</v>
      </c>
      <c r="H161" s="61">
        <v>43982</v>
      </c>
      <c r="I161" s="62">
        <v>1</v>
      </c>
      <c r="J161" s="63" t="s">
        <v>452</v>
      </c>
      <c r="K161" s="64"/>
      <c r="L161" s="64"/>
      <c r="M161" s="64"/>
      <c r="N161" s="64"/>
      <c r="O161" s="64"/>
      <c r="P161" s="64"/>
      <c r="Q161" s="64"/>
      <c r="R161" s="64"/>
      <c r="S161" s="64"/>
      <c r="T161" s="64"/>
      <c r="U161" s="64"/>
      <c r="V161" s="64"/>
      <c r="W161" s="64"/>
      <c r="X161" s="64"/>
      <c r="Y161" s="64"/>
      <c r="Z161" s="64"/>
      <c r="AA161" s="64"/>
      <c r="AB161" s="64"/>
      <c r="AC161" s="64"/>
      <c r="AD161" s="64"/>
      <c r="AE161" s="64"/>
      <c r="AF161" s="64"/>
      <c r="AG161" s="64"/>
      <c r="AH161" s="64"/>
      <c r="AI161" s="64"/>
      <c r="AJ161" s="64"/>
      <c r="AK161" s="64"/>
      <c r="AL161" s="64"/>
      <c r="AM161" s="64"/>
      <c r="AN161" s="64"/>
      <c r="AO161" s="64"/>
      <c r="AP161" s="64"/>
      <c r="AQ161" s="64"/>
      <c r="AR161" s="65"/>
      <c r="AS161" s="63"/>
      <c r="AT161" s="64"/>
      <c r="AU161" s="64"/>
      <c r="AV161" s="64"/>
      <c r="AW161" s="64"/>
      <c r="AX161" s="64"/>
      <c r="AY161" s="64"/>
      <c r="AZ161" s="64"/>
      <c r="BA161" s="64"/>
      <c r="BB161" s="64"/>
      <c r="BC161" s="64"/>
      <c r="BD161" s="64"/>
      <c r="BE161" s="64"/>
      <c r="BF161" s="64"/>
      <c r="BG161" s="64"/>
      <c r="BH161" s="64"/>
      <c r="BI161" s="64"/>
      <c r="BJ161" s="64"/>
      <c r="BK161" s="64"/>
      <c r="BL161" s="64"/>
      <c r="BM161" s="64"/>
      <c r="BN161" s="64"/>
      <c r="BO161" s="64"/>
      <c r="BP161" s="64"/>
      <c r="BQ161" s="64"/>
      <c r="BR161" s="64"/>
      <c r="BS161" s="64"/>
      <c r="BT161" s="64"/>
      <c r="BU161" s="64"/>
      <c r="BV161" s="64"/>
      <c r="BW161" s="64"/>
      <c r="BX161" s="64"/>
      <c r="BY161" s="64"/>
      <c r="BZ161" s="64"/>
      <c r="CA161" s="65"/>
      <c r="CB161" s="60"/>
      <c r="CH161" s="64"/>
      <c r="CI161" s="64"/>
      <c r="CJ161" s="64"/>
      <c r="CK161" s="64"/>
      <c r="CL161" s="64"/>
      <c r="CM161" s="64"/>
      <c r="CN161" s="64"/>
      <c r="CO161" s="64"/>
      <c r="CP161" s="64"/>
      <c r="CQ161" s="64"/>
      <c r="CR161" s="64"/>
      <c r="CS161" s="64"/>
      <c r="CT161" s="64"/>
      <c r="CU161" s="64"/>
      <c r="CV161" s="64"/>
      <c r="CW161" s="64"/>
      <c r="CX161" s="64"/>
      <c r="CY161" s="64"/>
      <c r="CZ161" s="64"/>
      <c r="DA161" s="64"/>
      <c r="DB161" s="64"/>
      <c r="DC161" s="64"/>
      <c r="DD161" s="64"/>
      <c r="DE161" s="64"/>
      <c r="DF161" s="64"/>
      <c r="DG161" s="64"/>
      <c r="DH161" s="64"/>
      <c r="DI161" s="64"/>
      <c r="DJ161" s="64"/>
      <c r="DK161" s="64"/>
      <c r="DL161" s="64"/>
      <c r="DM161" s="64"/>
      <c r="DN161" s="64"/>
      <c r="DO161" s="64"/>
      <c r="DP161" s="64"/>
      <c r="DQ161" s="64"/>
      <c r="DR161" s="64"/>
      <c r="DS161" s="64"/>
      <c r="DT161" s="64"/>
      <c r="DU161" s="64"/>
      <c r="DV161" s="64"/>
      <c r="DW161" s="64"/>
      <c r="DX161" s="64"/>
      <c r="DY161" s="64"/>
      <c r="DZ161" s="64"/>
    </row>
    <row r="162" spans="2:130" x14ac:dyDescent="0.15">
      <c r="B162" s="99" t="str">
        <f>IF(G162&lt;&gt;"",SUBTOTAL(3,$G$5:G162),"")</f>
        <v/>
      </c>
      <c r="C162" s="58"/>
      <c r="D162" s="58"/>
      <c r="E162" s="59"/>
      <c r="F162" s="59"/>
      <c r="G162" s="74"/>
      <c r="H162" s="61"/>
      <c r="I162" s="70">
        <v>1</v>
      </c>
      <c r="J162" s="63" t="s">
        <v>453</v>
      </c>
      <c r="K162" s="64"/>
      <c r="L162" s="64"/>
      <c r="M162" s="64"/>
      <c r="N162" s="64"/>
      <c r="O162" s="64"/>
      <c r="P162" s="64"/>
      <c r="Q162" s="64"/>
      <c r="R162" s="64"/>
      <c r="S162" s="64"/>
      <c r="T162" s="64"/>
      <c r="U162" s="64"/>
      <c r="V162" s="64"/>
      <c r="W162" s="64"/>
      <c r="X162" s="64"/>
      <c r="Y162" s="64"/>
      <c r="Z162" s="64"/>
      <c r="AA162" s="64"/>
      <c r="AB162" s="64"/>
      <c r="AC162" s="64"/>
      <c r="AD162" s="64"/>
      <c r="AE162" s="64"/>
      <c r="AF162" s="64"/>
      <c r="AG162" s="64"/>
      <c r="AH162" s="64"/>
      <c r="AI162" s="64"/>
      <c r="AJ162" s="64"/>
      <c r="AK162" s="64"/>
      <c r="AL162" s="64"/>
      <c r="AM162" s="64"/>
      <c r="AN162" s="64"/>
      <c r="AO162" s="64"/>
      <c r="AP162" s="64"/>
      <c r="AQ162" s="64"/>
      <c r="AR162" s="65"/>
      <c r="AS162" s="63"/>
      <c r="AT162" s="64"/>
      <c r="AU162" s="64"/>
      <c r="AV162" s="64"/>
      <c r="AW162" s="64"/>
      <c r="AX162" s="64"/>
      <c r="AY162" s="64"/>
      <c r="AZ162" s="64"/>
      <c r="BA162" s="64"/>
      <c r="BB162" s="64"/>
      <c r="BC162" s="64"/>
      <c r="BD162" s="64"/>
      <c r="BE162" s="64"/>
      <c r="BF162" s="64"/>
      <c r="BG162" s="64"/>
      <c r="BH162" s="64"/>
      <c r="BI162" s="64"/>
      <c r="BJ162" s="64"/>
      <c r="BK162" s="64"/>
      <c r="BL162" s="64"/>
      <c r="BM162" s="64"/>
      <c r="BN162" s="64"/>
      <c r="BO162" s="64"/>
      <c r="BP162" s="64"/>
      <c r="BQ162" s="64"/>
      <c r="BR162" s="64"/>
      <c r="BS162" s="64"/>
      <c r="BT162" s="64"/>
      <c r="BU162" s="64"/>
      <c r="BV162" s="64"/>
      <c r="BW162" s="64"/>
      <c r="BX162" s="64"/>
      <c r="BY162" s="64"/>
      <c r="BZ162" s="64"/>
      <c r="CA162" s="65"/>
      <c r="CB162" s="60"/>
      <c r="CH162" s="64"/>
      <c r="CI162" s="64"/>
      <c r="CJ162" s="64"/>
      <c r="CK162" s="64"/>
      <c r="CL162" s="64"/>
      <c r="CM162" s="64"/>
      <c r="CN162" s="64"/>
      <c r="CO162" s="64"/>
      <c r="CP162" s="64"/>
      <c r="CQ162" s="64"/>
      <c r="CR162" s="64"/>
      <c r="CS162" s="64"/>
      <c r="CT162" s="64"/>
      <c r="CU162" s="64"/>
      <c r="CV162" s="64"/>
      <c r="CW162" s="64"/>
      <c r="CX162" s="64"/>
      <c r="CY162" s="64"/>
      <c r="CZ162" s="64"/>
      <c r="DA162" s="64"/>
      <c r="DB162" s="64"/>
      <c r="DC162" s="64"/>
      <c r="DD162" s="64"/>
      <c r="DE162" s="64"/>
      <c r="DF162" s="64"/>
      <c r="DG162" s="64"/>
      <c r="DH162" s="64"/>
      <c r="DI162" s="64"/>
      <c r="DJ162" s="64"/>
      <c r="DK162" s="64"/>
      <c r="DL162" s="64"/>
      <c r="DM162" s="64"/>
      <c r="DN162" s="64"/>
      <c r="DO162" s="64"/>
      <c r="DP162" s="64"/>
      <c r="DQ162" s="64"/>
      <c r="DR162" s="64"/>
      <c r="DS162" s="64"/>
      <c r="DT162" s="64"/>
      <c r="DU162" s="64"/>
      <c r="DV162" s="64"/>
      <c r="DW162" s="64"/>
      <c r="DX162" s="64"/>
      <c r="DY162" s="64"/>
      <c r="DZ162" s="64"/>
    </row>
    <row r="163" spans="2:130" x14ac:dyDescent="0.15">
      <c r="B163" s="99" t="str">
        <f>IF(G163&lt;&gt;"",SUBTOTAL(3,$G$5:G163),"")</f>
        <v/>
      </c>
      <c r="C163" s="58"/>
      <c r="D163" s="58"/>
      <c r="E163" s="59"/>
      <c r="F163" s="59"/>
      <c r="G163" s="74"/>
      <c r="H163" s="61"/>
      <c r="I163" s="70">
        <v>1</v>
      </c>
      <c r="J163" s="63" t="s">
        <v>454</v>
      </c>
      <c r="K163" s="64"/>
      <c r="L163" s="64"/>
      <c r="M163" s="64"/>
      <c r="N163" s="64"/>
      <c r="O163" s="64"/>
      <c r="P163" s="64"/>
      <c r="Q163" s="64"/>
      <c r="R163" s="64"/>
      <c r="S163" s="64"/>
      <c r="T163" s="64"/>
      <c r="U163" s="64"/>
      <c r="V163" s="64"/>
      <c r="W163" s="64"/>
      <c r="X163" s="64"/>
      <c r="Y163" s="64"/>
      <c r="Z163" s="64"/>
      <c r="AA163" s="64"/>
      <c r="AB163" s="64"/>
      <c r="AC163" s="64"/>
      <c r="AD163" s="64"/>
      <c r="AE163" s="64"/>
      <c r="AF163" s="64"/>
      <c r="AG163" s="64"/>
      <c r="AH163" s="64"/>
      <c r="AI163" s="64"/>
      <c r="AJ163" s="64"/>
      <c r="AK163" s="64"/>
      <c r="AL163" s="64"/>
      <c r="AM163" s="64"/>
      <c r="AN163" s="64"/>
      <c r="AO163" s="64"/>
      <c r="AP163" s="64"/>
      <c r="AQ163" s="64"/>
      <c r="AR163" s="65"/>
      <c r="AS163" s="63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65"/>
      <c r="CB163" s="60"/>
      <c r="CH163" s="64"/>
      <c r="CI163" s="64"/>
      <c r="CJ163" s="64"/>
      <c r="CK163" s="64"/>
      <c r="CL163" s="64"/>
      <c r="CM163" s="64"/>
      <c r="CN163" s="64"/>
      <c r="CO163" s="64"/>
      <c r="CP163" s="64"/>
      <c r="CQ163" s="64"/>
      <c r="CR163" s="64"/>
      <c r="CS163" s="64"/>
      <c r="CT163" s="64"/>
      <c r="CU163" s="64"/>
      <c r="CV163" s="64"/>
      <c r="CW163" s="64"/>
      <c r="CX163" s="64"/>
      <c r="CY163" s="64"/>
      <c r="CZ163" s="64"/>
      <c r="DA163" s="64"/>
      <c r="DB163" s="64"/>
      <c r="DC163" s="64"/>
      <c r="DD163" s="64"/>
      <c r="DE163" s="64"/>
      <c r="DF163" s="64"/>
      <c r="DG163" s="64"/>
      <c r="DH163" s="64"/>
      <c r="DI163" s="64"/>
      <c r="DJ163" s="64"/>
      <c r="DK163" s="64"/>
      <c r="DL163" s="64"/>
      <c r="DM163" s="64"/>
      <c r="DN163" s="64"/>
      <c r="DO163" s="64"/>
      <c r="DP163" s="64"/>
      <c r="DQ163" s="64"/>
      <c r="DR163" s="64"/>
      <c r="DS163" s="64"/>
      <c r="DT163" s="64"/>
      <c r="DU163" s="64"/>
      <c r="DV163" s="64"/>
      <c r="DW163" s="64"/>
      <c r="DX163" s="64"/>
      <c r="DY163" s="64"/>
      <c r="DZ163" s="64"/>
    </row>
    <row r="164" spans="2:130" x14ac:dyDescent="0.15">
      <c r="B164" s="99" t="str">
        <f>IF(G164&lt;&gt;"",SUBTOTAL(3,$G$5:G164),"")</f>
        <v/>
      </c>
      <c r="C164" s="58"/>
      <c r="D164" s="58"/>
      <c r="E164" s="59"/>
      <c r="F164" s="59"/>
      <c r="G164" s="74"/>
      <c r="H164" s="61"/>
      <c r="I164" s="70">
        <v>1</v>
      </c>
      <c r="J164" s="63" t="s">
        <v>455</v>
      </c>
      <c r="K164" s="64"/>
      <c r="L164" s="64"/>
      <c r="M164" s="64"/>
      <c r="N164" s="64"/>
      <c r="O164" s="64"/>
      <c r="P164" s="64"/>
      <c r="Q164" s="64"/>
      <c r="R164" s="64"/>
      <c r="S164" s="64"/>
      <c r="T164" s="64"/>
      <c r="U164" s="64"/>
      <c r="V164" s="64"/>
      <c r="W164" s="64"/>
      <c r="X164" s="64"/>
      <c r="Y164" s="64"/>
      <c r="Z164" s="64"/>
      <c r="AA164" s="64"/>
      <c r="AB164" s="64"/>
      <c r="AC164" s="64"/>
      <c r="AD164" s="64"/>
      <c r="AE164" s="64"/>
      <c r="AF164" s="64"/>
      <c r="AG164" s="64"/>
      <c r="AH164" s="64"/>
      <c r="AI164" s="64"/>
      <c r="AJ164" s="64"/>
      <c r="AK164" s="64"/>
      <c r="AL164" s="64"/>
      <c r="AM164" s="64"/>
      <c r="AN164" s="64"/>
      <c r="AO164" s="64"/>
      <c r="AP164" s="64"/>
      <c r="AQ164" s="64"/>
      <c r="AR164" s="65"/>
      <c r="AS164" s="63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  <c r="BK164" s="64"/>
      <c r="BL164" s="64"/>
      <c r="BM164" s="64"/>
      <c r="BN164" s="64"/>
      <c r="BO164" s="64"/>
      <c r="BP164" s="64"/>
      <c r="BQ164" s="64"/>
      <c r="BR164" s="64"/>
      <c r="BS164" s="64"/>
      <c r="BT164" s="64"/>
      <c r="BU164" s="64"/>
      <c r="BV164" s="64"/>
      <c r="BW164" s="64"/>
      <c r="BX164" s="64"/>
      <c r="BY164" s="64"/>
      <c r="BZ164" s="64"/>
      <c r="CA164" s="65"/>
      <c r="CB164" s="60"/>
      <c r="CH164" s="64"/>
      <c r="CI164" s="64"/>
      <c r="CJ164" s="64"/>
      <c r="CK164" s="64"/>
      <c r="CL164" s="64"/>
      <c r="CM164" s="64"/>
      <c r="CN164" s="64"/>
      <c r="CO164" s="64"/>
      <c r="CP164" s="64"/>
      <c r="CQ164" s="64"/>
      <c r="CR164" s="64"/>
      <c r="CS164" s="64"/>
      <c r="CT164" s="64"/>
      <c r="CU164" s="64"/>
      <c r="CV164" s="64"/>
      <c r="CW164" s="64"/>
      <c r="CX164" s="64"/>
      <c r="CY164" s="64"/>
      <c r="CZ164" s="64"/>
      <c r="DA164" s="64"/>
      <c r="DB164" s="64"/>
      <c r="DC164" s="64"/>
      <c r="DD164" s="64"/>
      <c r="DE164" s="64"/>
      <c r="DF164" s="64"/>
      <c r="DG164" s="64"/>
      <c r="DH164" s="64"/>
      <c r="DI164" s="64"/>
      <c r="DJ164" s="64"/>
      <c r="DK164" s="64"/>
      <c r="DL164" s="64"/>
      <c r="DM164" s="64"/>
      <c r="DN164" s="64"/>
      <c r="DO164" s="64"/>
      <c r="DP164" s="64"/>
      <c r="DQ164" s="64"/>
      <c r="DR164" s="64"/>
      <c r="DS164" s="64"/>
      <c r="DT164" s="64"/>
      <c r="DU164" s="64"/>
      <c r="DV164" s="64"/>
      <c r="DW164" s="64"/>
      <c r="DX164" s="64"/>
      <c r="DY164" s="64"/>
      <c r="DZ164" s="64"/>
    </row>
    <row r="165" spans="2:130" x14ac:dyDescent="0.15">
      <c r="B165" s="99" t="str">
        <f>IF(G165&lt;&gt;"",SUBTOTAL(3,$G$5:G165),"")</f>
        <v/>
      </c>
      <c r="C165" s="58"/>
      <c r="D165" s="58"/>
      <c r="E165" s="59"/>
      <c r="F165" s="59"/>
      <c r="G165" s="74"/>
      <c r="H165" s="61"/>
      <c r="I165" s="70">
        <v>1</v>
      </c>
      <c r="J165" s="63"/>
      <c r="K165" s="64"/>
      <c r="L165" s="64"/>
      <c r="M165" s="64"/>
      <c r="N165" s="64"/>
      <c r="O165" s="64"/>
      <c r="P165" s="64"/>
      <c r="Q165" s="64"/>
      <c r="R165" s="64"/>
      <c r="S165" s="64"/>
      <c r="T165" s="64"/>
      <c r="U165" s="64"/>
      <c r="V165" s="64"/>
      <c r="W165" s="64"/>
      <c r="X165" s="64"/>
      <c r="Y165" s="64"/>
      <c r="Z165" s="64"/>
      <c r="AA165" s="64"/>
      <c r="AB165" s="64"/>
      <c r="AC165" s="64"/>
      <c r="AD165" s="64"/>
      <c r="AE165" s="64"/>
      <c r="AF165" s="64"/>
      <c r="AG165" s="64"/>
      <c r="AH165" s="64"/>
      <c r="AI165" s="64"/>
      <c r="AJ165" s="64"/>
      <c r="AK165" s="64"/>
      <c r="AL165" s="64"/>
      <c r="AM165" s="64"/>
      <c r="AN165" s="64"/>
      <c r="AO165" s="64"/>
      <c r="AP165" s="64"/>
      <c r="AQ165" s="64"/>
      <c r="AR165" s="65"/>
      <c r="AS165" s="63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  <c r="BK165" s="64"/>
      <c r="BL165" s="64"/>
      <c r="BM165" s="64"/>
      <c r="BN165" s="64"/>
      <c r="BO165" s="64"/>
      <c r="BP165" s="64"/>
      <c r="BQ165" s="64"/>
      <c r="BR165" s="64"/>
      <c r="BS165" s="64"/>
      <c r="BT165" s="64"/>
      <c r="BU165" s="64"/>
      <c r="BV165" s="64"/>
      <c r="BW165" s="64"/>
      <c r="BX165" s="64"/>
      <c r="BY165" s="64"/>
      <c r="BZ165" s="64"/>
      <c r="CA165" s="65"/>
      <c r="CB165" s="60"/>
      <c r="CH165" s="64"/>
      <c r="CI165" s="64"/>
      <c r="CJ165" s="64"/>
      <c r="CK165" s="64"/>
      <c r="CL165" s="64"/>
      <c r="CM165" s="64"/>
      <c r="CN165" s="64"/>
      <c r="CO165" s="64"/>
      <c r="CP165" s="64"/>
      <c r="CQ165" s="64"/>
      <c r="CR165" s="64"/>
      <c r="CS165" s="64"/>
      <c r="CT165" s="64"/>
      <c r="CU165" s="64"/>
      <c r="CV165" s="64"/>
      <c r="CW165" s="64"/>
      <c r="CX165" s="64"/>
      <c r="CY165" s="64"/>
      <c r="CZ165" s="64"/>
      <c r="DA165" s="64"/>
      <c r="DB165" s="64"/>
      <c r="DC165" s="64"/>
      <c r="DD165" s="64"/>
      <c r="DE165" s="64"/>
      <c r="DF165" s="64"/>
      <c r="DG165" s="64"/>
      <c r="DH165" s="64"/>
      <c r="DI165" s="64"/>
      <c r="DJ165" s="64"/>
      <c r="DK165" s="64"/>
      <c r="DL165" s="64"/>
      <c r="DM165" s="64"/>
      <c r="DN165" s="64"/>
      <c r="DO165" s="64"/>
      <c r="DP165" s="64"/>
      <c r="DQ165" s="64"/>
      <c r="DR165" s="64"/>
      <c r="DS165" s="64"/>
      <c r="DT165" s="64"/>
      <c r="DU165" s="64"/>
      <c r="DV165" s="64"/>
      <c r="DW165" s="64"/>
      <c r="DX165" s="64"/>
      <c r="DY165" s="64"/>
      <c r="DZ165" s="64"/>
    </row>
    <row r="166" spans="2:130" s="46" customFormat="1" ht="13.5" customHeight="1" x14ac:dyDescent="0.15">
      <c r="B166" s="75">
        <f>IF(G166&lt;&gt;"",SUBTOTAL(3,$G$5:G166),"")</f>
        <v>49</v>
      </c>
      <c r="C166" s="75"/>
      <c r="D166" s="75"/>
      <c r="E166" s="76" t="s">
        <v>139</v>
      </c>
      <c r="F166" s="76" t="s">
        <v>135</v>
      </c>
      <c r="G166" s="74" t="s">
        <v>174</v>
      </c>
      <c r="H166" s="61">
        <v>43995</v>
      </c>
      <c r="I166" s="62">
        <v>1</v>
      </c>
      <c r="J166" s="77" t="s">
        <v>421</v>
      </c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78"/>
      <c r="AS166" s="77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43"/>
      <c r="BI166" s="43"/>
      <c r="BJ166" s="43"/>
      <c r="BK166" s="43"/>
      <c r="BL166" s="43"/>
      <c r="BM166" s="43"/>
      <c r="BN166" s="43"/>
      <c r="BO166" s="43"/>
      <c r="BP166" s="43"/>
      <c r="BQ166" s="43"/>
      <c r="BR166" s="43"/>
      <c r="BS166" s="43"/>
      <c r="BT166" s="43"/>
      <c r="BU166" s="43"/>
      <c r="BV166" s="43"/>
      <c r="BW166" s="43"/>
      <c r="BX166" s="43"/>
      <c r="BY166" s="43"/>
      <c r="BZ166" s="43"/>
      <c r="CA166" s="78"/>
      <c r="CB166" s="74"/>
      <c r="CC166" s="43"/>
      <c r="CD166" s="43"/>
      <c r="CE166" s="43"/>
      <c r="CF166" s="43"/>
      <c r="CG166" s="43"/>
      <c r="CH166" s="43"/>
      <c r="CI166" s="43"/>
      <c r="CJ166" s="43"/>
      <c r="CK166" s="43"/>
      <c r="CL166" s="43"/>
      <c r="CM166" s="43"/>
      <c r="CN166" s="43"/>
      <c r="CO166" s="43"/>
      <c r="CP166" s="43"/>
      <c r="CQ166" s="43"/>
      <c r="CR166" s="43"/>
      <c r="CS166" s="43"/>
      <c r="CT166" s="43"/>
      <c r="CU166" s="43"/>
      <c r="CV166" s="43"/>
      <c r="CW166" s="43"/>
      <c r="CX166" s="43"/>
      <c r="CY166" s="43"/>
      <c r="CZ166" s="43"/>
      <c r="DA166" s="43"/>
      <c r="DB166" s="43"/>
      <c r="DC166" s="43"/>
      <c r="DD166" s="43"/>
      <c r="DE166" s="43"/>
      <c r="DF166" s="43"/>
      <c r="DG166" s="43"/>
      <c r="DH166" s="43"/>
      <c r="DI166" s="43"/>
      <c r="DJ166" s="43"/>
      <c r="DK166" s="43"/>
      <c r="DL166" s="43"/>
      <c r="DM166" s="43"/>
      <c r="DN166" s="43"/>
      <c r="DO166" s="43"/>
      <c r="DP166" s="43"/>
      <c r="DQ166" s="43"/>
      <c r="DR166" s="43"/>
      <c r="DS166" s="43"/>
      <c r="DT166" s="43"/>
      <c r="DU166" s="43"/>
      <c r="DV166" s="43"/>
      <c r="DW166" s="43"/>
      <c r="DX166" s="43"/>
      <c r="DY166" s="43"/>
      <c r="DZ166" s="43"/>
    </row>
    <row r="167" spans="2:130" s="46" customFormat="1" ht="13.5" customHeight="1" x14ac:dyDescent="0.15">
      <c r="B167" s="99" t="str">
        <f>IF(G167&lt;&gt;"",SUBTOTAL(3,$G$5:G167),"")</f>
        <v/>
      </c>
      <c r="C167" s="75"/>
      <c r="D167" s="75"/>
      <c r="E167" s="76"/>
      <c r="F167" s="76"/>
      <c r="G167" s="74"/>
      <c r="H167" s="61"/>
      <c r="I167" s="70">
        <v>1</v>
      </c>
      <c r="J167" s="77" t="s">
        <v>422</v>
      </c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78"/>
      <c r="AS167" s="77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43"/>
      <c r="BI167" s="43"/>
      <c r="BJ167" s="43"/>
      <c r="BK167" s="43"/>
      <c r="BL167" s="43"/>
      <c r="BM167" s="43"/>
      <c r="BN167" s="43"/>
      <c r="BO167" s="43"/>
      <c r="BP167" s="43"/>
      <c r="BQ167" s="43"/>
      <c r="BR167" s="43"/>
      <c r="BS167" s="43"/>
      <c r="BT167" s="43"/>
      <c r="BU167" s="43"/>
      <c r="BV167" s="43"/>
      <c r="BW167" s="43"/>
      <c r="BX167" s="43"/>
      <c r="BY167" s="43"/>
      <c r="BZ167" s="43"/>
      <c r="CA167" s="78"/>
      <c r="CB167" s="74"/>
      <c r="CC167" s="43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/>
      <c r="CX167" s="43"/>
      <c r="CY167" s="43"/>
      <c r="CZ167" s="43"/>
      <c r="DA167" s="43"/>
      <c r="DB167" s="43"/>
      <c r="DC167" s="43"/>
      <c r="DD167" s="43"/>
      <c r="DE167" s="43"/>
      <c r="DF167" s="43"/>
      <c r="DG167" s="43"/>
      <c r="DH167" s="43"/>
      <c r="DI167" s="43"/>
      <c r="DJ167" s="43"/>
      <c r="DK167" s="43"/>
      <c r="DL167" s="43"/>
      <c r="DM167" s="43"/>
      <c r="DN167" s="43"/>
      <c r="DO167" s="43"/>
      <c r="DP167" s="43"/>
      <c r="DQ167" s="43"/>
      <c r="DR167" s="43"/>
      <c r="DS167" s="43"/>
      <c r="DT167" s="43"/>
      <c r="DU167" s="43"/>
      <c r="DV167" s="43"/>
      <c r="DW167" s="43"/>
      <c r="DX167" s="43"/>
      <c r="DY167" s="43"/>
      <c r="DZ167" s="43"/>
    </row>
    <row r="168" spans="2:130" s="46" customFormat="1" ht="13.5" customHeight="1" x14ac:dyDescent="0.15">
      <c r="B168" s="99" t="str">
        <f>IF(G168&lt;&gt;"",SUBTOTAL(3,$G$5:G168),"")</f>
        <v/>
      </c>
      <c r="C168" s="75"/>
      <c r="D168" s="75"/>
      <c r="E168" s="76"/>
      <c r="F168" s="76"/>
      <c r="G168" s="74"/>
      <c r="H168" s="61"/>
      <c r="I168" s="70">
        <v>1</v>
      </c>
      <c r="J168" s="77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78"/>
      <c r="AS168" s="77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43"/>
      <c r="BI168" s="43"/>
      <c r="BJ168" s="43"/>
      <c r="BK168" s="43"/>
      <c r="BL168" s="43"/>
      <c r="BM168" s="43"/>
      <c r="BN168" s="43"/>
      <c r="BO168" s="43"/>
      <c r="BP168" s="43"/>
      <c r="BQ168" s="43"/>
      <c r="BR168" s="43"/>
      <c r="BS168" s="43"/>
      <c r="BT168" s="43"/>
      <c r="BU168" s="43"/>
      <c r="BV168" s="43"/>
      <c r="BW168" s="43"/>
      <c r="BX168" s="43"/>
      <c r="BY168" s="43"/>
      <c r="BZ168" s="43"/>
      <c r="CA168" s="78"/>
      <c r="CB168" s="74"/>
      <c r="CC168" s="43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3"/>
      <c r="CO168" s="43"/>
      <c r="CP168" s="43"/>
      <c r="CQ168" s="43"/>
      <c r="CR168" s="43"/>
      <c r="CS168" s="43"/>
      <c r="CT168" s="43"/>
      <c r="CU168" s="43"/>
      <c r="CV168" s="43"/>
      <c r="CW168" s="43"/>
      <c r="CX168" s="43"/>
      <c r="CY168" s="43"/>
      <c r="CZ168" s="43"/>
      <c r="DA168" s="43"/>
      <c r="DB168" s="43"/>
      <c r="DC168" s="43"/>
      <c r="DD168" s="43"/>
      <c r="DE168" s="43"/>
      <c r="DF168" s="43"/>
      <c r="DG168" s="43"/>
      <c r="DH168" s="43"/>
      <c r="DI168" s="43"/>
      <c r="DJ168" s="43"/>
      <c r="DK168" s="43"/>
      <c r="DL168" s="43"/>
      <c r="DM168" s="43"/>
      <c r="DN168" s="43"/>
      <c r="DO168" s="43"/>
      <c r="DP168" s="43"/>
      <c r="DQ168" s="43"/>
      <c r="DR168" s="43"/>
      <c r="DS168" s="43"/>
      <c r="DT168" s="43"/>
      <c r="DU168" s="43"/>
      <c r="DV168" s="43"/>
      <c r="DW168" s="43"/>
      <c r="DX168" s="43"/>
      <c r="DY168" s="43"/>
      <c r="DZ168" s="43"/>
    </row>
    <row r="169" spans="2:130" s="46" customFormat="1" x14ac:dyDescent="0.15">
      <c r="B169" s="75">
        <f>IF(G169&lt;&gt;"",SUBTOTAL(3,$G$5:G169),"")</f>
        <v>50</v>
      </c>
      <c r="C169" s="75"/>
      <c r="D169" s="75"/>
      <c r="E169" s="76" t="s">
        <v>139</v>
      </c>
      <c r="F169" s="76" t="s">
        <v>135</v>
      </c>
      <c r="G169" s="74" t="s">
        <v>175</v>
      </c>
      <c r="H169" s="61">
        <v>43955</v>
      </c>
      <c r="I169" s="62">
        <v>1</v>
      </c>
      <c r="J169" s="63" t="s">
        <v>470</v>
      </c>
      <c r="K169" s="64"/>
      <c r="L169" s="64"/>
      <c r="M169" s="64"/>
      <c r="N169" s="64"/>
      <c r="O169" s="64"/>
      <c r="P169" s="64"/>
      <c r="Q169" s="64"/>
      <c r="R169" s="64"/>
      <c r="S169" s="64"/>
      <c r="T169" s="64"/>
      <c r="U169" s="64"/>
      <c r="V169" s="64"/>
      <c r="W169" s="64"/>
      <c r="X169" s="64"/>
      <c r="Y169" s="64"/>
      <c r="Z169" s="64"/>
      <c r="AA169" s="64"/>
      <c r="AB169" s="64"/>
      <c r="AC169" s="64"/>
      <c r="AD169" s="64"/>
      <c r="AE169" s="64"/>
      <c r="AF169" s="64"/>
      <c r="AG169" s="64"/>
      <c r="AH169" s="64"/>
      <c r="AI169" s="64"/>
      <c r="AJ169" s="64"/>
      <c r="AK169" s="64"/>
      <c r="AL169" s="64"/>
      <c r="AM169" s="64"/>
      <c r="AN169" s="64"/>
      <c r="AO169" s="64"/>
      <c r="AP169" s="64"/>
      <c r="AQ169" s="64"/>
      <c r="AR169" s="65"/>
      <c r="AS169" s="63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  <c r="BK169" s="64"/>
      <c r="BL169" s="64"/>
      <c r="BM169" s="64"/>
      <c r="BN169" s="64"/>
      <c r="BO169" s="64"/>
      <c r="BP169" s="64"/>
      <c r="BQ169" s="64"/>
      <c r="BR169" s="64"/>
      <c r="BS169" s="64"/>
      <c r="BT169" s="64"/>
      <c r="BU169" s="64"/>
      <c r="BV169" s="64"/>
      <c r="BW169" s="64"/>
      <c r="BX169" s="64"/>
      <c r="BY169" s="64"/>
      <c r="BZ169" s="64"/>
      <c r="CA169" s="65"/>
      <c r="CB169" s="74"/>
      <c r="CC169" s="43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  <c r="CU169" s="43"/>
      <c r="CV169" s="43"/>
      <c r="CW169" s="43"/>
      <c r="CX169" s="43"/>
      <c r="CY169" s="43"/>
      <c r="CZ169" s="43"/>
      <c r="DA169" s="43"/>
      <c r="DB169" s="43"/>
      <c r="DC169" s="43"/>
      <c r="DD169" s="43"/>
      <c r="DE169" s="43"/>
      <c r="DF169" s="43"/>
      <c r="DG169" s="43"/>
      <c r="DH169" s="43"/>
      <c r="DI169" s="43"/>
      <c r="DJ169" s="43"/>
      <c r="DK169" s="43"/>
      <c r="DL169" s="43"/>
      <c r="DM169" s="43"/>
      <c r="DN169" s="43"/>
      <c r="DO169" s="43"/>
      <c r="DP169" s="43"/>
      <c r="DQ169" s="43"/>
      <c r="DR169" s="43"/>
      <c r="DS169" s="43"/>
      <c r="DT169" s="43"/>
      <c r="DU169" s="43"/>
      <c r="DV169" s="43"/>
      <c r="DW169" s="43"/>
      <c r="DX169" s="43"/>
      <c r="DY169" s="43"/>
      <c r="DZ169" s="43"/>
    </row>
    <row r="170" spans="2:130" s="46" customFormat="1" x14ac:dyDescent="0.15">
      <c r="B170" s="75" t="str">
        <f>IF(G170&lt;&gt;"",SUBTOTAL(3,$G$5:G170),"")</f>
        <v/>
      </c>
      <c r="C170" s="75"/>
      <c r="D170" s="75"/>
      <c r="E170" s="76"/>
      <c r="F170" s="76"/>
      <c r="G170" s="74"/>
      <c r="H170" s="61"/>
      <c r="I170" s="70">
        <v>1</v>
      </c>
      <c r="J170" s="63" t="s">
        <v>467</v>
      </c>
      <c r="K170" s="64"/>
      <c r="L170" s="64"/>
      <c r="M170" s="64"/>
      <c r="N170" s="64"/>
      <c r="O170" s="64"/>
      <c r="P170" s="64"/>
      <c r="Q170" s="64"/>
      <c r="R170" s="64"/>
      <c r="S170" s="64"/>
      <c r="T170" s="64"/>
      <c r="U170" s="64"/>
      <c r="V170" s="64"/>
      <c r="W170" s="64"/>
      <c r="X170" s="64"/>
      <c r="Y170" s="64"/>
      <c r="Z170" s="64"/>
      <c r="AA170" s="64"/>
      <c r="AB170" s="64"/>
      <c r="AC170" s="64"/>
      <c r="AD170" s="64"/>
      <c r="AE170" s="64"/>
      <c r="AF170" s="64"/>
      <c r="AG170" s="64"/>
      <c r="AH170" s="64"/>
      <c r="AI170" s="64"/>
      <c r="AJ170" s="64"/>
      <c r="AK170" s="64"/>
      <c r="AL170" s="64"/>
      <c r="AM170" s="64"/>
      <c r="AN170" s="64"/>
      <c r="AO170" s="64"/>
      <c r="AP170" s="64"/>
      <c r="AQ170" s="64"/>
      <c r="AR170" s="65"/>
      <c r="AS170" s="63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  <c r="BK170" s="64"/>
      <c r="BL170" s="64"/>
      <c r="BM170" s="64"/>
      <c r="BN170" s="64"/>
      <c r="BO170" s="64"/>
      <c r="BP170" s="64"/>
      <c r="BQ170" s="64"/>
      <c r="BR170" s="64"/>
      <c r="BS170" s="64"/>
      <c r="BT170" s="64"/>
      <c r="BU170" s="64"/>
      <c r="BV170" s="64"/>
      <c r="BW170" s="64"/>
      <c r="BX170" s="64"/>
      <c r="BY170" s="64"/>
      <c r="BZ170" s="64"/>
      <c r="CA170" s="65"/>
      <c r="CB170" s="74"/>
      <c r="CC170" s="43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  <c r="CU170" s="43"/>
      <c r="CV170" s="43"/>
      <c r="CW170" s="43"/>
      <c r="CX170" s="43"/>
      <c r="CY170" s="43"/>
      <c r="CZ170" s="43"/>
      <c r="DA170" s="43"/>
      <c r="DB170" s="43"/>
      <c r="DC170" s="43"/>
      <c r="DD170" s="43"/>
      <c r="DE170" s="43"/>
      <c r="DF170" s="43"/>
      <c r="DG170" s="43"/>
      <c r="DH170" s="43"/>
      <c r="DI170" s="43"/>
      <c r="DJ170" s="43"/>
      <c r="DK170" s="43"/>
      <c r="DL170" s="43"/>
      <c r="DM170" s="43"/>
      <c r="DN170" s="43"/>
      <c r="DO170" s="43"/>
      <c r="DP170" s="43"/>
      <c r="DQ170" s="43"/>
      <c r="DR170" s="43"/>
      <c r="DS170" s="43"/>
      <c r="DT170" s="43"/>
      <c r="DU170" s="43"/>
      <c r="DV170" s="43"/>
      <c r="DW170" s="43"/>
      <c r="DX170" s="43"/>
      <c r="DY170" s="43"/>
      <c r="DZ170" s="43"/>
    </row>
    <row r="171" spans="2:130" s="46" customFormat="1" x14ac:dyDescent="0.15">
      <c r="B171" s="75" t="str">
        <f>IF(G171&lt;&gt;"",SUBTOTAL(3,$G$5:G171),"")</f>
        <v/>
      </c>
      <c r="C171" s="75"/>
      <c r="D171" s="75"/>
      <c r="E171" s="76"/>
      <c r="F171" s="76"/>
      <c r="G171" s="74"/>
      <c r="H171" s="61"/>
      <c r="I171" s="70">
        <v>1</v>
      </c>
      <c r="J171" s="63"/>
      <c r="K171" s="64"/>
      <c r="L171" s="64"/>
      <c r="M171" s="64"/>
      <c r="N171" s="64"/>
      <c r="O171" s="64"/>
      <c r="P171" s="64"/>
      <c r="Q171" s="64"/>
      <c r="R171" s="64"/>
      <c r="S171" s="64"/>
      <c r="T171" s="64"/>
      <c r="U171" s="64"/>
      <c r="V171" s="64"/>
      <c r="W171" s="64"/>
      <c r="X171" s="64"/>
      <c r="Y171" s="64"/>
      <c r="Z171" s="64"/>
      <c r="AA171" s="64"/>
      <c r="AB171" s="64"/>
      <c r="AC171" s="64"/>
      <c r="AD171" s="64"/>
      <c r="AE171" s="64"/>
      <c r="AF171" s="64"/>
      <c r="AG171" s="64"/>
      <c r="AH171" s="64"/>
      <c r="AI171" s="64"/>
      <c r="AJ171" s="64"/>
      <c r="AK171" s="64"/>
      <c r="AL171" s="64"/>
      <c r="AM171" s="64"/>
      <c r="AN171" s="64"/>
      <c r="AO171" s="64"/>
      <c r="AP171" s="64"/>
      <c r="AQ171" s="64"/>
      <c r="AR171" s="65"/>
      <c r="AS171" s="63"/>
      <c r="AT171" s="64"/>
      <c r="AU171" s="64"/>
      <c r="AV171" s="64"/>
      <c r="AW171" s="64"/>
      <c r="AX171" s="64"/>
      <c r="AY171" s="64"/>
      <c r="AZ171" s="64"/>
      <c r="BA171" s="64"/>
      <c r="BB171" s="64"/>
      <c r="BC171" s="64"/>
      <c r="BD171" s="64"/>
      <c r="BE171" s="64"/>
      <c r="BF171" s="64"/>
      <c r="BG171" s="64"/>
      <c r="BH171" s="64"/>
      <c r="BI171" s="64"/>
      <c r="BJ171" s="64"/>
      <c r="BK171" s="64"/>
      <c r="BL171" s="64"/>
      <c r="BM171" s="64"/>
      <c r="BN171" s="64"/>
      <c r="BO171" s="64"/>
      <c r="BP171" s="64"/>
      <c r="BQ171" s="64"/>
      <c r="BR171" s="64"/>
      <c r="BS171" s="64"/>
      <c r="BT171" s="64"/>
      <c r="BU171" s="64"/>
      <c r="BV171" s="64"/>
      <c r="BW171" s="64"/>
      <c r="BX171" s="64"/>
      <c r="BY171" s="64"/>
      <c r="BZ171" s="64"/>
      <c r="CA171" s="65"/>
      <c r="CB171" s="74"/>
      <c r="CC171" s="4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43"/>
      <c r="CV171" s="43"/>
      <c r="CW171" s="43"/>
      <c r="CX171" s="43"/>
      <c r="CY171" s="43"/>
      <c r="CZ171" s="43"/>
      <c r="DA171" s="43"/>
      <c r="DB171" s="43"/>
      <c r="DC171" s="43"/>
      <c r="DD171" s="43"/>
      <c r="DE171" s="43"/>
      <c r="DF171" s="43"/>
      <c r="DG171" s="43"/>
      <c r="DH171" s="43"/>
      <c r="DI171" s="43"/>
      <c r="DJ171" s="43"/>
      <c r="DK171" s="43"/>
      <c r="DL171" s="43"/>
      <c r="DM171" s="43"/>
      <c r="DN171" s="43"/>
      <c r="DO171" s="43"/>
      <c r="DP171" s="43"/>
      <c r="DQ171" s="43"/>
      <c r="DR171" s="43"/>
      <c r="DS171" s="43"/>
      <c r="DT171" s="43"/>
      <c r="DU171" s="43"/>
      <c r="DV171" s="43"/>
      <c r="DW171" s="43"/>
      <c r="DX171" s="43"/>
      <c r="DY171" s="43"/>
      <c r="DZ171" s="43"/>
    </row>
    <row r="172" spans="2:130" s="46" customFormat="1" ht="13.5" customHeight="1" x14ac:dyDescent="0.15">
      <c r="B172" s="75">
        <f>IF(G172&lt;&gt;"",SUBTOTAL(3,$G$5:G172),"")</f>
        <v>51</v>
      </c>
      <c r="C172" s="75"/>
      <c r="D172" s="75"/>
      <c r="E172" s="76" t="s">
        <v>139</v>
      </c>
      <c r="F172" s="76" t="s">
        <v>135</v>
      </c>
      <c r="G172" s="74" t="s">
        <v>176</v>
      </c>
      <c r="H172" s="61">
        <v>43967</v>
      </c>
      <c r="I172" s="100">
        <v>1</v>
      </c>
      <c r="J172" s="77" t="s">
        <v>409</v>
      </c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78"/>
      <c r="AS172" s="77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43"/>
      <c r="BI172" s="43"/>
      <c r="BJ172" s="43"/>
      <c r="BK172" s="43"/>
      <c r="BL172" s="43"/>
      <c r="BM172" s="43"/>
      <c r="BN172" s="43"/>
      <c r="BO172" s="43"/>
      <c r="BP172" s="43"/>
      <c r="BQ172" s="43"/>
      <c r="BR172" s="43"/>
      <c r="BS172" s="43"/>
      <c r="BT172" s="43"/>
      <c r="BU172" s="43"/>
      <c r="BV172" s="43"/>
      <c r="BW172" s="43"/>
      <c r="BX172" s="43"/>
      <c r="BY172" s="43"/>
      <c r="BZ172" s="43"/>
      <c r="CA172" s="78"/>
      <c r="CB172" s="74"/>
      <c r="CC172" s="43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  <c r="CU172" s="43"/>
      <c r="CV172" s="43"/>
      <c r="CW172" s="43"/>
      <c r="CX172" s="43"/>
      <c r="CY172" s="43"/>
      <c r="CZ172" s="43"/>
      <c r="DA172" s="43"/>
      <c r="DB172" s="43"/>
      <c r="DC172" s="43"/>
      <c r="DD172" s="43"/>
      <c r="DE172" s="43"/>
      <c r="DF172" s="43"/>
      <c r="DG172" s="43"/>
      <c r="DH172" s="43"/>
      <c r="DI172" s="43"/>
      <c r="DJ172" s="43"/>
      <c r="DK172" s="43"/>
      <c r="DL172" s="43"/>
      <c r="DM172" s="43"/>
      <c r="DN172" s="43"/>
      <c r="DO172" s="43"/>
      <c r="DP172" s="43"/>
      <c r="DQ172" s="43"/>
      <c r="DR172" s="43"/>
      <c r="DS172" s="43"/>
      <c r="DT172" s="43"/>
      <c r="DU172" s="43"/>
      <c r="DV172" s="43"/>
      <c r="DW172" s="43"/>
      <c r="DX172" s="43"/>
      <c r="DY172" s="43"/>
      <c r="DZ172" s="43"/>
    </row>
    <row r="173" spans="2:130" s="46" customFormat="1" ht="13.5" customHeight="1" x14ac:dyDescent="0.15">
      <c r="B173" s="99" t="str">
        <f>IF(G173&lt;&gt;"",SUBTOTAL(3,$G$5:G173),"")</f>
        <v/>
      </c>
      <c r="C173" s="75"/>
      <c r="D173" s="75"/>
      <c r="E173" s="76"/>
      <c r="F173" s="76"/>
      <c r="G173" s="74"/>
      <c r="H173" s="61"/>
      <c r="I173" s="70">
        <v>1</v>
      </c>
      <c r="J173" s="77" t="s">
        <v>410</v>
      </c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78"/>
      <c r="AS173" s="77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43"/>
      <c r="BI173" s="43"/>
      <c r="BJ173" s="43"/>
      <c r="BK173" s="43"/>
      <c r="BL173" s="43"/>
      <c r="BM173" s="43"/>
      <c r="BN173" s="43"/>
      <c r="BO173" s="43"/>
      <c r="BP173" s="43"/>
      <c r="BQ173" s="43"/>
      <c r="BR173" s="43"/>
      <c r="BS173" s="43"/>
      <c r="BT173" s="43"/>
      <c r="BU173" s="43"/>
      <c r="BV173" s="43"/>
      <c r="BW173" s="43"/>
      <c r="BX173" s="43"/>
      <c r="BY173" s="43"/>
      <c r="BZ173" s="43"/>
      <c r="CA173" s="78"/>
      <c r="CB173" s="74"/>
      <c r="CC173" s="43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  <c r="CU173" s="43"/>
      <c r="CV173" s="43"/>
      <c r="CW173" s="43"/>
      <c r="CX173" s="43"/>
      <c r="CY173" s="43"/>
      <c r="CZ173" s="43"/>
      <c r="DA173" s="43"/>
      <c r="DB173" s="43"/>
      <c r="DC173" s="43"/>
      <c r="DD173" s="43"/>
      <c r="DE173" s="43"/>
      <c r="DF173" s="43"/>
      <c r="DG173" s="43"/>
      <c r="DH173" s="43"/>
      <c r="DI173" s="43"/>
      <c r="DJ173" s="43"/>
      <c r="DK173" s="43"/>
      <c r="DL173" s="43"/>
      <c r="DM173" s="43"/>
      <c r="DN173" s="43"/>
      <c r="DO173" s="43"/>
      <c r="DP173" s="43"/>
      <c r="DQ173" s="43"/>
      <c r="DR173" s="43"/>
      <c r="DS173" s="43"/>
      <c r="DT173" s="43"/>
      <c r="DU173" s="43"/>
      <c r="DV173" s="43"/>
      <c r="DW173" s="43"/>
      <c r="DX173" s="43"/>
      <c r="DY173" s="43"/>
      <c r="DZ173" s="43"/>
    </row>
    <row r="174" spans="2:130" s="46" customFormat="1" ht="13.5" customHeight="1" x14ac:dyDescent="0.15">
      <c r="B174" s="75">
        <f>IF(G174&lt;&gt;"",SUBTOTAL(3,$G$5:G174),"")</f>
        <v>52</v>
      </c>
      <c r="C174" s="75"/>
      <c r="D174" s="75"/>
      <c r="E174" s="76" t="s">
        <v>139</v>
      </c>
      <c r="F174" s="76" t="s">
        <v>135</v>
      </c>
      <c r="G174" s="74" t="s">
        <v>177</v>
      </c>
      <c r="H174" s="61">
        <v>43870</v>
      </c>
      <c r="I174" s="62">
        <v>1</v>
      </c>
      <c r="J174" s="77" t="s">
        <v>406</v>
      </c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78"/>
      <c r="AS174" s="77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43"/>
      <c r="BI174" s="43"/>
      <c r="BJ174" s="43"/>
      <c r="BK174" s="43"/>
      <c r="BL174" s="43"/>
      <c r="BM174" s="43"/>
      <c r="BN174" s="43"/>
      <c r="BO174" s="43"/>
      <c r="BP174" s="43"/>
      <c r="BQ174" s="43"/>
      <c r="BR174" s="43"/>
      <c r="BS174" s="43"/>
      <c r="BT174" s="43"/>
      <c r="BU174" s="43"/>
      <c r="BV174" s="43"/>
      <c r="BW174" s="43"/>
      <c r="BX174" s="43"/>
      <c r="BY174" s="43"/>
      <c r="BZ174" s="43"/>
      <c r="CA174" s="78"/>
      <c r="CB174" s="74"/>
      <c r="CC174" s="4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43"/>
      <c r="CY174" s="43"/>
      <c r="CZ174" s="43"/>
      <c r="DA174" s="43"/>
      <c r="DB174" s="43"/>
      <c r="DC174" s="43"/>
      <c r="DD174" s="43"/>
      <c r="DE174" s="43"/>
      <c r="DF174" s="43"/>
      <c r="DG174" s="43"/>
      <c r="DH174" s="43"/>
      <c r="DI174" s="43"/>
      <c r="DJ174" s="43"/>
      <c r="DK174" s="43"/>
      <c r="DL174" s="43"/>
      <c r="DM174" s="43"/>
      <c r="DN174" s="43"/>
      <c r="DO174" s="43"/>
      <c r="DP174" s="43"/>
      <c r="DQ174" s="43"/>
      <c r="DR174" s="43"/>
      <c r="DS174" s="43"/>
      <c r="DT174" s="43"/>
      <c r="DU174" s="43"/>
      <c r="DV174" s="43"/>
      <c r="DW174" s="43"/>
      <c r="DX174" s="43"/>
      <c r="DY174" s="43"/>
      <c r="DZ174" s="43"/>
    </row>
    <row r="175" spans="2:130" s="46" customFormat="1" ht="13.5" customHeight="1" x14ac:dyDescent="0.15">
      <c r="B175" s="99" t="str">
        <f>IF(G175&lt;&gt;"",SUBTOTAL(3,$G$5:G175),"")</f>
        <v/>
      </c>
      <c r="C175" s="75"/>
      <c r="D175" s="75"/>
      <c r="E175" s="76"/>
      <c r="F175" s="76"/>
      <c r="G175" s="74"/>
      <c r="H175" s="61"/>
      <c r="I175" s="68"/>
      <c r="J175" s="77" t="s">
        <v>407</v>
      </c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78"/>
      <c r="AS175" s="77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43"/>
      <c r="BI175" s="43"/>
      <c r="BJ175" s="43"/>
      <c r="BK175" s="43"/>
      <c r="BL175" s="43"/>
      <c r="BM175" s="43"/>
      <c r="BN175" s="43"/>
      <c r="BO175" s="43"/>
      <c r="BP175" s="43"/>
      <c r="BQ175" s="43"/>
      <c r="BR175" s="43"/>
      <c r="BS175" s="43"/>
      <c r="BT175" s="43"/>
      <c r="BU175" s="43"/>
      <c r="BV175" s="43"/>
      <c r="BW175" s="43"/>
      <c r="BX175" s="43"/>
      <c r="BY175" s="43"/>
      <c r="BZ175" s="43"/>
      <c r="CA175" s="78"/>
      <c r="CB175" s="74"/>
      <c r="CC175" s="43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  <c r="CU175" s="43"/>
      <c r="CV175" s="43"/>
      <c r="CW175" s="43"/>
      <c r="CX175" s="43"/>
      <c r="CY175" s="43"/>
      <c r="CZ175" s="43"/>
      <c r="DA175" s="43"/>
      <c r="DB175" s="43"/>
      <c r="DC175" s="43"/>
      <c r="DD175" s="43"/>
      <c r="DE175" s="43"/>
      <c r="DF175" s="43"/>
      <c r="DG175" s="43"/>
      <c r="DH175" s="43"/>
      <c r="DI175" s="43"/>
      <c r="DJ175" s="43"/>
      <c r="DK175" s="43"/>
      <c r="DL175" s="43"/>
      <c r="DM175" s="43"/>
      <c r="DN175" s="43"/>
      <c r="DO175" s="43"/>
      <c r="DP175" s="43"/>
      <c r="DQ175" s="43"/>
      <c r="DR175" s="43"/>
      <c r="DS175" s="43"/>
      <c r="DT175" s="43"/>
      <c r="DU175" s="43"/>
      <c r="DV175" s="43"/>
      <c r="DW175" s="43"/>
      <c r="DX175" s="43"/>
      <c r="DY175" s="43"/>
      <c r="DZ175" s="43"/>
    </row>
    <row r="176" spans="2:130" s="46" customFormat="1" ht="13.5" customHeight="1" x14ac:dyDescent="0.15">
      <c r="B176" s="99" t="str">
        <f>IF(G176&lt;&gt;"",SUBTOTAL(3,$G$5:G176),"")</f>
        <v/>
      </c>
      <c r="C176" s="75"/>
      <c r="D176" s="75"/>
      <c r="E176" s="76"/>
      <c r="F176" s="76"/>
      <c r="G176" s="74"/>
      <c r="H176" s="61"/>
      <c r="I176" s="68"/>
      <c r="J176" s="77" t="s">
        <v>408</v>
      </c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78"/>
      <c r="AS176" s="77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43"/>
      <c r="BN176" s="43"/>
      <c r="BO176" s="43"/>
      <c r="BP176" s="43"/>
      <c r="BQ176" s="43"/>
      <c r="BR176" s="43"/>
      <c r="BS176" s="43"/>
      <c r="BT176" s="43"/>
      <c r="BU176" s="43"/>
      <c r="BV176" s="43"/>
      <c r="BW176" s="43"/>
      <c r="BX176" s="43"/>
      <c r="BY176" s="43"/>
      <c r="BZ176" s="43"/>
      <c r="CA176" s="78"/>
      <c r="CB176" s="74"/>
      <c r="CC176" s="4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43"/>
      <c r="CY176" s="43"/>
      <c r="CZ176" s="43"/>
      <c r="DA176" s="43"/>
      <c r="DB176" s="43"/>
      <c r="DC176" s="43"/>
      <c r="DD176" s="43"/>
      <c r="DE176" s="43"/>
      <c r="DF176" s="43"/>
      <c r="DG176" s="43"/>
      <c r="DH176" s="43"/>
      <c r="DI176" s="43"/>
      <c r="DJ176" s="43"/>
      <c r="DK176" s="43"/>
      <c r="DL176" s="43"/>
      <c r="DM176" s="43"/>
      <c r="DN176" s="43"/>
      <c r="DO176" s="43"/>
      <c r="DP176" s="43"/>
      <c r="DQ176" s="43"/>
      <c r="DR176" s="43"/>
      <c r="DS176" s="43"/>
      <c r="DT176" s="43"/>
      <c r="DU176" s="43"/>
      <c r="DV176" s="43"/>
      <c r="DW176" s="43"/>
      <c r="DX176" s="43"/>
      <c r="DY176" s="43"/>
      <c r="DZ176" s="43"/>
    </row>
    <row r="177" spans="2:130" s="46" customFormat="1" ht="13.5" customHeight="1" x14ac:dyDescent="0.15">
      <c r="B177" s="99" t="str">
        <f>IF(G177&lt;&gt;"",SUBTOTAL(3,$G$5:G177),"")</f>
        <v/>
      </c>
      <c r="C177" s="75"/>
      <c r="D177" s="75"/>
      <c r="E177" s="76"/>
      <c r="F177" s="76"/>
      <c r="G177" s="74"/>
      <c r="H177" s="61"/>
      <c r="I177" s="68"/>
      <c r="J177" s="77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78"/>
      <c r="AS177" s="77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43"/>
      <c r="BN177" s="43"/>
      <c r="BO177" s="43"/>
      <c r="BP177" s="43"/>
      <c r="BQ177" s="43"/>
      <c r="BR177" s="43"/>
      <c r="BS177" s="43"/>
      <c r="BT177" s="43"/>
      <c r="BU177" s="43"/>
      <c r="BV177" s="43"/>
      <c r="BW177" s="43"/>
      <c r="BX177" s="43"/>
      <c r="BY177" s="43"/>
      <c r="BZ177" s="43"/>
      <c r="CA177" s="78"/>
      <c r="CB177" s="74"/>
      <c r="CC177" s="4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43"/>
      <c r="CY177" s="43"/>
      <c r="CZ177" s="43"/>
      <c r="DA177" s="43"/>
      <c r="DB177" s="43"/>
      <c r="DC177" s="43"/>
      <c r="DD177" s="43"/>
      <c r="DE177" s="43"/>
      <c r="DF177" s="43"/>
      <c r="DG177" s="43"/>
      <c r="DH177" s="43"/>
      <c r="DI177" s="43"/>
      <c r="DJ177" s="43"/>
      <c r="DK177" s="43"/>
      <c r="DL177" s="43"/>
      <c r="DM177" s="43"/>
      <c r="DN177" s="43"/>
      <c r="DO177" s="43"/>
      <c r="DP177" s="43"/>
      <c r="DQ177" s="43"/>
      <c r="DR177" s="43"/>
      <c r="DS177" s="43"/>
      <c r="DT177" s="43"/>
      <c r="DU177" s="43"/>
      <c r="DV177" s="43"/>
      <c r="DW177" s="43"/>
      <c r="DX177" s="43"/>
      <c r="DY177" s="43"/>
      <c r="DZ177" s="43"/>
    </row>
    <row r="178" spans="2:130" s="46" customFormat="1" x14ac:dyDescent="0.15">
      <c r="B178" s="75">
        <f>IF(G178&lt;&gt;"",SUBTOTAL(3,$G$5:G178),"")</f>
        <v>53</v>
      </c>
      <c r="C178" s="75"/>
      <c r="D178" s="75"/>
      <c r="E178" s="76" t="s">
        <v>139</v>
      </c>
      <c r="F178" s="76" t="s">
        <v>135</v>
      </c>
      <c r="G178" s="74" t="s">
        <v>178</v>
      </c>
      <c r="H178" s="61">
        <v>43869</v>
      </c>
      <c r="I178" s="62">
        <v>1</v>
      </c>
      <c r="J178" s="77" t="s">
        <v>423</v>
      </c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78"/>
      <c r="AS178" s="77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43"/>
      <c r="BI178" s="43"/>
      <c r="BJ178" s="43"/>
      <c r="BK178" s="43"/>
      <c r="BL178" s="43"/>
      <c r="BM178" s="43"/>
      <c r="BN178" s="43"/>
      <c r="BO178" s="43"/>
      <c r="BP178" s="43"/>
      <c r="BQ178" s="43"/>
      <c r="BR178" s="43"/>
      <c r="BS178" s="43"/>
      <c r="BT178" s="43"/>
      <c r="BU178" s="43"/>
      <c r="BV178" s="43"/>
      <c r="BW178" s="43"/>
      <c r="BX178" s="43"/>
      <c r="BY178" s="43"/>
      <c r="BZ178" s="43"/>
      <c r="CA178" s="78"/>
      <c r="CB178" s="74"/>
      <c r="CC178" s="43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43"/>
      <c r="CY178" s="43"/>
      <c r="CZ178" s="43"/>
      <c r="DA178" s="43"/>
      <c r="DB178" s="43"/>
      <c r="DC178" s="43"/>
      <c r="DD178" s="43"/>
      <c r="DE178" s="43"/>
      <c r="DF178" s="43"/>
      <c r="DG178" s="43"/>
      <c r="DH178" s="43"/>
      <c r="DI178" s="43"/>
      <c r="DJ178" s="43"/>
      <c r="DK178" s="43"/>
      <c r="DL178" s="43"/>
      <c r="DM178" s="43"/>
      <c r="DN178" s="43"/>
      <c r="DO178" s="43"/>
      <c r="DP178" s="43"/>
      <c r="DQ178" s="43"/>
      <c r="DR178" s="43"/>
      <c r="DS178" s="43"/>
      <c r="DT178" s="43"/>
      <c r="DU178" s="43"/>
      <c r="DV178" s="43"/>
      <c r="DW178" s="43"/>
      <c r="DX178" s="43"/>
      <c r="DY178" s="43"/>
      <c r="DZ178" s="43"/>
    </row>
    <row r="179" spans="2:130" s="46" customFormat="1" x14ac:dyDescent="0.15">
      <c r="B179" s="99" t="str">
        <f>IF(G179&lt;&gt;"",SUBTOTAL(3,$G$5:G179),"")</f>
        <v/>
      </c>
      <c r="C179" s="75"/>
      <c r="D179" s="75"/>
      <c r="E179" s="76"/>
      <c r="F179" s="76"/>
      <c r="G179" s="74"/>
      <c r="H179" s="61"/>
      <c r="I179" s="70">
        <v>1</v>
      </c>
      <c r="J179" s="77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78"/>
      <c r="AS179" s="77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43"/>
      <c r="BI179" s="43"/>
      <c r="BJ179" s="43"/>
      <c r="BK179" s="43"/>
      <c r="BL179" s="43"/>
      <c r="BM179" s="43"/>
      <c r="BN179" s="43"/>
      <c r="BO179" s="43"/>
      <c r="BP179" s="43"/>
      <c r="BQ179" s="43"/>
      <c r="BR179" s="43"/>
      <c r="BS179" s="43"/>
      <c r="BT179" s="43"/>
      <c r="BU179" s="43"/>
      <c r="BV179" s="43"/>
      <c r="BW179" s="43"/>
      <c r="BX179" s="43"/>
      <c r="BY179" s="43"/>
      <c r="BZ179" s="43"/>
      <c r="CA179" s="78"/>
      <c r="CB179" s="74"/>
      <c r="CC179" s="43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  <c r="CU179" s="43"/>
      <c r="CV179" s="43"/>
      <c r="CW179" s="43"/>
      <c r="CX179" s="43"/>
      <c r="CY179" s="43"/>
      <c r="CZ179" s="43"/>
      <c r="DA179" s="43"/>
      <c r="DB179" s="43"/>
      <c r="DC179" s="43"/>
      <c r="DD179" s="43"/>
      <c r="DE179" s="43"/>
      <c r="DF179" s="43"/>
      <c r="DG179" s="43"/>
      <c r="DH179" s="43"/>
      <c r="DI179" s="43"/>
      <c r="DJ179" s="43"/>
      <c r="DK179" s="43"/>
      <c r="DL179" s="43"/>
      <c r="DM179" s="43"/>
      <c r="DN179" s="43"/>
      <c r="DO179" s="43"/>
      <c r="DP179" s="43"/>
      <c r="DQ179" s="43"/>
      <c r="DR179" s="43"/>
      <c r="DS179" s="43"/>
      <c r="DT179" s="43"/>
      <c r="DU179" s="43"/>
      <c r="DV179" s="43"/>
      <c r="DW179" s="43"/>
      <c r="DX179" s="43"/>
      <c r="DY179" s="43"/>
      <c r="DZ179" s="43"/>
    </row>
    <row r="180" spans="2:130" s="46" customFormat="1" x14ac:dyDescent="0.15">
      <c r="B180" s="75">
        <f>IF(G180&lt;&gt;"",SUBTOTAL(3,$G$5:G180),"")</f>
        <v>54</v>
      </c>
      <c r="C180" s="75"/>
      <c r="D180" s="75"/>
      <c r="E180" s="76" t="s">
        <v>139</v>
      </c>
      <c r="F180" s="76" t="s">
        <v>135</v>
      </c>
      <c r="G180" s="74" t="s">
        <v>89</v>
      </c>
      <c r="H180" s="61">
        <v>43961</v>
      </c>
      <c r="I180" s="62">
        <v>1</v>
      </c>
      <c r="J180" s="129" t="s">
        <v>468</v>
      </c>
      <c r="K180" s="130"/>
      <c r="L180" s="130"/>
      <c r="M180" s="130"/>
      <c r="N180" s="130"/>
      <c r="O180" s="130"/>
      <c r="P180" s="130"/>
      <c r="Q180" s="130"/>
      <c r="R180" s="130"/>
      <c r="S180" s="130"/>
      <c r="T180" s="130"/>
      <c r="U180" s="130"/>
      <c r="V180" s="130"/>
      <c r="W180" s="130"/>
      <c r="X180" s="130"/>
      <c r="Y180" s="130"/>
      <c r="Z180" s="130"/>
      <c r="AA180" s="130"/>
      <c r="AB180" s="130"/>
      <c r="AC180" s="130"/>
      <c r="AD180" s="130"/>
      <c r="AE180" s="130"/>
      <c r="AF180" s="130"/>
      <c r="AG180" s="130"/>
      <c r="AH180" s="130"/>
      <c r="AI180" s="130"/>
      <c r="AJ180" s="130"/>
      <c r="AK180" s="130"/>
      <c r="AL180" s="130"/>
      <c r="AM180" s="130"/>
      <c r="AN180" s="130"/>
      <c r="AO180" s="130"/>
      <c r="AP180" s="130"/>
      <c r="AQ180" s="130"/>
      <c r="AR180" s="131"/>
      <c r="AS180" s="63"/>
      <c r="AT180" s="64"/>
      <c r="AU180" s="64"/>
      <c r="AV180" s="64"/>
      <c r="AW180" s="64"/>
      <c r="AX180" s="64"/>
      <c r="AY180" s="64"/>
      <c r="AZ180" s="64"/>
      <c r="BA180" s="64"/>
      <c r="BB180" s="64"/>
      <c r="BC180" s="64"/>
      <c r="BD180" s="64"/>
      <c r="BE180" s="64"/>
      <c r="BF180" s="64"/>
      <c r="BG180" s="64"/>
      <c r="BH180" s="64"/>
      <c r="BI180" s="64"/>
      <c r="BJ180" s="64"/>
      <c r="BK180" s="64"/>
      <c r="BL180" s="64"/>
      <c r="BM180" s="64"/>
      <c r="BN180" s="64"/>
      <c r="BO180" s="64"/>
      <c r="BP180" s="64"/>
      <c r="BQ180" s="64"/>
      <c r="BR180" s="64"/>
      <c r="BS180" s="64"/>
      <c r="BT180" s="64"/>
      <c r="BU180" s="64"/>
      <c r="BV180" s="64"/>
      <c r="BW180" s="64"/>
      <c r="BX180" s="64"/>
      <c r="BY180" s="64"/>
      <c r="BZ180" s="64"/>
      <c r="CA180" s="65"/>
      <c r="CB180" s="74"/>
      <c r="CC180" s="43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  <c r="CU180" s="43"/>
      <c r="CV180" s="43"/>
      <c r="CW180" s="43"/>
      <c r="CX180" s="43"/>
      <c r="CY180" s="43"/>
      <c r="CZ180" s="43"/>
      <c r="DA180" s="43"/>
      <c r="DB180" s="43"/>
      <c r="DC180" s="43"/>
      <c r="DD180" s="43"/>
      <c r="DE180" s="43"/>
      <c r="DF180" s="43"/>
      <c r="DG180" s="43"/>
      <c r="DH180" s="43"/>
      <c r="DI180" s="43"/>
      <c r="DJ180" s="43"/>
      <c r="DK180" s="43"/>
      <c r="DL180" s="43"/>
      <c r="DM180" s="43"/>
      <c r="DN180" s="43"/>
      <c r="DO180" s="43"/>
      <c r="DP180" s="43"/>
      <c r="DQ180" s="43"/>
      <c r="DR180" s="43"/>
      <c r="DS180" s="43"/>
      <c r="DT180" s="43"/>
      <c r="DU180" s="43"/>
      <c r="DV180" s="43"/>
      <c r="DW180" s="43"/>
      <c r="DX180" s="43"/>
      <c r="DY180" s="43"/>
      <c r="DZ180" s="43"/>
    </row>
    <row r="181" spans="2:130" s="46" customFormat="1" x14ac:dyDescent="0.15">
      <c r="B181" s="75" t="str">
        <f>IF(G181&lt;&gt;"",SUBTOTAL(3,$G$5:G181),"")</f>
        <v/>
      </c>
      <c r="C181" s="75"/>
      <c r="D181" s="75"/>
      <c r="E181" s="76"/>
      <c r="F181" s="76"/>
      <c r="G181" s="74"/>
      <c r="H181" s="61"/>
      <c r="I181" s="70">
        <v>1</v>
      </c>
      <c r="J181" s="129" t="s">
        <v>469</v>
      </c>
      <c r="K181" s="130"/>
      <c r="L181" s="130"/>
      <c r="M181" s="130"/>
      <c r="N181" s="130"/>
      <c r="O181" s="130"/>
      <c r="P181" s="130"/>
      <c r="Q181" s="130"/>
      <c r="R181" s="130"/>
      <c r="S181" s="130"/>
      <c r="T181" s="130"/>
      <c r="U181" s="130"/>
      <c r="V181" s="130"/>
      <c r="W181" s="130"/>
      <c r="X181" s="130"/>
      <c r="Y181" s="130"/>
      <c r="Z181" s="130"/>
      <c r="AA181" s="130"/>
      <c r="AB181" s="130"/>
      <c r="AC181" s="130"/>
      <c r="AD181" s="130"/>
      <c r="AE181" s="130"/>
      <c r="AF181" s="130"/>
      <c r="AG181" s="130"/>
      <c r="AH181" s="130"/>
      <c r="AI181" s="130"/>
      <c r="AJ181" s="130"/>
      <c r="AK181" s="130"/>
      <c r="AL181" s="130"/>
      <c r="AM181" s="130"/>
      <c r="AN181" s="130"/>
      <c r="AO181" s="130"/>
      <c r="AP181" s="130"/>
      <c r="AQ181" s="130"/>
      <c r="AR181" s="131"/>
      <c r="AS181" s="63"/>
      <c r="AT181" s="64"/>
      <c r="AU181" s="64"/>
      <c r="AV181" s="64"/>
      <c r="AW181" s="64"/>
      <c r="AX181" s="64"/>
      <c r="AY181" s="64"/>
      <c r="AZ181" s="64"/>
      <c r="BA181" s="64"/>
      <c r="BB181" s="64"/>
      <c r="BC181" s="64"/>
      <c r="BD181" s="64"/>
      <c r="BE181" s="64"/>
      <c r="BF181" s="64"/>
      <c r="BG181" s="64"/>
      <c r="BH181" s="64"/>
      <c r="BI181" s="64"/>
      <c r="BJ181" s="64"/>
      <c r="BK181" s="64"/>
      <c r="BL181" s="64"/>
      <c r="BM181" s="64"/>
      <c r="BN181" s="64"/>
      <c r="BO181" s="64"/>
      <c r="BP181" s="64"/>
      <c r="BQ181" s="64"/>
      <c r="BR181" s="64"/>
      <c r="BS181" s="64"/>
      <c r="BT181" s="64"/>
      <c r="BU181" s="64"/>
      <c r="BV181" s="64"/>
      <c r="BW181" s="64"/>
      <c r="BX181" s="64"/>
      <c r="BY181" s="64"/>
      <c r="BZ181" s="64"/>
      <c r="CA181" s="65"/>
      <c r="CB181" s="74"/>
      <c r="CC181" s="43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43"/>
      <c r="CY181" s="43"/>
      <c r="CZ181" s="43"/>
      <c r="DA181" s="43"/>
      <c r="DB181" s="43"/>
      <c r="DC181" s="43"/>
      <c r="DD181" s="43"/>
      <c r="DE181" s="43"/>
      <c r="DF181" s="43"/>
      <c r="DG181" s="43"/>
      <c r="DH181" s="43"/>
      <c r="DI181" s="43"/>
      <c r="DJ181" s="43"/>
      <c r="DK181" s="43"/>
      <c r="DL181" s="43"/>
      <c r="DM181" s="43"/>
      <c r="DN181" s="43"/>
      <c r="DO181" s="43"/>
      <c r="DP181" s="43"/>
      <c r="DQ181" s="43"/>
      <c r="DR181" s="43"/>
      <c r="DS181" s="43"/>
      <c r="DT181" s="43"/>
      <c r="DU181" s="43"/>
      <c r="DV181" s="43"/>
      <c r="DW181" s="43"/>
      <c r="DX181" s="43"/>
      <c r="DY181" s="43"/>
      <c r="DZ181" s="43"/>
    </row>
    <row r="182" spans="2:130" s="46" customFormat="1" x14ac:dyDescent="0.15">
      <c r="B182" s="75" t="str">
        <f>IF(G182&lt;&gt;"",SUBTOTAL(3,$G$5:G182),"")</f>
        <v/>
      </c>
      <c r="C182" s="75"/>
      <c r="D182" s="75"/>
      <c r="E182" s="76"/>
      <c r="F182" s="76"/>
      <c r="G182" s="74"/>
      <c r="H182" s="61"/>
      <c r="I182" s="70">
        <v>1</v>
      </c>
      <c r="J182" s="129"/>
      <c r="K182" s="130"/>
      <c r="L182" s="130"/>
      <c r="M182" s="130"/>
      <c r="N182" s="130"/>
      <c r="O182" s="130"/>
      <c r="P182" s="130"/>
      <c r="Q182" s="130"/>
      <c r="R182" s="130"/>
      <c r="S182" s="130"/>
      <c r="T182" s="130"/>
      <c r="U182" s="130"/>
      <c r="V182" s="130"/>
      <c r="W182" s="130"/>
      <c r="X182" s="130"/>
      <c r="Y182" s="130"/>
      <c r="Z182" s="130"/>
      <c r="AA182" s="130"/>
      <c r="AB182" s="130"/>
      <c r="AC182" s="130"/>
      <c r="AD182" s="130"/>
      <c r="AE182" s="130"/>
      <c r="AF182" s="130"/>
      <c r="AG182" s="130"/>
      <c r="AH182" s="130"/>
      <c r="AI182" s="130"/>
      <c r="AJ182" s="130"/>
      <c r="AK182" s="130"/>
      <c r="AL182" s="130"/>
      <c r="AM182" s="130"/>
      <c r="AN182" s="130"/>
      <c r="AO182" s="130"/>
      <c r="AP182" s="130"/>
      <c r="AQ182" s="130"/>
      <c r="AR182" s="131"/>
      <c r="AS182" s="63"/>
      <c r="AT182" s="64"/>
      <c r="AU182" s="64"/>
      <c r="AV182" s="64"/>
      <c r="AW182" s="64"/>
      <c r="AX182" s="64"/>
      <c r="AY182" s="64"/>
      <c r="AZ182" s="64"/>
      <c r="BA182" s="64"/>
      <c r="BB182" s="64"/>
      <c r="BC182" s="64"/>
      <c r="BD182" s="64"/>
      <c r="BE182" s="64"/>
      <c r="BF182" s="64"/>
      <c r="BG182" s="64"/>
      <c r="BH182" s="64"/>
      <c r="BI182" s="64"/>
      <c r="BJ182" s="64"/>
      <c r="BK182" s="64"/>
      <c r="BL182" s="64"/>
      <c r="BM182" s="64"/>
      <c r="BN182" s="64"/>
      <c r="BO182" s="64"/>
      <c r="BP182" s="64"/>
      <c r="BQ182" s="64"/>
      <c r="BR182" s="64"/>
      <c r="BS182" s="64"/>
      <c r="BT182" s="64"/>
      <c r="BU182" s="64"/>
      <c r="BV182" s="64"/>
      <c r="BW182" s="64"/>
      <c r="BX182" s="64"/>
      <c r="BY182" s="64"/>
      <c r="BZ182" s="64"/>
      <c r="CA182" s="65"/>
      <c r="CB182" s="74"/>
      <c r="CC182" s="43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43"/>
      <c r="CY182" s="43"/>
      <c r="CZ182" s="43"/>
      <c r="DA182" s="43"/>
      <c r="DB182" s="43"/>
      <c r="DC182" s="43"/>
      <c r="DD182" s="43"/>
      <c r="DE182" s="43"/>
      <c r="DF182" s="43"/>
      <c r="DG182" s="43"/>
      <c r="DH182" s="43"/>
      <c r="DI182" s="43"/>
      <c r="DJ182" s="43"/>
      <c r="DK182" s="43"/>
      <c r="DL182" s="43"/>
      <c r="DM182" s="43"/>
      <c r="DN182" s="43"/>
      <c r="DO182" s="43"/>
      <c r="DP182" s="43"/>
      <c r="DQ182" s="43"/>
      <c r="DR182" s="43"/>
      <c r="DS182" s="43"/>
      <c r="DT182" s="43"/>
      <c r="DU182" s="43"/>
      <c r="DV182" s="43"/>
      <c r="DW182" s="43"/>
      <c r="DX182" s="43"/>
      <c r="DY182" s="43"/>
      <c r="DZ182" s="43"/>
    </row>
    <row r="183" spans="2:130" s="46" customFormat="1" ht="13.5" customHeight="1" x14ac:dyDescent="0.15">
      <c r="B183" s="75">
        <f>IF(G183&lt;&gt;"",SUBTOTAL(3,$G$5:G183),"")</f>
        <v>55</v>
      </c>
      <c r="C183" s="75"/>
      <c r="D183" s="75"/>
      <c r="E183" s="76" t="s">
        <v>139</v>
      </c>
      <c r="F183" s="76" t="s">
        <v>135</v>
      </c>
      <c r="G183" s="74" t="s">
        <v>179</v>
      </c>
      <c r="H183" s="61">
        <v>43961</v>
      </c>
      <c r="I183" s="62">
        <v>1</v>
      </c>
      <c r="J183" s="77" t="s">
        <v>456</v>
      </c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78"/>
      <c r="AS183" s="77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43"/>
      <c r="BI183" s="43"/>
      <c r="BJ183" s="43"/>
      <c r="BK183" s="43"/>
      <c r="BL183" s="43"/>
      <c r="BM183" s="43"/>
      <c r="BN183" s="43"/>
      <c r="BO183" s="43"/>
      <c r="BP183" s="43"/>
      <c r="BQ183" s="43"/>
      <c r="BR183" s="43"/>
      <c r="BS183" s="43"/>
      <c r="BT183" s="43"/>
      <c r="BU183" s="43"/>
      <c r="BV183" s="43"/>
      <c r="BW183" s="43"/>
      <c r="BX183" s="43"/>
      <c r="BY183" s="43"/>
      <c r="BZ183" s="43"/>
      <c r="CA183" s="78"/>
      <c r="CB183" s="79" t="s">
        <v>13</v>
      </c>
      <c r="CC183" s="43"/>
      <c r="CD183" s="43"/>
      <c r="CE183" s="43"/>
      <c r="CF183" s="43"/>
      <c r="CG183" s="43"/>
      <c r="CH183" s="43"/>
      <c r="CI183" s="43"/>
      <c r="CJ183" s="43"/>
      <c r="CK183" s="43"/>
      <c r="CL183" s="43"/>
      <c r="CM183" s="43"/>
      <c r="CN183" s="43"/>
      <c r="CO183" s="43"/>
      <c r="CP183" s="43"/>
      <c r="CQ183" s="43"/>
      <c r="CR183" s="43"/>
      <c r="CS183" s="43"/>
      <c r="CT183" s="43"/>
      <c r="CU183" s="43"/>
      <c r="CV183" s="43"/>
      <c r="CW183" s="43"/>
      <c r="CX183" s="43"/>
      <c r="CY183" s="43"/>
      <c r="CZ183" s="43"/>
      <c r="DA183" s="43"/>
      <c r="DB183" s="43"/>
      <c r="DC183" s="43"/>
      <c r="DD183" s="43"/>
      <c r="DE183" s="43"/>
      <c r="DF183" s="43"/>
      <c r="DG183" s="43"/>
      <c r="DH183" s="43"/>
      <c r="DI183" s="43"/>
      <c r="DJ183" s="43"/>
      <c r="DK183" s="43"/>
      <c r="DL183" s="43"/>
      <c r="DM183" s="43"/>
      <c r="DN183" s="43"/>
      <c r="DO183" s="43"/>
      <c r="DP183" s="43"/>
      <c r="DQ183" s="43"/>
      <c r="DR183" s="43"/>
      <c r="DS183" s="43"/>
      <c r="DT183" s="43"/>
      <c r="DU183" s="43"/>
      <c r="DV183" s="43"/>
      <c r="DW183" s="43"/>
      <c r="DX183" s="43"/>
      <c r="DY183" s="43"/>
      <c r="DZ183" s="43"/>
    </row>
    <row r="184" spans="2:130" s="46" customFormat="1" ht="13.5" customHeight="1" x14ac:dyDescent="0.15">
      <c r="B184" s="99" t="str">
        <f>IF(G184&lt;&gt;"",SUBTOTAL(3,$G$5:G184),"")</f>
        <v/>
      </c>
      <c r="C184" s="75"/>
      <c r="D184" s="75"/>
      <c r="E184" s="76"/>
      <c r="F184" s="76"/>
      <c r="G184" s="74"/>
      <c r="H184" s="61"/>
      <c r="I184" s="70">
        <v>1</v>
      </c>
      <c r="J184" s="77" t="s">
        <v>457</v>
      </c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  <c r="AJ184" s="43"/>
      <c r="AK184" s="43"/>
      <c r="AL184" s="43"/>
      <c r="AM184" s="43"/>
      <c r="AN184" s="43"/>
      <c r="AO184" s="43"/>
      <c r="AP184" s="43"/>
      <c r="AQ184" s="43"/>
      <c r="AR184" s="78"/>
      <c r="AS184" s="77"/>
      <c r="AT184" s="43"/>
      <c r="AU184" s="43"/>
      <c r="AV184" s="43"/>
      <c r="AW184" s="43"/>
      <c r="AX184" s="43"/>
      <c r="AY184" s="43"/>
      <c r="AZ184" s="43"/>
      <c r="BA184" s="43"/>
      <c r="BB184" s="43"/>
      <c r="BC184" s="43"/>
      <c r="BD184" s="43"/>
      <c r="BE184" s="43"/>
      <c r="BF184" s="43"/>
      <c r="BG184" s="43"/>
      <c r="BH184" s="43"/>
      <c r="BI184" s="43"/>
      <c r="BJ184" s="43"/>
      <c r="BK184" s="43"/>
      <c r="BL184" s="43"/>
      <c r="BM184" s="43"/>
      <c r="BN184" s="43"/>
      <c r="BO184" s="43"/>
      <c r="BP184" s="43"/>
      <c r="BQ184" s="43"/>
      <c r="BR184" s="43"/>
      <c r="BS184" s="43"/>
      <c r="BT184" s="43"/>
      <c r="BU184" s="43"/>
      <c r="BV184" s="43"/>
      <c r="BW184" s="43"/>
      <c r="BX184" s="43"/>
      <c r="BY184" s="43"/>
      <c r="BZ184" s="43"/>
      <c r="CA184" s="78"/>
      <c r="CB184" s="79"/>
      <c r="CC184" s="43"/>
      <c r="CD184" s="43"/>
      <c r="CE184" s="43"/>
      <c r="CF184" s="43"/>
      <c r="CG184" s="43"/>
      <c r="CH184" s="43"/>
      <c r="CI184" s="43"/>
      <c r="CJ184" s="43"/>
      <c r="CK184" s="43"/>
      <c r="CL184" s="43"/>
      <c r="CM184" s="43"/>
      <c r="CN184" s="43"/>
      <c r="CO184" s="43"/>
      <c r="CP184" s="43"/>
      <c r="CQ184" s="43"/>
      <c r="CR184" s="43"/>
      <c r="CS184" s="43"/>
      <c r="CT184" s="43"/>
      <c r="CU184" s="43"/>
      <c r="CV184" s="43"/>
      <c r="CW184" s="43"/>
      <c r="CX184" s="43"/>
      <c r="CY184" s="43"/>
      <c r="CZ184" s="43"/>
      <c r="DA184" s="43"/>
      <c r="DB184" s="43"/>
      <c r="DC184" s="43"/>
      <c r="DD184" s="43"/>
      <c r="DE184" s="43"/>
      <c r="DF184" s="43"/>
      <c r="DG184" s="43"/>
      <c r="DH184" s="43"/>
      <c r="DI184" s="43"/>
      <c r="DJ184" s="43"/>
      <c r="DK184" s="43"/>
      <c r="DL184" s="43"/>
      <c r="DM184" s="43"/>
      <c r="DN184" s="43"/>
      <c r="DO184" s="43"/>
      <c r="DP184" s="43"/>
      <c r="DQ184" s="43"/>
      <c r="DR184" s="43"/>
      <c r="DS184" s="43"/>
      <c r="DT184" s="43"/>
      <c r="DU184" s="43"/>
      <c r="DV184" s="43"/>
      <c r="DW184" s="43"/>
      <c r="DX184" s="43"/>
      <c r="DY184" s="43"/>
      <c r="DZ184" s="43"/>
    </row>
    <row r="185" spans="2:130" s="46" customFormat="1" ht="13.5" customHeight="1" x14ac:dyDescent="0.15">
      <c r="B185" s="99" t="str">
        <f>IF(G185&lt;&gt;"",SUBTOTAL(3,$G$5:G185),"")</f>
        <v/>
      </c>
      <c r="C185" s="75"/>
      <c r="D185" s="75"/>
      <c r="E185" s="76"/>
      <c r="F185" s="76"/>
      <c r="G185" s="74"/>
      <c r="H185" s="61"/>
      <c r="I185" s="70">
        <v>1</v>
      </c>
      <c r="J185" s="77" t="s">
        <v>458</v>
      </c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  <c r="AA185" s="43"/>
      <c r="AB185" s="43"/>
      <c r="AC185" s="43"/>
      <c r="AD185" s="43"/>
      <c r="AE185" s="43"/>
      <c r="AF185" s="43"/>
      <c r="AG185" s="43"/>
      <c r="AH185" s="43"/>
      <c r="AI185" s="43"/>
      <c r="AJ185" s="43"/>
      <c r="AK185" s="43"/>
      <c r="AL185" s="43"/>
      <c r="AM185" s="43"/>
      <c r="AN185" s="43"/>
      <c r="AO185" s="43"/>
      <c r="AP185" s="43"/>
      <c r="AQ185" s="43"/>
      <c r="AR185" s="78"/>
      <c r="AS185" s="77"/>
      <c r="AT185" s="43"/>
      <c r="AU185" s="43"/>
      <c r="AV185" s="43"/>
      <c r="AW185" s="43"/>
      <c r="AX185" s="43"/>
      <c r="AY185" s="43"/>
      <c r="AZ185" s="43"/>
      <c r="BA185" s="43"/>
      <c r="BB185" s="43"/>
      <c r="BC185" s="43"/>
      <c r="BD185" s="43"/>
      <c r="BE185" s="43"/>
      <c r="BF185" s="43"/>
      <c r="BG185" s="43"/>
      <c r="BH185" s="43"/>
      <c r="BI185" s="43"/>
      <c r="BJ185" s="43"/>
      <c r="BK185" s="43"/>
      <c r="BL185" s="43"/>
      <c r="BM185" s="43"/>
      <c r="BN185" s="43"/>
      <c r="BO185" s="43"/>
      <c r="BP185" s="43"/>
      <c r="BQ185" s="43"/>
      <c r="BR185" s="43"/>
      <c r="BS185" s="43"/>
      <c r="BT185" s="43"/>
      <c r="BU185" s="43"/>
      <c r="BV185" s="43"/>
      <c r="BW185" s="43"/>
      <c r="BX185" s="43"/>
      <c r="BY185" s="43"/>
      <c r="BZ185" s="43"/>
      <c r="CA185" s="78"/>
      <c r="CB185" s="79"/>
      <c r="CC185" s="43"/>
      <c r="CD185" s="43"/>
      <c r="CE185" s="43"/>
      <c r="CF185" s="43"/>
      <c r="CG185" s="43"/>
      <c r="CH185" s="43"/>
      <c r="CI185" s="43"/>
      <c r="CJ185" s="43"/>
      <c r="CK185" s="43"/>
      <c r="CL185" s="43"/>
      <c r="CM185" s="43"/>
      <c r="CN185" s="43"/>
      <c r="CO185" s="43"/>
      <c r="CP185" s="43"/>
      <c r="CQ185" s="43"/>
      <c r="CR185" s="43"/>
      <c r="CS185" s="43"/>
      <c r="CT185" s="43"/>
      <c r="CU185" s="43"/>
      <c r="CV185" s="43"/>
      <c r="CW185" s="43"/>
      <c r="CX185" s="43"/>
      <c r="CY185" s="43"/>
      <c r="CZ185" s="43"/>
      <c r="DA185" s="43"/>
      <c r="DB185" s="43"/>
      <c r="DC185" s="43"/>
      <c r="DD185" s="43"/>
      <c r="DE185" s="43"/>
      <c r="DF185" s="43"/>
      <c r="DG185" s="43"/>
      <c r="DH185" s="43"/>
      <c r="DI185" s="43"/>
      <c r="DJ185" s="43"/>
      <c r="DK185" s="43"/>
      <c r="DL185" s="43"/>
      <c r="DM185" s="43"/>
      <c r="DN185" s="43"/>
      <c r="DO185" s="43"/>
      <c r="DP185" s="43"/>
      <c r="DQ185" s="43"/>
      <c r="DR185" s="43"/>
      <c r="DS185" s="43"/>
      <c r="DT185" s="43"/>
      <c r="DU185" s="43"/>
      <c r="DV185" s="43"/>
      <c r="DW185" s="43"/>
      <c r="DX185" s="43"/>
      <c r="DY185" s="43"/>
      <c r="DZ185" s="43"/>
    </row>
    <row r="186" spans="2:130" s="46" customFormat="1" ht="13.5" customHeight="1" x14ac:dyDescent="0.15">
      <c r="B186" s="99" t="str">
        <f>IF(G186&lt;&gt;"",SUBTOTAL(3,$G$5:G186),"")</f>
        <v/>
      </c>
      <c r="C186" s="75"/>
      <c r="D186" s="75"/>
      <c r="E186" s="76"/>
      <c r="F186" s="76"/>
      <c r="G186" s="74"/>
      <c r="H186" s="61"/>
      <c r="I186" s="70">
        <v>1</v>
      </c>
      <c r="J186" s="77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  <c r="AA186" s="43"/>
      <c r="AB186" s="43"/>
      <c r="AC186" s="43"/>
      <c r="AD186" s="43"/>
      <c r="AE186" s="43"/>
      <c r="AF186" s="43"/>
      <c r="AG186" s="43"/>
      <c r="AH186" s="43"/>
      <c r="AI186" s="43"/>
      <c r="AJ186" s="43"/>
      <c r="AK186" s="43"/>
      <c r="AL186" s="43"/>
      <c r="AM186" s="43"/>
      <c r="AN186" s="43"/>
      <c r="AO186" s="43"/>
      <c r="AP186" s="43"/>
      <c r="AQ186" s="43"/>
      <c r="AR186" s="78"/>
      <c r="AS186" s="77"/>
      <c r="AT186" s="43"/>
      <c r="AU186" s="43"/>
      <c r="AV186" s="43"/>
      <c r="AW186" s="43"/>
      <c r="AX186" s="43"/>
      <c r="AY186" s="43"/>
      <c r="AZ186" s="43"/>
      <c r="BA186" s="43"/>
      <c r="BB186" s="43"/>
      <c r="BC186" s="43"/>
      <c r="BD186" s="43"/>
      <c r="BE186" s="43"/>
      <c r="BF186" s="43"/>
      <c r="BG186" s="43"/>
      <c r="BH186" s="43"/>
      <c r="BI186" s="43"/>
      <c r="BJ186" s="43"/>
      <c r="BK186" s="43"/>
      <c r="BL186" s="43"/>
      <c r="BM186" s="43"/>
      <c r="BN186" s="43"/>
      <c r="BO186" s="43"/>
      <c r="BP186" s="43"/>
      <c r="BQ186" s="43"/>
      <c r="BR186" s="43"/>
      <c r="BS186" s="43"/>
      <c r="BT186" s="43"/>
      <c r="BU186" s="43"/>
      <c r="BV186" s="43"/>
      <c r="BW186" s="43"/>
      <c r="BX186" s="43"/>
      <c r="BY186" s="43"/>
      <c r="BZ186" s="43"/>
      <c r="CA186" s="78"/>
      <c r="CB186" s="79"/>
      <c r="CC186" s="43"/>
      <c r="CD186" s="43"/>
      <c r="CE186" s="43"/>
      <c r="CF186" s="43"/>
      <c r="CG186" s="43"/>
      <c r="CH186" s="43"/>
      <c r="CI186" s="43"/>
      <c r="CJ186" s="43"/>
      <c r="CK186" s="43"/>
      <c r="CL186" s="43"/>
      <c r="CM186" s="43"/>
      <c r="CN186" s="43"/>
      <c r="CO186" s="43"/>
      <c r="CP186" s="43"/>
      <c r="CQ186" s="43"/>
      <c r="CR186" s="43"/>
      <c r="CS186" s="43"/>
      <c r="CT186" s="43"/>
      <c r="CU186" s="43"/>
      <c r="CV186" s="43"/>
      <c r="CW186" s="43"/>
      <c r="CX186" s="43"/>
      <c r="CY186" s="43"/>
      <c r="CZ186" s="43"/>
      <c r="DA186" s="43"/>
      <c r="DB186" s="43"/>
      <c r="DC186" s="43"/>
      <c r="DD186" s="43"/>
      <c r="DE186" s="43"/>
      <c r="DF186" s="43"/>
      <c r="DG186" s="43"/>
      <c r="DH186" s="43"/>
      <c r="DI186" s="43"/>
      <c r="DJ186" s="43"/>
      <c r="DK186" s="43"/>
      <c r="DL186" s="43"/>
      <c r="DM186" s="43"/>
      <c r="DN186" s="43"/>
      <c r="DO186" s="43"/>
      <c r="DP186" s="43"/>
      <c r="DQ186" s="43"/>
      <c r="DR186" s="43"/>
      <c r="DS186" s="43"/>
      <c r="DT186" s="43"/>
      <c r="DU186" s="43"/>
      <c r="DV186" s="43"/>
      <c r="DW186" s="43"/>
      <c r="DX186" s="43"/>
      <c r="DY186" s="43"/>
      <c r="DZ186" s="43"/>
    </row>
    <row r="187" spans="2:130" s="46" customFormat="1" ht="13.5" customHeight="1" x14ac:dyDescent="0.15">
      <c r="B187" s="75">
        <f>IF(G187&lt;&gt;"",SUBTOTAL(3,$G$5:G187),"")</f>
        <v>56</v>
      </c>
      <c r="C187" s="75"/>
      <c r="D187" s="75"/>
      <c r="E187" s="76" t="s">
        <v>139</v>
      </c>
      <c r="F187" s="76" t="s">
        <v>135</v>
      </c>
      <c r="G187" s="74" t="s">
        <v>180</v>
      </c>
      <c r="H187" s="61">
        <v>43995</v>
      </c>
      <c r="I187" s="62">
        <v>1</v>
      </c>
      <c r="J187" s="77" t="s">
        <v>424</v>
      </c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  <c r="AA187" s="43"/>
      <c r="AB187" s="43"/>
      <c r="AC187" s="43"/>
      <c r="AD187" s="43"/>
      <c r="AE187" s="43"/>
      <c r="AF187" s="43"/>
      <c r="AG187" s="43"/>
      <c r="AH187" s="43"/>
      <c r="AI187" s="43"/>
      <c r="AJ187" s="43"/>
      <c r="AK187" s="43"/>
      <c r="AL187" s="43"/>
      <c r="AM187" s="43"/>
      <c r="AN187" s="43"/>
      <c r="AO187" s="43"/>
      <c r="AP187" s="43"/>
      <c r="AQ187" s="43"/>
      <c r="AR187" s="78"/>
      <c r="AS187" s="77"/>
      <c r="AT187" s="43"/>
      <c r="AU187" s="43"/>
      <c r="AV187" s="43"/>
      <c r="AW187" s="43"/>
      <c r="AX187" s="43"/>
      <c r="AY187" s="43"/>
      <c r="AZ187" s="43"/>
      <c r="BA187" s="43"/>
      <c r="BB187" s="43"/>
      <c r="BC187" s="43"/>
      <c r="BD187" s="43"/>
      <c r="BE187" s="43"/>
      <c r="BF187" s="43"/>
      <c r="BG187" s="43"/>
      <c r="BH187" s="43"/>
      <c r="BI187" s="43"/>
      <c r="BJ187" s="43"/>
      <c r="BK187" s="43"/>
      <c r="BL187" s="43"/>
      <c r="BM187" s="43"/>
      <c r="BN187" s="43"/>
      <c r="BO187" s="43"/>
      <c r="BP187" s="43"/>
      <c r="BQ187" s="43"/>
      <c r="BR187" s="43"/>
      <c r="BS187" s="43"/>
      <c r="BT187" s="43"/>
      <c r="BU187" s="43"/>
      <c r="BV187" s="43"/>
      <c r="BW187" s="43"/>
      <c r="BX187" s="43"/>
      <c r="BY187" s="43"/>
      <c r="BZ187" s="43"/>
      <c r="CA187" s="78"/>
      <c r="CB187" s="74"/>
      <c r="CC187" s="43"/>
      <c r="CD187" s="43"/>
      <c r="CE187" s="43"/>
      <c r="CF187" s="43"/>
      <c r="CG187" s="43"/>
      <c r="CH187" s="43"/>
      <c r="CI187" s="43"/>
      <c r="CJ187" s="43"/>
      <c r="CK187" s="43"/>
      <c r="CL187" s="43"/>
      <c r="CM187" s="43"/>
      <c r="CN187" s="43"/>
      <c r="CO187" s="43"/>
      <c r="CP187" s="43"/>
      <c r="CQ187" s="43"/>
      <c r="CR187" s="43"/>
      <c r="CS187" s="43"/>
      <c r="CT187" s="43"/>
      <c r="CU187" s="43"/>
      <c r="CV187" s="43"/>
      <c r="CW187" s="43"/>
      <c r="CX187" s="43"/>
      <c r="CY187" s="43"/>
      <c r="CZ187" s="43"/>
      <c r="DA187" s="43"/>
      <c r="DB187" s="43"/>
      <c r="DC187" s="43"/>
      <c r="DD187" s="43"/>
      <c r="DE187" s="43"/>
      <c r="DF187" s="43"/>
      <c r="DG187" s="43"/>
      <c r="DH187" s="43"/>
      <c r="DI187" s="43"/>
      <c r="DJ187" s="43"/>
      <c r="DK187" s="43"/>
      <c r="DL187" s="43"/>
      <c r="DM187" s="43"/>
      <c r="DN187" s="43"/>
      <c r="DO187" s="43"/>
      <c r="DP187" s="43"/>
      <c r="DQ187" s="43"/>
      <c r="DR187" s="43"/>
      <c r="DS187" s="43"/>
      <c r="DT187" s="43"/>
      <c r="DU187" s="43"/>
      <c r="DV187" s="43"/>
      <c r="DW187" s="43"/>
      <c r="DX187" s="43"/>
      <c r="DY187" s="43"/>
      <c r="DZ187" s="43"/>
    </row>
    <row r="188" spans="2:130" s="46" customFormat="1" ht="13.5" customHeight="1" x14ac:dyDescent="0.15">
      <c r="B188" s="99" t="str">
        <f>IF(G188&lt;&gt;"",SUBTOTAL(3,$G$5:G188),"")</f>
        <v/>
      </c>
      <c r="C188" s="75"/>
      <c r="D188" s="75"/>
      <c r="E188" s="76"/>
      <c r="F188" s="76"/>
      <c r="G188" s="74"/>
      <c r="H188" s="61"/>
      <c r="I188" s="70">
        <v>1</v>
      </c>
      <c r="J188" s="77" t="s">
        <v>425</v>
      </c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  <c r="AH188" s="43"/>
      <c r="AI188" s="43"/>
      <c r="AJ188" s="43"/>
      <c r="AK188" s="43"/>
      <c r="AL188" s="43"/>
      <c r="AM188" s="43"/>
      <c r="AN188" s="43"/>
      <c r="AO188" s="43"/>
      <c r="AP188" s="43"/>
      <c r="AQ188" s="43"/>
      <c r="AR188" s="78"/>
      <c r="AS188" s="77"/>
      <c r="AT188" s="43"/>
      <c r="AU188" s="43"/>
      <c r="AV188" s="43"/>
      <c r="AW188" s="43"/>
      <c r="AX188" s="43"/>
      <c r="AY188" s="43"/>
      <c r="AZ188" s="43"/>
      <c r="BA188" s="43"/>
      <c r="BB188" s="43"/>
      <c r="BC188" s="43"/>
      <c r="BD188" s="43"/>
      <c r="BE188" s="43"/>
      <c r="BF188" s="43"/>
      <c r="BG188" s="43"/>
      <c r="BH188" s="43"/>
      <c r="BI188" s="43"/>
      <c r="BJ188" s="43"/>
      <c r="BK188" s="43"/>
      <c r="BL188" s="43"/>
      <c r="BM188" s="43"/>
      <c r="BN188" s="43"/>
      <c r="BO188" s="43"/>
      <c r="BP188" s="43"/>
      <c r="BQ188" s="43"/>
      <c r="BR188" s="43"/>
      <c r="BS188" s="43"/>
      <c r="BT188" s="43"/>
      <c r="BU188" s="43"/>
      <c r="BV188" s="43"/>
      <c r="BW188" s="43"/>
      <c r="BX188" s="43"/>
      <c r="BY188" s="43"/>
      <c r="BZ188" s="43"/>
      <c r="CA188" s="78"/>
      <c r="CB188" s="74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3"/>
      <c r="CO188" s="43"/>
      <c r="CP188" s="43"/>
      <c r="CQ188" s="43"/>
      <c r="CR188" s="43"/>
      <c r="CS188" s="43"/>
      <c r="CT188" s="43"/>
      <c r="CU188" s="43"/>
      <c r="CV188" s="43"/>
      <c r="CW188" s="43"/>
      <c r="CX188" s="43"/>
      <c r="CY188" s="43"/>
      <c r="CZ188" s="43"/>
      <c r="DA188" s="43"/>
      <c r="DB188" s="43"/>
      <c r="DC188" s="43"/>
      <c r="DD188" s="43"/>
      <c r="DE188" s="43"/>
      <c r="DF188" s="43"/>
      <c r="DG188" s="43"/>
      <c r="DH188" s="43"/>
      <c r="DI188" s="43"/>
      <c r="DJ188" s="43"/>
      <c r="DK188" s="43"/>
      <c r="DL188" s="43"/>
      <c r="DM188" s="43"/>
      <c r="DN188" s="43"/>
      <c r="DO188" s="43"/>
      <c r="DP188" s="43"/>
      <c r="DQ188" s="43"/>
      <c r="DR188" s="43"/>
      <c r="DS188" s="43"/>
      <c r="DT188" s="43"/>
      <c r="DU188" s="43"/>
      <c r="DV188" s="43"/>
      <c r="DW188" s="43"/>
      <c r="DX188" s="43"/>
      <c r="DY188" s="43"/>
      <c r="DZ188" s="43"/>
    </row>
    <row r="189" spans="2:130" s="46" customFormat="1" ht="13.5" customHeight="1" x14ac:dyDescent="0.15">
      <c r="B189" s="99" t="str">
        <f>IF(G189&lt;&gt;"",SUBTOTAL(3,$G$5:G189),"")</f>
        <v/>
      </c>
      <c r="C189" s="75"/>
      <c r="D189" s="75"/>
      <c r="E189" s="76"/>
      <c r="F189" s="76"/>
      <c r="G189" s="74"/>
      <c r="H189" s="61"/>
      <c r="I189" s="70">
        <v>1</v>
      </c>
      <c r="J189" s="77" t="s">
        <v>426</v>
      </c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  <c r="AK189" s="43"/>
      <c r="AL189" s="43"/>
      <c r="AM189" s="43"/>
      <c r="AN189" s="43"/>
      <c r="AO189" s="43"/>
      <c r="AP189" s="43"/>
      <c r="AQ189" s="43"/>
      <c r="AR189" s="78"/>
      <c r="AS189" s="77"/>
      <c r="AT189" s="43"/>
      <c r="AU189" s="43"/>
      <c r="AV189" s="43"/>
      <c r="AW189" s="43"/>
      <c r="AX189" s="43"/>
      <c r="AY189" s="43"/>
      <c r="AZ189" s="43"/>
      <c r="BA189" s="43"/>
      <c r="BB189" s="43"/>
      <c r="BC189" s="43"/>
      <c r="BD189" s="43"/>
      <c r="BE189" s="43"/>
      <c r="BF189" s="43"/>
      <c r="BG189" s="43"/>
      <c r="BH189" s="43"/>
      <c r="BI189" s="43"/>
      <c r="BJ189" s="43"/>
      <c r="BK189" s="43"/>
      <c r="BL189" s="43"/>
      <c r="BM189" s="43"/>
      <c r="BN189" s="43"/>
      <c r="BO189" s="43"/>
      <c r="BP189" s="43"/>
      <c r="BQ189" s="43"/>
      <c r="BR189" s="43"/>
      <c r="BS189" s="43"/>
      <c r="BT189" s="43"/>
      <c r="BU189" s="43"/>
      <c r="BV189" s="43"/>
      <c r="BW189" s="43"/>
      <c r="BX189" s="43"/>
      <c r="BY189" s="43"/>
      <c r="BZ189" s="43"/>
      <c r="CA189" s="78"/>
      <c r="CB189" s="74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3"/>
      <c r="CO189" s="43"/>
      <c r="CP189" s="43"/>
      <c r="CQ189" s="43"/>
      <c r="CR189" s="43"/>
      <c r="CS189" s="43"/>
      <c r="CT189" s="43"/>
      <c r="CU189" s="43"/>
      <c r="CV189" s="43"/>
      <c r="CW189" s="43"/>
      <c r="CX189" s="43"/>
      <c r="CY189" s="43"/>
      <c r="CZ189" s="43"/>
      <c r="DA189" s="43"/>
      <c r="DB189" s="43"/>
      <c r="DC189" s="43"/>
      <c r="DD189" s="43"/>
      <c r="DE189" s="43"/>
      <c r="DF189" s="43"/>
      <c r="DG189" s="43"/>
      <c r="DH189" s="43"/>
      <c r="DI189" s="43"/>
      <c r="DJ189" s="43"/>
      <c r="DK189" s="43"/>
      <c r="DL189" s="43"/>
      <c r="DM189" s="43"/>
      <c r="DN189" s="43"/>
      <c r="DO189" s="43"/>
      <c r="DP189" s="43"/>
      <c r="DQ189" s="43"/>
      <c r="DR189" s="43"/>
      <c r="DS189" s="43"/>
      <c r="DT189" s="43"/>
      <c r="DU189" s="43"/>
      <c r="DV189" s="43"/>
      <c r="DW189" s="43"/>
      <c r="DX189" s="43"/>
      <c r="DY189" s="43"/>
      <c r="DZ189" s="43"/>
    </row>
    <row r="190" spans="2:130" s="46" customFormat="1" ht="13.5" customHeight="1" x14ac:dyDescent="0.15">
      <c r="B190" s="99" t="str">
        <f>IF(G190&lt;&gt;"",SUBTOTAL(3,$G$5:G190),"")</f>
        <v/>
      </c>
      <c r="C190" s="75"/>
      <c r="D190" s="75"/>
      <c r="E190" s="76"/>
      <c r="F190" s="76"/>
      <c r="G190" s="74"/>
      <c r="H190" s="61"/>
      <c r="I190" s="70">
        <v>1</v>
      </c>
      <c r="J190" s="77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  <c r="AH190" s="43"/>
      <c r="AI190" s="43"/>
      <c r="AJ190" s="43"/>
      <c r="AK190" s="43"/>
      <c r="AL190" s="43"/>
      <c r="AM190" s="43"/>
      <c r="AN190" s="43"/>
      <c r="AO190" s="43"/>
      <c r="AP190" s="43"/>
      <c r="AQ190" s="43"/>
      <c r="AR190" s="78"/>
      <c r="AS190" s="77"/>
      <c r="AT190" s="43"/>
      <c r="AU190" s="43"/>
      <c r="AV190" s="43"/>
      <c r="AW190" s="43"/>
      <c r="AX190" s="43"/>
      <c r="AY190" s="43"/>
      <c r="AZ190" s="43"/>
      <c r="BA190" s="43"/>
      <c r="BB190" s="43"/>
      <c r="BC190" s="43"/>
      <c r="BD190" s="43"/>
      <c r="BE190" s="43"/>
      <c r="BF190" s="43"/>
      <c r="BG190" s="43"/>
      <c r="BH190" s="43"/>
      <c r="BI190" s="43"/>
      <c r="BJ190" s="43"/>
      <c r="BK190" s="43"/>
      <c r="BL190" s="43"/>
      <c r="BM190" s="43"/>
      <c r="BN190" s="43"/>
      <c r="BO190" s="43"/>
      <c r="BP190" s="43"/>
      <c r="BQ190" s="43"/>
      <c r="BR190" s="43"/>
      <c r="BS190" s="43"/>
      <c r="BT190" s="43"/>
      <c r="BU190" s="43"/>
      <c r="BV190" s="43"/>
      <c r="BW190" s="43"/>
      <c r="BX190" s="43"/>
      <c r="BY190" s="43"/>
      <c r="BZ190" s="43"/>
      <c r="CA190" s="78"/>
      <c r="CB190" s="74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3"/>
      <c r="CO190" s="43"/>
      <c r="CP190" s="43"/>
      <c r="CQ190" s="43"/>
      <c r="CR190" s="43"/>
      <c r="CS190" s="43"/>
      <c r="CT190" s="43"/>
      <c r="CU190" s="43"/>
      <c r="CV190" s="43"/>
      <c r="CW190" s="43"/>
      <c r="CX190" s="43"/>
      <c r="CY190" s="43"/>
      <c r="CZ190" s="43"/>
      <c r="DA190" s="43"/>
      <c r="DB190" s="43"/>
      <c r="DC190" s="43"/>
      <c r="DD190" s="43"/>
      <c r="DE190" s="43"/>
      <c r="DF190" s="43"/>
      <c r="DG190" s="43"/>
      <c r="DH190" s="43"/>
      <c r="DI190" s="43"/>
      <c r="DJ190" s="43"/>
      <c r="DK190" s="43"/>
      <c r="DL190" s="43"/>
      <c r="DM190" s="43"/>
      <c r="DN190" s="43"/>
      <c r="DO190" s="43"/>
      <c r="DP190" s="43"/>
      <c r="DQ190" s="43"/>
      <c r="DR190" s="43"/>
      <c r="DS190" s="43"/>
      <c r="DT190" s="43"/>
      <c r="DU190" s="43"/>
      <c r="DV190" s="43"/>
      <c r="DW190" s="43"/>
      <c r="DX190" s="43"/>
      <c r="DY190" s="43"/>
      <c r="DZ190" s="43"/>
    </row>
    <row r="191" spans="2:130" s="46" customFormat="1" ht="13.5" customHeight="1" x14ac:dyDescent="0.15">
      <c r="B191" s="75">
        <f>IF(G191&lt;&gt;"",SUBTOTAL(3,$G$5:G191),"")</f>
        <v>57</v>
      </c>
      <c r="C191" s="75"/>
      <c r="D191" s="75"/>
      <c r="E191" s="76" t="s">
        <v>139</v>
      </c>
      <c r="F191" s="76" t="s">
        <v>135</v>
      </c>
      <c r="G191" s="74" t="s">
        <v>181</v>
      </c>
      <c r="H191" s="61">
        <v>43961</v>
      </c>
      <c r="I191" s="62">
        <v>1</v>
      </c>
      <c r="J191" s="77" t="s">
        <v>459</v>
      </c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  <c r="AK191" s="43"/>
      <c r="AL191" s="43"/>
      <c r="AM191" s="43"/>
      <c r="AN191" s="43"/>
      <c r="AO191" s="43"/>
      <c r="AP191" s="43"/>
      <c r="AQ191" s="43"/>
      <c r="AR191" s="78"/>
      <c r="AS191" s="77"/>
      <c r="AT191" s="43"/>
      <c r="AU191" s="43"/>
      <c r="AV191" s="43"/>
      <c r="AW191" s="43"/>
      <c r="AX191" s="43"/>
      <c r="AY191" s="43"/>
      <c r="AZ191" s="43"/>
      <c r="BA191" s="43"/>
      <c r="BB191" s="43"/>
      <c r="BC191" s="43"/>
      <c r="BD191" s="43"/>
      <c r="BE191" s="43"/>
      <c r="BF191" s="43"/>
      <c r="BG191" s="43"/>
      <c r="BH191" s="43"/>
      <c r="BI191" s="43"/>
      <c r="BJ191" s="43"/>
      <c r="BK191" s="43"/>
      <c r="BL191" s="43"/>
      <c r="BM191" s="43"/>
      <c r="BN191" s="43"/>
      <c r="BO191" s="43"/>
      <c r="BP191" s="43"/>
      <c r="BQ191" s="43"/>
      <c r="BR191" s="43"/>
      <c r="BS191" s="43"/>
      <c r="BT191" s="43"/>
      <c r="BU191" s="43"/>
      <c r="BV191" s="43"/>
      <c r="BW191" s="43"/>
      <c r="BX191" s="43"/>
      <c r="BY191" s="43"/>
      <c r="BZ191" s="43"/>
      <c r="CA191" s="78"/>
      <c r="CB191" s="74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3"/>
      <c r="CO191" s="43"/>
      <c r="CP191" s="43"/>
      <c r="CQ191" s="43"/>
      <c r="CR191" s="43"/>
      <c r="CS191" s="43"/>
      <c r="CT191" s="43"/>
      <c r="CU191" s="43"/>
      <c r="CV191" s="43"/>
      <c r="CW191" s="43"/>
      <c r="CX191" s="43"/>
      <c r="CY191" s="43"/>
      <c r="CZ191" s="43"/>
      <c r="DA191" s="43"/>
      <c r="DB191" s="43"/>
      <c r="DC191" s="43"/>
      <c r="DD191" s="43"/>
      <c r="DE191" s="43"/>
      <c r="DF191" s="43"/>
      <c r="DG191" s="43"/>
      <c r="DH191" s="43"/>
      <c r="DI191" s="43"/>
      <c r="DJ191" s="43"/>
      <c r="DK191" s="43"/>
      <c r="DL191" s="43"/>
      <c r="DM191" s="43"/>
      <c r="DN191" s="43"/>
      <c r="DO191" s="43"/>
      <c r="DP191" s="43"/>
      <c r="DQ191" s="43"/>
      <c r="DR191" s="43"/>
      <c r="DS191" s="43"/>
      <c r="DT191" s="43"/>
      <c r="DU191" s="43"/>
      <c r="DV191" s="43"/>
      <c r="DW191" s="43"/>
      <c r="DX191" s="43"/>
      <c r="DY191" s="43"/>
      <c r="DZ191" s="43"/>
    </row>
    <row r="192" spans="2:130" s="46" customFormat="1" ht="13.5" customHeight="1" x14ac:dyDescent="0.15">
      <c r="B192" s="99" t="str">
        <f>IF(G192&lt;&gt;"",SUBTOTAL(3,$G$5:G192),"")</f>
        <v/>
      </c>
      <c r="C192" s="75"/>
      <c r="D192" s="75"/>
      <c r="E192" s="76"/>
      <c r="F192" s="76"/>
      <c r="G192" s="74"/>
      <c r="H192" s="61"/>
      <c r="I192" s="70">
        <v>1</v>
      </c>
      <c r="J192" s="77" t="s">
        <v>460</v>
      </c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  <c r="AJ192" s="43"/>
      <c r="AK192" s="43"/>
      <c r="AL192" s="43"/>
      <c r="AM192" s="43"/>
      <c r="AN192" s="43"/>
      <c r="AO192" s="43"/>
      <c r="AP192" s="43"/>
      <c r="AQ192" s="43"/>
      <c r="AR192" s="78"/>
      <c r="AS192" s="77"/>
      <c r="AT192" s="43"/>
      <c r="AU192" s="43"/>
      <c r="AV192" s="43"/>
      <c r="AW192" s="43"/>
      <c r="AX192" s="43"/>
      <c r="AY192" s="43"/>
      <c r="AZ192" s="43"/>
      <c r="BA192" s="43"/>
      <c r="BB192" s="43"/>
      <c r="BC192" s="43"/>
      <c r="BD192" s="43"/>
      <c r="BE192" s="43"/>
      <c r="BF192" s="43"/>
      <c r="BG192" s="43"/>
      <c r="BH192" s="43"/>
      <c r="BI192" s="43"/>
      <c r="BJ192" s="43"/>
      <c r="BK192" s="43"/>
      <c r="BL192" s="43"/>
      <c r="BM192" s="43"/>
      <c r="BN192" s="43"/>
      <c r="BO192" s="43"/>
      <c r="BP192" s="43"/>
      <c r="BQ192" s="43"/>
      <c r="BR192" s="43"/>
      <c r="BS192" s="43"/>
      <c r="BT192" s="43"/>
      <c r="BU192" s="43"/>
      <c r="BV192" s="43"/>
      <c r="BW192" s="43"/>
      <c r="BX192" s="43"/>
      <c r="BY192" s="43"/>
      <c r="BZ192" s="43"/>
      <c r="CA192" s="78"/>
      <c r="CB192" s="74"/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3"/>
      <c r="CO192" s="43"/>
      <c r="CP192" s="43"/>
      <c r="CQ192" s="43"/>
      <c r="CR192" s="43"/>
      <c r="CS192" s="43"/>
      <c r="CT192" s="43"/>
      <c r="CU192" s="43"/>
      <c r="CV192" s="43"/>
      <c r="CW192" s="43"/>
      <c r="CX192" s="43"/>
      <c r="CY192" s="43"/>
      <c r="CZ192" s="43"/>
      <c r="DA192" s="43"/>
      <c r="DB192" s="43"/>
      <c r="DC192" s="43"/>
      <c r="DD192" s="43"/>
      <c r="DE192" s="43"/>
      <c r="DF192" s="43"/>
      <c r="DG192" s="43"/>
      <c r="DH192" s="43"/>
      <c r="DI192" s="43"/>
      <c r="DJ192" s="43"/>
      <c r="DK192" s="43"/>
      <c r="DL192" s="43"/>
      <c r="DM192" s="43"/>
      <c r="DN192" s="43"/>
      <c r="DO192" s="43"/>
      <c r="DP192" s="43"/>
      <c r="DQ192" s="43"/>
      <c r="DR192" s="43"/>
      <c r="DS192" s="43"/>
      <c r="DT192" s="43"/>
      <c r="DU192" s="43"/>
      <c r="DV192" s="43"/>
      <c r="DW192" s="43"/>
      <c r="DX192" s="43"/>
      <c r="DY192" s="43"/>
      <c r="DZ192" s="43"/>
    </row>
    <row r="193" spans="2:130" s="46" customFormat="1" ht="13.5" customHeight="1" x14ac:dyDescent="0.15">
      <c r="B193" s="99" t="str">
        <f>IF(G193&lt;&gt;"",SUBTOTAL(3,$G$5:G193),"")</f>
        <v/>
      </c>
      <c r="C193" s="75"/>
      <c r="D193" s="75"/>
      <c r="E193" s="76"/>
      <c r="F193" s="76"/>
      <c r="G193" s="74"/>
      <c r="H193" s="61"/>
      <c r="I193" s="70">
        <v>1</v>
      </c>
      <c r="J193" s="77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  <c r="AK193" s="43"/>
      <c r="AL193" s="43"/>
      <c r="AM193" s="43"/>
      <c r="AN193" s="43"/>
      <c r="AO193" s="43"/>
      <c r="AP193" s="43"/>
      <c r="AQ193" s="43"/>
      <c r="AR193" s="78"/>
      <c r="AS193" s="77"/>
      <c r="AT193" s="43"/>
      <c r="AU193" s="43"/>
      <c r="AV193" s="43"/>
      <c r="AW193" s="43"/>
      <c r="AX193" s="43"/>
      <c r="AY193" s="43"/>
      <c r="AZ193" s="43"/>
      <c r="BA193" s="43"/>
      <c r="BB193" s="43"/>
      <c r="BC193" s="43"/>
      <c r="BD193" s="43"/>
      <c r="BE193" s="43"/>
      <c r="BF193" s="43"/>
      <c r="BG193" s="43"/>
      <c r="BH193" s="43"/>
      <c r="BI193" s="43"/>
      <c r="BJ193" s="43"/>
      <c r="BK193" s="43"/>
      <c r="BL193" s="43"/>
      <c r="BM193" s="43"/>
      <c r="BN193" s="43"/>
      <c r="BO193" s="43"/>
      <c r="BP193" s="43"/>
      <c r="BQ193" s="43"/>
      <c r="BR193" s="43"/>
      <c r="BS193" s="43"/>
      <c r="BT193" s="43"/>
      <c r="BU193" s="43"/>
      <c r="BV193" s="43"/>
      <c r="BW193" s="43"/>
      <c r="BX193" s="43"/>
      <c r="BY193" s="43"/>
      <c r="BZ193" s="43"/>
      <c r="CA193" s="78"/>
      <c r="CB193" s="74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3"/>
      <c r="CO193" s="43"/>
      <c r="CP193" s="43"/>
      <c r="CQ193" s="43"/>
      <c r="CR193" s="43"/>
      <c r="CS193" s="43"/>
      <c r="CT193" s="43"/>
      <c r="CU193" s="43"/>
      <c r="CV193" s="43"/>
      <c r="CW193" s="43"/>
      <c r="CX193" s="43"/>
      <c r="CY193" s="43"/>
      <c r="CZ193" s="43"/>
      <c r="DA193" s="43"/>
      <c r="DB193" s="43"/>
      <c r="DC193" s="43"/>
      <c r="DD193" s="43"/>
      <c r="DE193" s="43"/>
      <c r="DF193" s="43"/>
      <c r="DG193" s="43"/>
      <c r="DH193" s="43"/>
      <c r="DI193" s="43"/>
      <c r="DJ193" s="43"/>
      <c r="DK193" s="43"/>
      <c r="DL193" s="43"/>
      <c r="DM193" s="43"/>
      <c r="DN193" s="43"/>
      <c r="DO193" s="43"/>
      <c r="DP193" s="43"/>
      <c r="DQ193" s="43"/>
      <c r="DR193" s="43"/>
      <c r="DS193" s="43"/>
      <c r="DT193" s="43"/>
      <c r="DU193" s="43"/>
      <c r="DV193" s="43"/>
      <c r="DW193" s="43"/>
      <c r="DX193" s="43"/>
      <c r="DY193" s="43"/>
      <c r="DZ193" s="43"/>
    </row>
    <row r="194" spans="2:130" s="46" customFormat="1" ht="13.5" customHeight="1" x14ac:dyDescent="0.15">
      <c r="B194" s="75">
        <f>IF(G194&lt;&gt;"",SUBTOTAL(3,$G$5:G194),"")</f>
        <v>58</v>
      </c>
      <c r="C194" s="75"/>
      <c r="D194" s="75"/>
      <c r="E194" s="76" t="s">
        <v>139</v>
      </c>
      <c r="F194" s="76" t="s">
        <v>135</v>
      </c>
      <c r="G194" s="74" t="s">
        <v>182</v>
      </c>
      <c r="H194" s="61">
        <v>43995</v>
      </c>
      <c r="I194" s="62"/>
      <c r="J194" s="77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  <c r="AK194" s="43"/>
      <c r="AL194" s="43"/>
      <c r="AM194" s="43"/>
      <c r="AN194" s="43"/>
      <c r="AO194" s="43"/>
      <c r="AP194" s="43"/>
      <c r="AQ194" s="43"/>
      <c r="AR194" s="78"/>
      <c r="AS194" s="77"/>
      <c r="AT194" s="43"/>
      <c r="AU194" s="43"/>
      <c r="AV194" s="43"/>
      <c r="AW194" s="43"/>
      <c r="AX194" s="43"/>
      <c r="AY194" s="43"/>
      <c r="AZ194" s="43"/>
      <c r="BA194" s="43"/>
      <c r="BB194" s="43"/>
      <c r="BC194" s="43"/>
      <c r="BD194" s="43"/>
      <c r="BE194" s="43"/>
      <c r="BF194" s="43"/>
      <c r="BG194" s="43"/>
      <c r="BH194" s="43"/>
      <c r="BI194" s="43"/>
      <c r="BJ194" s="43"/>
      <c r="BK194" s="43"/>
      <c r="BL194" s="43"/>
      <c r="BM194" s="43"/>
      <c r="BN194" s="43"/>
      <c r="BO194" s="43"/>
      <c r="BP194" s="43"/>
      <c r="BQ194" s="43"/>
      <c r="BR194" s="43"/>
      <c r="BS194" s="43"/>
      <c r="BT194" s="43"/>
      <c r="BU194" s="43"/>
      <c r="BV194" s="43"/>
      <c r="BW194" s="43"/>
      <c r="BX194" s="43"/>
      <c r="BY194" s="43"/>
      <c r="BZ194" s="43"/>
      <c r="CA194" s="78"/>
      <c r="CB194" s="74"/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3"/>
      <c r="CO194" s="43"/>
      <c r="CP194" s="43"/>
      <c r="CQ194" s="43"/>
      <c r="CR194" s="43"/>
      <c r="CS194" s="43"/>
      <c r="CT194" s="43"/>
      <c r="CU194" s="43"/>
      <c r="CV194" s="43"/>
      <c r="CW194" s="43"/>
      <c r="CX194" s="43"/>
      <c r="CY194" s="43"/>
      <c r="CZ194" s="43"/>
      <c r="DA194" s="43"/>
      <c r="DB194" s="43"/>
      <c r="DC194" s="43"/>
      <c r="DD194" s="43"/>
      <c r="DE194" s="43"/>
      <c r="DF194" s="43"/>
      <c r="DG194" s="43"/>
      <c r="DH194" s="43"/>
      <c r="DI194" s="43"/>
      <c r="DJ194" s="43"/>
      <c r="DK194" s="43"/>
      <c r="DL194" s="43"/>
      <c r="DM194" s="43"/>
      <c r="DN194" s="43"/>
      <c r="DO194" s="43"/>
      <c r="DP194" s="43"/>
      <c r="DQ194" s="43"/>
      <c r="DR194" s="43"/>
      <c r="DS194" s="43"/>
      <c r="DT194" s="43"/>
      <c r="DU194" s="43"/>
      <c r="DV194" s="43"/>
      <c r="DW194" s="43"/>
      <c r="DX194" s="43"/>
      <c r="DY194" s="43"/>
      <c r="DZ194" s="43"/>
    </row>
    <row r="195" spans="2:130" s="46" customFormat="1" ht="13.5" customHeight="1" x14ac:dyDescent="0.15">
      <c r="B195" s="75">
        <f>IF(G195&lt;&gt;"",SUBTOTAL(3,$G$5:G195),"")</f>
        <v>59</v>
      </c>
      <c r="C195" s="75"/>
      <c r="D195" s="75"/>
      <c r="E195" s="76" t="s">
        <v>139</v>
      </c>
      <c r="F195" s="76" t="s">
        <v>135</v>
      </c>
      <c r="G195" s="74" t="s">
        <v>183</v>
      </c>
      <c r="H195" s="61">
        <v>44006</v>
      </c>
      <c r="I195" s="62"/>
      <c r="J195" s="77" t="s">
        <v>461</v>
      </c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78"/>
      <c r="AS195" s="77"/>
      <c r="AT195" s="43"/>
      <c r="AU195" s="43"/>
      <c r="AV195" s="43"/>
      <c r="AW195" s="43"/>
      <c r="AX195" s="43"/>
      <c r="AY195" s="43"/>
      <c r="AZ195" s="43"/>
      <c r="BA195" s="43"/>
      <c r="BB195" s="43"/>
      <c r="BC195" s="43"/>
      <c r="BD195" s="43"/>
      <c r="BE195" s="43"/>
      <c r="BF195" s="43"/>
      <c r="BG195" s="43"/>
      <c r="BH195" s="43"/>
      <c r="BI195" s="43"/>
      <c r="BJ195" s="43"/>
      <c r="BK195" s="43"/>
      <c r="BL195" s="43"/>
      <c r="BM195" s="43"/>
      <c r="BN195" s="43"/>
      <c r="BO195" s="43"/>
      <c r="BP195" s="43"/>
      <c r="BQ195" s="43"/>
      <c r="BR195" s="43"/>
      <c r="BS195" s="43"/>
      <c r="BT195" s="43"/>
      <c r="BU195" s="43"/>
      <c r="BV195" s="43"/>
      <c r="BW195" s="43"/>
      <c r="BX195" s="43"/>
      <c r="BY195" s="43"/>
      <c r="BZ195" s="43"/>
      <c r="CA195" s="78"/>
      <c r="CB195" s="79" t="s">
        <v>13</v>
      </c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3"/>
      <c r="CO195" s="43"/>
      <c r="CP195" s="43"/>
      <c r="CQ195" s="43"/>
      <c r="CR195" s="43"/>
      <c r="CS195" s="43"/>
      <c r="CT195" s="43"/>
      <c r="CU195" s="43"/>
      <c r="CV195" s="43"/>
      <c r="CW195" s="43"/>
      <c r="CX195" s="43"/>
      <c r="CY195" s="43"/>
      <c r="CZ195" s="43"/>
      <c r="DA195" s="43"/>
      <c r="DB195" s="43"/>
      <c r="DC195" s="43"/>
      <c r="DD195" s="43"/>
      <c r="DE195" s="43"/>
      <c r="DF195" s="43"/>
      <c r="DG195" s="43"/>
      <c r="DH195" s="43"/>
      <c r="DI195" s="43"/>
      <c r="DJ195" s="43"/>
      <c r="DK195" s="43"/>
      <c r="DL195" s="43"/>
      <c r="DM195" s="43"/>
      <c r="DN195" s="43"/>
      <c r="DO195" s="43"/>
      <c r="DP195" s="43"/>
      <c r="DQ195" s="43"/>
      <c r="DR195" s="43"/>
      <c r="DS195" s="43"/>
      <c r="DT195" s="43"/>
      <c r="DU195" s="43"/>
      <c r="DV195" s="43"/>
      <c r="DW195" s="43"/>
      <c r="DX195" s="43"/>
      <c r="DY195" s="43"/>
      <c r="DZ195" s="43"/>
    </row>
    <row r="196" spans="2:130" s="46" customFormat="1" ht="13.5" customHeight="1" x14ac:dyDescent="0.15">
      <c r="B196" s="99" t="str">
        <f>IF(G196&lt;&gt;"",SUBTOTAL(3,$G$5:G196),"")</f>
        <v/>
      </c>
      <c r="C196" s="75"/>
      <c r="D196" s="75"/>
      <c r="E196" s="76"/>
      <c r="F196" s="76"/>
      <c r="G196" s="74"/>
      <c r="H196" s="61"/>
      <c r="I196" s="68"/>
      <c r="J196" s="77" t="s">
        <v>462</v>
      </c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  <c r="AJ196" s="43"/>
      <c r="AK196" s="43"/>
      <c r="AL196" s="43"/>
      <c r="AM196" s="43"/>
      <c r="AN196" s="43"/>
      <c r="AO196" s="43"/>
      <c r="AP196" s="43"/>
      <c r="AQ196" s="43"/>
      <c r="AR196" s="78"/>
      <c r="AS196" s="77"/>
      <c r="AT196" s="43"/>
      <c r="AU196" s="43"/>
      <c r="AV196" s="43"/>
      <c r="AW196" s="43"/>
      <c r="AX196" s="43"/>
      <c r="AY196" s="43"/>
      <c r="AZ196" s="43"/>
      <c r="BA196" s="43"/>
      <c r="BB196" s="43"/>
      <c r="BC196" s="43"/>
      <c r="BD196" s="43"/>
      <c r="BE196" s="43"/>
      <c r="BF196" s="43"/>
      <c r="BG196" s="43"/>
      <c r="BH196" s="43"/>
      <c r="BI196" s="43"/>
      <c r="BJ196" s="43"/>
      <c r="BK196" s="43"/>
      <c r="BL196" s="43"/>
      <c r="BM196" s="43"/>
      <c r="BN196" s="43"/>
      <c r="BO196" s="43"/>
      <c r="BP196" s="43"/>
      <c r="BQ196" s="43"/>
      <c r="BR196" s="43"/>
      <c r="BS196" s="43"/>
      <c r="BT196" s="43"/>
      <c r="BU196" s="43"/>
      <c r="BV196" s="43"/>
      <c r="BW196" s="43"/>
      <c r="BX196" s="43"/>
      <c r="BY196" s="43"/>
      <c r="BZ196" s="43"/>
      <c r="CA196" s="78"/>
      <c r="CB196" s="79"/>
      <c r="CC196" s="43"/>
      <c r="CD196" s="43"/>
      <c r="CE196" s="43"/>
      <c r="CF196" s="43"/>
      <c r="CG196" s="43"/>
      <c r="CH196" s="43"/>
      <c r="CI196" s="43"/>
      <c r="CJ196" s="43"/>
      <c r="CK196" s="43"/>
      <c r="CL196" s="43"/>
      <c r="CM196" s="43"/>
      <c r="CN196" s="43"/>
      <c r="CO196" s="43"/>
      <c r="CP196" s="43"/>
      <c r="CQ196" s="43"/>
      <c r="CR196" s="43"/>
      <c r="CS196" s="43"/>
      <c r="CT196" s="43"/>
      <c r="CU196" s="43"/>
      <c r="CV196" s="43"/>
      <c r="CW196" s="43"/>
      <c r="CX196" s="43"/>
      <c r="CY196" s="43"/>
      <c r="CZ196" s="43"/>
      <c r="DA196" s="43"/>
      <c r="DB196" s="43"/>
      <c r="DC196" s="43"/>
      <c r="DD196" s="43"/>
      <c r="DE196" s="43"/>
      <c r="DF196" s="43"/>
      <c r="DG196" s="43"/>
      <c r="DH196" s="43"/>
      <c r="DI196" s="43"/>
      <c r="DJ196" s="43"/>
      <c r="DK196" s="43"/>
      <c r="DL196" s="43"/>
      <c r="DM196" s="43"/>
      <c r="DN196" s="43"/>
      <c r="DO196" s="43"/>
      <c r="DP196" s="43"/>
      <c r="DQ196" s="43"/>
      <c r="DR196" s="43"/>
      <c r="DS196" s="43"/>
      <c r="DT196" s="43"/>
      <c r="DU196" s="43"/>
      <c r="DV196" s="43"/>
      <c r="DW196" s="43"/>
      <c r="DX196" s="43"/>
      <c r="DY196" s="43"/>
      <c r="DZ196" s="43"/>
    </row>
    <row r="197" spans="2:130" s="46" customFormat="1" ht="13.5" customHeight="1" x14ac:dyDescent="0.15">
      <c r="B197" s="99" t="str">
        <f>IF(G197&lt;&gt;"",SUBTOTAL(3,$G$5:G197),"")</f>
        <v/>
      </c>
      <c r="C197" s="75"/>
      <c r="D197" s="75"/>
      <c r="E197" s="76"/>
      <c r="F197" s="76"/>
      <c r="G197" s="74"/>
      <c r="H197" s="61"/>
      <c r="I197" s="68"/>
      <c r="J197" s="77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  <c r="AK197" s="43"/>
      <c r="AL197" s="43"/>
      <c r="AM197" s="43"/>
      <c r="AN197" s="43"/>
      <c r="AO197" s="43"/>
      <c r="AP197" s="43"/>
      <c r="AQ197" s="43"/>
      <c r="AR197" s="78"/>
      <c r="AS197" s="77"/>
      <c r="AT197" s="43"/>
      <c r="AU197" s="43"/>
      <c r="AV197" s="43"/>
      <c r="AW197" s="43"/>
      <c r="AX197" s="43"/>
      <c r="AY197" s="43"/>
      <c r="AZ197" s="43"/>
      <c r="BA197" s="43"/>
      <c r="BB197" s="43"/>
      <c r="BC197" s="43"/>
      <c r="BD197" s="43"/>
      <c r="BE197" s="43"/>
      <c r="BF197" s="43"/>
      <c r="BG197" s="43"/>
      <c r="BH197" s="43"/>
      <c r="BI197" s="43"/>
      <c r="BJ197" s="43"/>
      <c r="BK197" s="43"/>
      <c r="BL197" s="43"/>
      <c r="BM197" s="43"/>
      <c r="BN197" s="43"/>
      <c r="BO197" s="43"/>
      <c r="BP197" s="43"/>
      <c r="BQ197" s="43"/>
      <c r="BR197" s="43"/>
      <c r="BS197" s="43"/>
      <c r="BT197" s="43"/>
      <c r="BU197" s="43"/>
      <c r="BV197" s="43"/>
      <c r="BW197" s="43"/>
      <c r="BX197" s="43"/>
      <c r="BY197" s="43"/>
      <c r="BZ197" s="43"/>
      <c r="CA197" s="78"/>
      <c r="CB197" s="79"/>
      <c r="CC197" s="43"/>
      <c r="CD197" s="43"/>
      <c r="CE197" s="43"/>
      <c r="CF197" s="43"/>
      <c r="CG197" s="43"/>
      <c r="CH197" s="43"/>
      <c r="CI197" s="43"/>
      <c r="CJ197" s="43"/>
      <c r="CK197" s="43"/>
      <c r="CL197" s="43"/>
      <c r="CM197" s="43"/>
      <c r="CN197" s="43"/>
      <c r="CO197" s="43"/>
      <c r="CP197" s="43"/>
      <c r="CQ197" s="43"/>
      <c r="CR197" s="43"/>
      <c r="CS197" s="43"/>
      <c r="CT197" s="43"/>
      <c r="CU197" s="43"/>
      <c r="CV197" s="43"/>
      <c r="CW197" s="43"/>
      <c r="CX197" s="43"/>
      <c r="CY197" s="43"/>
      <c r="CZ197" s="43"/>
      <c r="DA197" s="43"/>
      <c r="DB197" s="43"/>
      <c r="DC197" s="43"/>
      <c r="DD197" s="43"/>
      <c r="DE197" s="43"/>
      <c r="DF197" s="43"/>
      <c r="DG197" s="43"/>
      <c r="DH197" s="43"/>
      <c r="DI197" s="43"/>
      <c r="DJ197" s="43"/>
      <c r="DK197" s="43"/>
      <c r="DL197" s="43"/>
      <c r="DM197" s="43"/>
      <c r="DN197" s="43"/>
      <c r="DO197" s="43"/>
      <c r="DP197" s="43"/>
      <c r="DQ197" s="43"/>
      <c r="DR197" s="43"/>
      <c r="DS197" s="43"/>
      <c r="DT197" s="43"/>
      <c r="DU197" s="43"/>
      <c r="DV197" s="43"/>
      <c r="DW197" s="43"/>
      <c r="DX197" s="43"/>
      <c r="DY197" s="43"/>
      <c r="DZ197" s="43"/>
    </row>
    <row r="198" spans="2:130" s="46" customFormat="1" ht="13.5" customHeight="1" x14ac:dyDescent="0.15">
      <c r="B198" s="75">
        <f>IF(G198&lt;&gt;"",SUBTOTAL(3,$G$5:G198),"")</f>
        <v>60</v>
      </c>
      <c r="C198" s="75"/>
      <c r="D198" s="75"/>
      <c r="E198" s="76" t="s">
        <v>139</v>
      </c>
      <c r="F198" s="76" t="s">
        <v>135</v>
      </c>
      <c r="G198" s="74" t="s">
        <v>15</v>
      </c>
      <c r="H198" s="61">
        <v>43995</v>
      </c>
      <c r="I198" s="62">
        <v>1</v>
      </c>
      <c r="J198" s="77" t="s">
        <v>411</v>
      </c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  <c r="AJ198" s="43"/>
      <c r="AK198" s="43"/>
      <c r="AL198" s="43"/>
      <c r="AM198" s="43"/>
      <c r="AN198" s="43"/>
      <c r="AO198" s="43"/>
      <c r="AP198" s="43"/>
      <c r="AQ198" s="43"/>
      <c r="AR198" s="78"/>
      <c r="AS198" s="77"/>
      <c r="AT198" s="43"/>
      <c r="AU198" s="43"/>
      <c r="AV198" s="43"/>
      <c r="AW198" s="43"/>
      <c r="AX198" s="43"/>
      <c r="AY198" s="43"/>
      <c r="AZ198" s="43"/>
      <c r="BA198" s="43"/>
      <c r="BB198" s="43"/>
      <c r="BC198" s="43"/>
      <c r="BD198" s="43"/>
      <c r="BE198" s="43"/>
      <c r="BF198" s="43"/>
      <c r="BG198" s="43"/>
      <c r="BH198" s="43"/>
      <c r="BI198" s="43"/>
      <c r="BJ198" s="43"/>
      <c r="BK198" s="43"/>
      <c r="BL198" s="43"/>
      <c r="BM198" s="43"/>
      <c r="BN198" s="43"/>
      <c r="BO198" s="43"/>
      <c r="BP198" s="43"/>
      <c r="BQ198" s="43"/>
      <c r="BR198" s="43"/>
      <c r="BS198" s="43"/>
      <c r="BT198" s="43"/>
      <c r="BU198" s="43"/>
      <c r="BV198" s="43"/>
      <c r="BW198" s="43"/>
      <c r="BX198" s="43"/>
      <c r="BY198" s="43"/>
      <c r="BZ198" s="43"/>
      <c r="CA198" s="78"/>
      <c r="CB198" s="79"/>
      <c r="CC198" s="43"/>
      <c r="CD198" s="43"/>
      <c r="CE198" s="43"/>
      <c r="CF198" s="43"/>
      <c r="CG198" s="43"/>
      <c r="CH198" s="43"/>
      <c r="CI198" s="43"/>
      <c r="CJ198" s="43"/>
      <c r="CK198" s="43"/>
      <c r="CL198" s="43"/>
      <c r="CM198" s="43"/>
      <c r="CN198" s="43"/>
      <c r="CO198" s="43"/>
      <c r="CP198" s="43"/>
      <c r="CQ198" s="43"/>
      <c r="CR198" s="43"/>
      <c r="CS198" s="43"/>
      <c r="CT198" s="43"/>
      <c r="CU198" s="43"/>
      <c r="CV198" s="43"/>
      <c r="CW198" s="43"/>
      <c r="CX198" s="43"/>
      <c r="CY198" s="43"/>
      <c r="CZ198" s="43"/>
      <c r="DA198" s="43"/>
      <c r="DB198" s="43"/>
      <c r="DC198" s="43"/>
      <c r="DD198" s="43"/>
      <c r="DE198" s="43"/>
      <c r="DF198" s="43"/>
      <c r="DG198" s="43"/>
      <c r="DH198" s="43"/>
      <c r="DI198" s="43"/>
      <c r="DJ198" s="43"/>
      <c r="DK198" s="43"/>
      <c r="DL198" s="43"/>
      <c r="DM198" s="43"/>
      <c r="DN198" s="43"/>
      <c r="DO198" s="43"/>
      <c r="DP198" s="43"/>
      <c r="DQ198" s="43"/>
      <c r="DR198" s="43"/>
      <c r="DS198" s="43"/>
      <c r="DT198" s="43"/>
      <c r="DU198" s="43"/>
      <c r="DV198" s="43"/>
      <c r="DW198" s="43"/>
      <c r="DX198" s="43"/>
      <c r="DY198" s="43"/>
      <c r="DZ198" s="43"/>
    </row>
    <row r="199" spans="2:130" s="46" customFormat="1" ht="13.5" customHeight="1" x14ac:dyDescent="0.15">
      <c r="B199" s="99" t="str">
        <f>IF(G199&lt;&gt;"",SUBTOTAL(3,$G$5:G199),"")</f>
        <v/>
      </c>
      <c r="C199" s="75"/>
      <c r="D199" s="75"/>
      <c r="E199" s="76"/>
      <c r="F199" s="76"/>
      <c r="G199" s="74"/>
      <c r="H199" s="61"/>
      <c r="I199" s="70">
        <v>1</v>
      </c>
      <c r="J199" s="77" t="s">
        <v>412</v>
      </c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  <c r="AK199" s="43"/>
      <c r="AL199" s="43"/>
      <c r="AM199" s="43"/>
      <c r="AN199" s="43"/>
      <c r="AO199" s="43"/>
      <c r="AP199" s="43"/>
      <c r="AQ199" s="43"/>
      <c r="AR199" s="78"/>
      <c r="AS199" s="77"/>
      <c r="AT199" s="43"/>
      <c r="AU199" s="43"/>
      <c r="AV199" s="43"/>
      <c r="AW199" s="43"/>
      <c r="AX199" s="43"/>
      <c r="AY199" s="43"/>
      <c r="AZ199" s="43"/>
      <c r="BA199" s="43"/>
      <c r="BB199" s="43"/>
      <c r="BC199" s="43"/>
      <c r="BD199" s="43"/>
      <c r="BE199" s="43"/>
      <c r="BF199" s="43"/>
      <c r="BG199" s="43"/>
      <c r="BH199" s="43"/>
      <c r="BI199" s="43"/>
      <c r="BJ199" s="43"/>
      <c r="BK199" s="43"/>
      <c r="BL199" s="43"/>
      <c r="BM199" s="43"/>
      <c r="BN199" s="43"/>
      <c r="BO199" s="43"/>
      <c r="BP199" s="43"/>
      <c r="BQ199" s="43"/>
      <c r="BR199" s="43"/>
      <c r="BS199" s="43"/>
      <c r="BT199" s="43"/>
      <c r="BU199" s="43"/>
      <c r="BV199" s="43"/>
      <c r="BW199" s="43"/>
      <c r="BX199" s="43"/>
      <c r="BY199" s="43"/>
      <c r="BZ199" s="43"/>
      <c r="CA199" s="78"/>
      <c r="CB199" s="79"/>
      <c r="CC199" s="43"/>
      <c r="CD199" s="43"/>
      <c r="CE199" s="43"/>
      <c r="CF199" s="43"/>
      <c r="CG199" s="43"/>
      <c r="CH199" s="43"/>
      <c r="CI199" s="43"/>
      <c r="CJ199" s="43"/>
      <c r="CK199" s="43"/>
      <c r="CL199" s="43"/>
      <c r="CM199" s="43"/>
      <c r="CN199" s="43"/>
      <c r="CO199" s="43"/>
      <c r="CP199" s="43"/>
      <c r="CQ199" s="43"/>
      <c r="CR199" s="43"/>
      <c r="CS199" s="43"/>
      <c r="CT199" s="43"/>
      <c r="CU199" s="43"/>
      <c r="CV199" s="43"/>
      <c r="CW199" s="43"/>
      <c r="CX199" s="43"/>
      <c r="CY199" s="43"/>
      <c r="CZ199" s="43"/>
      <c r="DA199" s="43"/>
      <c r="DB199" s="43"/>
      <c r="DC199" s="43"/>
      <c r="DD199" s="43"/>
      <c r="DE199" s="43"/>
      <c r="DF199" s="43"/>
      <c r="DG199" s="43"/>
      <c r="DH199" s="43"/>
      <c r="DI199" s="43"/>
      <c r="DJ199" s="43"/>
      <c r="DK199" s="43"/>
      <c r="DL199" s="43"/>
      <c r="DM199" s="43"/>
      <c r="DN199" s="43"/>
      <c r="DO199" s="43"/>
      <c r="DP199" s="43"/>
      <c r="DQ199" s="43"/>
      <c r="DR199" s="43"/>
      <c r="DS199" s="43"/>
      <c r="DT199" s="43"/>
      <c r="DU199" s="43"/>
      <c r="DV199" s="43"/>
      <c r="DW199" s="43"/>
      <c r="DX199" s="43"/>
      <c r="DY199" s="43"/>
      <c r="DZ199" s="43"/>
    </row>
    <row r="200" spans="2:130" s="46" customFormat="1" ht="13.5" customHeight="1" x14ac:dyDescent="0.15">
      <c r="B200" s="99" t="str">
        <f>IF(G200&lt;&gt;"",SUBTOTAL(3,$G$5:G200),"")</f>
        <v/>
      </c>
      <c r="C200" s="75"/>
      <c r="D200" s="75"/>
      <c r="E200" s="76"/>
      <c r="F200" s="76"/>
      <c r="G200" s="74"/>
      <c r="H200" s="61"/>
      <c r="I200" s="70">
        <v>1</v>
      </c>
      <c r="J200" s="77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  <c r="AK200" s="43"/>
      <c r="AL200" s="43"/>
      <c r="AM200" s="43"/>
      <c r="AN200" s="43"/>
      <c r="AO200" s="43"/>
      <c r="AP200" s="43"/>
      <c r="AQ200" s="43"/>
      <c r="AR200" s="78"/>
      <c r="AS200" s="77"/>
      <c r="AT200" s="43"/>
      <c r="AU200" s="43"/>
      <c r="AV200" s="43"/>
      <c r="AW200" s="43"/>
      <c r="AX200" s="43"/>
      <c r="AY200" s="43"/>
      <c r="AZ200" s="43"/>
      <c r="BA200" s="43"/>
      <c r="BB200" s="43"/>
      <c r="BC200" s="43"/>
      <c r="BD200" s="43"/>
      <c r="BE200" s="43"/>
      <c r="BF200" s="43"/>
      <c r="BG200" s="43"/>
      <c r="BH200" s="43"/>
      <c r="BI200" s="43"/>
      <c r="BJ200" s="43"/>
      <c r="BK200" s="43"/>
      <c r="BL200" s="43"/>
      <c r="BM200" s="43"/>
      <c r="BN200" s="43"/>
      <c r="BO200" s="43"/>
      <c r="BP200" s="43"/>
      <c r="BQ200" s="43"/>
      <c r="BR200" s="43"/>
      <c r="BS200" s="43"/>
      <c r="BT200" s="43"/>
      <c r="BU200" s="43"/>
      <c r="BV200" s="43"/>
      <c r="BW200" s="43"/>
      <c r="BX200" s="43"/>
      <c r="BY200" s="43"/>
      <c r="BZ200" s="43"/>
      <c r="CA200" s="78"/>
      <c r="CB200" s="79"/>
      <c r="CC200" s="43"/>
      <c r="CD200" s="43"/>
      <c r="CE200" s="43"/>
      <c r="CF200" s="43"/>
      <c r="CG200" s="43"/>
      <c r="CH200" s="43"/>
      <c r="CI200" s="43"/>
      <c r="CJ200" s="43"/>
      <c r="CK200" s="43"/>
      <c r="CL200" s="43"/>
      <c r="CM200" s="43"/>
      <c r="CN200" s="43"/>
      <c r="CO200" s="43"/>
      <c r="CP200" s="43"/>
      <c r="CQ200" s="43"/>
      <c r="CR200" s="43"/>
      <c r="CS200" s="43"/>
      <c r="CT200" s="43"/>
      <c r="CU200" s="43"/>
      <c r="CV200" s="43"/>
      <c r="CW200" s="43"/>
      <c r="CX200" s="43"/>
      <c r="CY200" s="43"/>
      <c r="CZ200" s="43"/>
      <c r="DA200" s="43"/>
      <c r="DB200" s="43"/>
      <c r="DC200" s="43"/>
      <c r="DD200" s="43"/>
      <c r="DE200" s="43"/>
      <c r="DF200" s="43"/>
      <c r="DG200" s="43"/>
      <c r="DH200" s="43"/>
      <c r="DI200" s="43"/>
      <c r="DJ200" s="43"/>
      <c r="DK200" s="43"/>
      <c r="DL200" s="43"/>
      <c r="DM200" s="43"/>
      <c r="DN200" s="43"/>
      <c r="DO200" s="43"/>
      <c r="DP200" s="43"/>
      <c r="DQ200" s="43"/>
      <c r="DR200" s="43"/>
      <c r="DS200" s="43"/>
      <c r="DT200" s="43"/>
      <c r="DU200" s="43"/>
      <c r="DV200" s="43"/>
      <c r="DW200" s="43"/>
      <c r="DX200" s="43"/>
      <c r="DY200" s="43"/>
      <c r="DZ200" s="43"/>
    </row>
    <row r="201" spans="2:130" s="46" customFormat="1" ht="13.5" customHeight="1" x14ac:dyDescent="0.15">
      <c r="B201" s="75">
        <f>IF(G201&lt;&gt;"",SUBTOTAL(3,$G$5:G201),"")</f>
        <v>61</v>
      </c>
      <c r="C201" s="75"/>
      <c r="D201" s="75"/>
      <c r="E201" s="76" t="s">
        <v>139</v>
      </c>
      <c r="F201" s="76" t="s">
        <v>135</v>
      </c>
      <c r="G201" s="74" t="s">
        <v>184</v>
      </c>
      <c r="H201" s="61">
        <v>43871</v>
      </c>
      <c r="I201" s="62">
        <v>1</v>
      </c>
      <c r="J201" s="77" t="s">
        <v>419</v>
      </c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  <c r="AQ201" s="43"/>
      <c r="AR201" s="78"/>
      <c r="AS201" s="77"/>
      <c r="AT201" s="43"/>
      <c r="AU201" s="43"/>
      <c r="AV201" s="43"/>
      <c r="AW201" s="43"/>
      <c r="AX201" s="43"/>
      <c r="AY201" s="43"/>
      <c r="AZ201" s="43"/>
      <c r="BA201" s="43"/>
      <c r="BB201" s="43"/>
      <c r="BC201" s="43"/>
      <c r="BD201" s="43"/>
      <c r="BE201" s="43"/>
      <c r="BF201" s="43"/>
      <c r="BG201" s="43"/>
      <c r="BH201" s="43"/>
      <c r="BI201" s="43"/>
      <c r="BJ201" s="43"/>
      <c r="BK201" s="43"/>
      <c r="BL201" s="43"/>
      <c r="BM201" s="43"/>
      <c r="BN201" s="43"/>
      <c r="BO201" s="43"/>
      <c r="BP201" s="43"/>
      <c r="BQ201" s="43"/>
      <c r="BR201" s="43"/>
      <c r="BS201" s="43"/>
      <c r="BT201" s="43"/>
      <c r="BU201" s="43"/>
      <c r="BV201" s="43"/>
      <c r="BW201" s="43"/>
      <c r="BX201" s="43"/>
      <c r="BY201" s="43"/>
      <c r="BZ201" s="43"/>
      <c r="CA201" s="78"/>
      <c r="CB201" s="79" t="s">
        <v>13</v>
      </c>
      <c r="CC201" s="43"/>
      <c r="CD201" s="43"/>
      <c r="CE201" s="43"/>
      <c r="CF201" s="43"/>
      <c r="CG201" s="43"/>
      <c r="CH201" s="43"/>
      <c r="CI201" s="43"/>
      <c r="CJ201" s="43"/>
      <c r="CK201" s="43"/>
      <c r="CL201" s="43"/>
      <c r="CM201" s="43"/>
      <c r="CN201" s="43"/>
      <c r="CO201" s="43"/>
      <c r="CP201" s="43"/>
      <c r="CQ201" s="43"/>
      <c r="CR201" s="43"/>
      <c r="CS201" s="43"/>
      <c r="CT201" s="43"/>
      <c r="CU201" s="43"/>
      <c r="CV201" s="43"/>
      <c r="CW201" s="43"/>
      <c r="CX201" s="43"/>
      <c r="CY201" s="43"/>
      <c r="CZ201" s="43"/>
      <c r="DA201" s="43"/>
      <c r="DB201" s="43"/>
      <c r="DC201" s="43"/>
      <c r="DD201" s="43"/>
      <c r="DE201" s="43"/>
      <c r="DF201" s="43"/>
      <c r="DG201" s="43"/>
      <c r="DH201" s="43"/>
      <c r="DI201" s="43"/>
      <c r="DJ201" s="43"/>
      <c r="DK201" s="43"/>
      <c r="DL201" s="43"/>
      <c r="DM201" s="43"/>
      <c r="DN201" s="43"/>
      <c r="DO201" s="43"/>
      <c r="DP201" s="43"/>
      <c r="DQ201" s="43"/>
      <c r="DR201" s="43"/>
      <c r="DS201" s="43"/>
      <c r="DT201" s="43"/>
      <c r="DU201" s="43"/>
      <c r="DV201" s="43"/>
      <c r="DW201" s="43"/>
      <c r="DX201" s="43"/>
      <c r="DY201" s="43"/>
      <c r="DZ201" s="43"/>
    </row>
    <row r="202" spans="2:130" s="46" customFormat="1" ht="13.5" customHeight="1" x14ac:dyDescent="0.15">
      <c r="B202" s="99" t="str">
        <f>IF(G202&lt;&gt;"",SUBTOTAL(3,$G$5:G202),"")</f>
        <v/>
      </c>
      <c r="C202" s="75"/>
      <c r="D202" s="75"/>
      <c r="E202" s="76"/>
      <c r="F202" s="76"/>
      <c r="G202" s="74"/>
      <c r="H202" s="61"/>
      <c r="I202" s="70">
        <v>1</v>
      </c>
      <c r="J202" s="77" t="s">
        <v>420</v>
      </c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78"/>
      <c r="AS202" s="77"/>
      <c r="AT202" s="43"/>
      <c r="AU202" s="43"/>
      <c r="AV202" s="43"/>
      <c r="AW202" s="43"/>
      <c r="AX202" s="43"/>
      <c r="AY202" s="43"/>
      <c r="AZ202" s="43"/>
      <c r="BA202" s="43"/>
      <c r="BB202" s="43"/>
      <c r="BC202" s="43"/>
      <c r="BD202" s="43"/>
      <c r="BE202" s="43"/>
      <c r="BF202" s="43"/>
      <c r="BG202" s="43"/>
      <c r="BH202" s="43"/>
      <c r="BI202" s="43"/>
      <c r="BJ202" s="43"/>
      <c r="BK202" s="43"/>
      <c r="BL202" s="43"/>
      <c r="BM202" s="43"/>
      <c r="BN202" s="43"/>
      <c r="BO202" s="43"/>
      <c r="BP202" s="43"/>
      <c r="BQ202" s="43"/>
      <c r="BR202" s="43"/>
      <c r="BS202" s="43"/>
      <c r="BT202" s="43"/>
      <c r="BU202" s="43"/>
      <c r="BV202" s="43"/>
      <c r="BW202" s="43"/>
      <c r="BX202" s="43"/>
      <c r="BY202" s="43"/>
      <c r="BZ202" s="43"/>
      <c r="CA202" s="78"/>
      <c r="CB202" s="79"/>
      <c r="CC202" s="43"/>
      <c r="CD202" s="43"/>
      <c r="CE202" s="43"/>
      <c r="CF202" s="43"/>
      <c r="CG202" s="43"/>
      <c r="CH202" s="43"/>
      <c r="CI202" s="43"/>
      <c r="CJ202" s="43"/>
      <c r="CK202" s="43"/>
      <c r="CL202" s="43"/>
      <c r="CM202" s="43"/>
      <c r="CN202" s="43"/>
      <c r="CO202" s="43"/>
      <c r="CP202" s="43"/>
      <c r="CQ202" s="43"/>
      <c r="CR202" s="43"/>
      <c r="CS202" s="43"/>
      <c r="CT202" s="43"/>
      <c r="CU202" s="43"/>
      <c r="CV202" s="43"/>
      <c r="CW202" s="43"/>
      <c r="CX202" s="43"/>
      <c r="CY202" s="43"/>
      <c r="CZ202" s="43"/>
      <c r="DA202" s="43"/>
      <c r="DB202" s="43"/>
      <c r="DC202" s="43"/>
      <c r="DD202" s="43"/>
      <c r="DE202" s="43"/>
      <c r="DF202" s="43"/>
      <c r="DG202" s="43"/>
      <c r="DH202" s="43"/>
      <c r="DI202" s="43"/>
      <c r="DJ202" s="43"/>
      <c r="DK202" s="43"/>
      <c r="DL202" s="43"/>
      <c r="DM202" s="43"/>
      <c r="DN202" s="43"/>
      <c r="DO202" s="43"/>
      <c r="DP202" s="43"/>
      <c r="DQ202" s="43"/>
      <c r="DR202" s="43"/>
      <c r="DS202" s="43"/>
      <c r="DT202" s="43"/>
      <c r="DU202" s="43"/>
      <c r="DV202" s="43"/>
      <c r="DW202" s="43"/>
      <c r="DX202" s="43"/>
      <c r="DY202" s="43"/>
      <c r="DZ202" s="43"/>
    </row>
    <row r="203" spans="2:130" s="46" customFormat="1" ht="13.5" customHeight="1" x14ac:dyDescent="0.15">
      <c r="B203" s="99" t="str">
        <f>IF(G203&lt;&gt;"",SUBTOTAL(3,$G$5:G203),"")</f>
        <v/>
      </c>
      <c r="C203" s="75"/>
      <c r="D203" s="75"/>
      <c r="E203" s="76"/>
      <c r="F203" s="76"/>
      <c r="G203" s="74"/>
      <c r="H203" s="61"/>
      <c r="I203" s="70">
        <v>1</v>
      </c>
      <c r="J203" s="77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78"/>
      <c r="AS203" s="77"/>
      <c r="AT203" s="43"/>
      <c r="AU203" s="43"/>
      <c r="AV203" s="43"/>
      <c r="AW203" s="43"/>
      <c r="AX203" s="43"/>
      <c r="AY203" s="43"/>
      <c r="AZ203" s="43"/>
      <c r="BA203" s="43"/>
      <c r="BB203" s="43"/>
      <c r="BC203" s="43"/>
      <c r="BD203" s="43"/>
      <c r="BE203" s="43"/>
      <c r="BF203" s="43"/>
      <c r="BG203" s="43"/>
      <c r="BH203" s="43"/>
      <c r="BI203" s="43"/>
      <c r="BJ203" s="43"/>
      <c r="BK203" s="43"/>
      <c r="BL203" s="43"/>
      <c r="BM203" s="43"/>
      <c r="BN203" s="43"/>
      <c r="BO203" s="43"/>
      <c r="BP203" s="43"/>
      <c r="BQ203" s="43"/>
      <c r="BR203" s="43"/>
      <c r="BS203" s="43"/>
      <c r="BT203" s="43"/>
      <c r="BU203" s="43"/>
      <c r="BV203" s="43"/>
      <c r="BW203" s="43"/>
      <c r="BX203" s="43"/>
      <c r="BY203" s="43"/>
      <c r="BZ203" s="43"/>
      <c r="CA203" s="78"/>
      <c r="CB203" s="79"/>
      <c r="CC203" s="43"/>
      <c r="CD203" s="43"/>
      <c r="CE203" s="43"/>
      <c r="CF203" s="43"/>
      <c r="CG203" s="43"/>
      <c r="CH203" s="43"/>
      <c r="CI203" s="43"/>
      <c r="CJ203" s="43"/>
      <c r="CK203" s="43"/>
      <c r="CL203" s="43"/>
      <c r="CM203" s="43"/>
      <c r="CN203" s="43"/>
      <c r="CO203" s="43"/>
      <c r="CP203" s="43"/>
      <c r="CQ203" s="43"/>
      <c r="CR203" s="43"/>
      <c r="CS203" s="43"/>
      <c r="CT203" s="43"/>
      <c r="CU203" s="43"/>
      <c r="CV203" s="43"/>
      <c r="CW203" s="43"/>
      <c r="CX203" s="43"/>
      <c r="CY203" s="43"/>
      <c r="CZ203" s="43"/>
      <c r="DA203" s="43"/>
      <c r="DB203" s="43"/>
      <c r="DC203" s="43"/>
      <c r="DD203" s="43"/>
      <c r="DE203" s="43"/>
      <c r="DF203" s="43"/>
      <c r="DG203" s="43"/>
      <c r="DH203" s="43"/>
      <c r="DI203" s="43"/>
      <c r="DJ203" s="43"/>
      <c r="DK203" s="43"/>
      <c r="DL203" s="43"/>
      <c r="DM203" s="43"/>
      <c r="DN203" s="43"/>
      <c r="DO203" s="43"/>
      <c r="DP203" s="43"/>
      <c r="DQ203" s="43"/>
      <c r="DR203" s="43"/>
      <c r="DS203" s="43"/>
      <c r="DT203" s="43"/>
      <c r="DU203" s="43"/>
      <c r="DV203" s="43"/>
      <c r="DW203" s="43"/>
      <c r="DX203" s="43"/>
      <c r="DY203" s="43"/>
      <c r="DZ203" s="43"/>
    </row>
    <row r="204" spans="2:130" s="46" customFormat="1" ht="13.5" customHeight="1" x14ac:dyDescent="0.15">
      <c r="B204" s="75">
        <f>IF(G204&lt;&gt;"",SUBTOTAL(3,$G$5:G204),"")</f>
        <v>62</v>
      </c>
      <c r="C204" s="75"/>
      <c r="D204" s="75"/>
      <c r="E204" s="76" t="s">
        <v>139</v>
      </c>
      <c r="F204" s="76" t="s">
        <v>135</v>
      </c>
      <c r="G204" s="74" t="s">
        <v>185</v>
      </c>
      <c r="H204" s="61">
        <v>43936</v>
      </c>
      <c r="I204" s="62">
        <v>1</v>
      </c>
      <c r="J204" s="77" t="s">
        <v>415</v>
      </c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78"/>
      <c r="AS204" s="77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43"/>
      <c r="BR204" s="43"/>
      <c r="BS204" s="43"/>
      <c r="BT204" s="43"/>
      <c r="BU204" s="43"/>
      <c r="BV204" s="43"/>
      <c r="BW204" s="43"/>
      <c r="BX204" s="43"/>
      <c r="BY204" s="43"/>
      <c r="BZ204" s="43"/>
      <c r="CA204" s="78"/>
      <c r="CB204" s="74"/>
      <c r="CC204" s="43"/>
      <c r="CD204" s="43"/>
      <c r="CE204" s="43"/>
      <c r="CF204" s="43"/>
      <c r="CG204" s="43"/>
      <c r="CH204" s="43"/>
      <c r="CI204" s="43"/>
      <c r="CJ204" s="43"/>
      <c r="CK204" s="43"/>
      <c r="CL204" s="43"/>
      <c r="CM204" s="43"/>
      <c r="CN204" s="43"/>
      <c r="CO204" s="43"/>
      <c r="CP204" s="43"/>
      <c r="CQ204" s="43"/>
      <c r="CR204" s="43"/>
      <c r="CS204" s="43"/>
      <c r="CT204" s="43"/>
      <c r="CU204" s="43"/>
      <c r="CV204" s="43"/>
      <c r="CW204" s="43"/>
      <c r="CX204" s="43"/>
      <c r="CY204" s="43"/>
      <c r="CZ204" s="43"/>
      <c r="DA204" s="43"/>
      <c r="DB204" s="43"/>
      <c r="DC204" s="43"/>
      <c r="DD204" s="43"/>
      <c r="DE204" s="43"/>
      <c r="DF204" s="43"/>
      <c r="DG204" s="43"/>
      <c r="DH204" s="43"/>
      <c r="DI204" s="43"/>
      <c r="DJ204" s="43"/>
      <c r="DK204" s="43"/>
      <c r="DL204" s="43"/>
      <c r="DM204" s="43"/>
      <c r="DN204" s="43"/>
      <c r="DO204" s="43"/>
      <c r="DP204" s="43"/>
      <c r="DQ204" s="43"/>
      <c r="DR204" s="43"/>
      <c r="DS204" s="43"/>
      <c r="DT204" s="43"/>
      <c r="DU204" s="43"/>
      <c r="DV204" s="43"/>
      <c r="DW204" s="43"/>
      <c r="DX204" s="43"/>
      <c r="DY204" s="43"/>
      <c r="DZ204" s="43"/>
    </row>
    <row r="205" spans="2:130" s="46" customFormat="1" ht="13.5" customHeight="1" x14ac:dyDescent="0.15">
      <c r="B205" s="99" t="str">
        <f>IF(G205&lt;&gt;"",SUBTOTAL(3,$G$5:G205),"")</f>
        <v/>
      </c>
      <c r="C205" s="75"/>
      <c r="D205" s="75"/>
      <c r="E205" s="76"/>
      <c r="F205" s="76"/>
      <c r="G205" s="74"/>
      <c r="H205" s="61"/>
      <c r="I205" s="70">
        <v>1</v>
      </c>
      <c r="J205" s="77" t="s">
        <v>416</v>
      </c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78"/>
      <c r="AS205" s="77"/>
      <c r="AT205" s="43"/>
      <c r="AU205" s="43"/>
      <c r="AV205" s="43"/>
      <c r="AW205" s="43"/>
      <c r="AX205" s="43"/>
      <c r="AY205" s="43"/>
      <c r="AZ205" s="43"/>
      <c r="BA205" s="43"/>
      <c r="BB205" s="43"/>
      <c r="BC205" s="43"/>
      <c r="BD205" s="43"/>
      <c r="BE205" s="43"/>
      <c r="BF205" s="43"/>
      <c r="BG205" s="43"/>
      <c r="BH205" s="43"/>
      <c r="BI205" s="43"/>
      <c r="BJ205" s="43"/>
      <c r="BK205" s="43"/>
      <c r="BL205" s="43"/>
      <c r="BM205" s="43"/>
      <c r="BN205" s="43"/>
      <c r="BO205" s="43"/>
      <c r="BP205" s="43"/>
      <c r="BQ205" s="43"/>
      <c r="BR205" s="43"/>
      <c r="BS205" s="43"/>
      <c r="BT205" s="43"/>
      <c r="BU205" s="43"/>
      <c r="BV205" s="43"/>
      <c r="BW205" s="43"/>
      <c r="BX205" s="43"/>
      <c r="BY205" s="43"/>
      <c r="BZ205" s="43"/>
      <c r="CA205" s="78"/>
      <c r="CB205" s="74"/>
      <c r="CC205" s="43"/>
      <c r="CD205" s="43"/>
      <c r="CE205" s="43"/>
      <c r="CF205" s="43"/>
      <c r="CG205" s="43"/>
      <c r="CH205" s="43"/>
      <c r="CI205" s="43"/>
      <c r="CJ205" s="43"/>
      <c r="CK205" s="43"/>
      <c r="CL205" s="43"/>
      <c r="CM205" s="43"/>
      <c r="CN205" s="43"/>
      <c r="CO205" s="43"/>
      <c r="CP205" s="43"/>
      <c r="CQ205" s="43"/>
      <c r="CR205" s="43"/>
      <c r="CS205" s="43"/>
      <c r="CT205" s="43"/>
      <c r="CU205" s="43"/>
      <c r="CV205" s="43"/>
      <c r="CW205" s="43"/>
      <c r="CX205" s="43"/>
      <c r="CY205" s="43"/>
      <c r="CZ205" s="43"/>
      <c r="DA205" s="43"/>
      <c r="DB205" s="43"/>
      <c r="DC205" s="43"/>
      <c r="DD205" s="43"/>
      <c r="DE205" s="43"/>
      <c r="DF205" s="43"/>
      <c r="DG205" s="43"/>
      <c r="DH205" s="43"/>
      <c r="DI205" s="43"/>
      <c r="DJ205" s="43"/>
      <c r="DK205" s="43"/>
      <c r="DL205" s="43"/>
      <c r="DM205" s="43"/>
      <c r="DN205" s="43"/>
      <c r="DO205" s="43"/>
      <c r="DP205" s="43"/>
      <c r="DQ205" s="43"/>
      <c r="DR205" s="43"/>
      <c r="DS205" s="43"/>
      <c r="DT205" s="43"/>
      <c r="DU205" s="43"/>
      <c r="DV205" s="43"/>
      <c r="DW205" s="43"/>
      <c r="DX205" s="43"/>
      <c r="DY205" s="43"/>
      <c r="DZ205" s="43"/>
    </row>
    <row r="206" spans="2:130" s="46" customFormat="1" ht="13.5" customHeight="1" x14ac:dyDescent="0.15">
      <c r="B206" s="99" t="str">
        <f>IF(G206&lt;&gt;"",SUBTOTAL(3,$G$5:G206),"")</f>
        <v/>
      </c>
      <c r="C206" s="75"/>
      <c r="D206" s="75"/>
      <c r="E206" s="76"/>
      <c r="F206" s="76"/>
      <c r="G206" s="74"/>
      <c r="H206" s="61"/>
      <c r="I206" s="70">
        <v>1</v>
      </c>
      <c r="J206" s="77" t="s">
        <v>417</v>
      </c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78"/>
      <c r="AS206" s="77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78"/>
      <c r="CB206" s="74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3"/>
      <c r="CO206" s="43"/>
      <c r="CP206" s="43"/>
      <c r="CQ206" s="43"/>
      <c r="CR206" s="43"/>
      <c r="CS206" s="43"/>
      <c r="CT206" s="43"/>
      <c r="CU206" s="43"/>
      <c r="CV206" s="43"/>
      <c r="CW206" s="43"/>
      <c r="CX206" s="43"/>
      <c r="CY206" s="43"/>
      <c r="CZ206" s="43"/>
      <c r="DA206" s="43"/>
      <c r="DB206" s="43"/>
      <c r="DC206" s="43"/>
      <c r="DD206" s="43"/>
      <c r="DE206" s="43"/>
      <c r="DF206" s="43"/>
      <c r="DG206" s="43"/>
      <c r="DH206" s="43"/>
      <c r="DI206" s="43"/>
      <c r="DJ206" s="43"/>
      <c r="DK206" s="43"/>
      <c r="DL206" s="43"/>
      <c r="DM206" s="43"/>
      <c r="DN206" s="43"/>
      <c r="DO206" s="43"/>
      <c r="DP206" s="43"/>
      <c r="DQ206" s="43"/>
      <c r="DR206" s="43"/>
      <c r="DS206" s="43"/>
      <c r="DT206" s="43"/>
      <c r="DU206" s="43"/>
      <c r="DV206" s="43"/>
      <c r="DW206" s="43"/>
      <c r="DX206" s="43"/>
      <c r="DY206" s="43"/>
      <c r="DZ206" s="43"/>
    </row>
    <row r="207" spans="2:130" s="46" customFormat="1" ht="13.5" customHeight="1" x14ac:dyDescent="0.15">
      <c r="B207" s="99" t="str">
        <f>IF(G207&lt;&gt;"",SUBTOTAL(3,$G$5:G207),"")</f>
        <v/>
      </c>
      <c r="C207" s="75"/>
      <c r="D207" s="75"/>
      <c r="E207" s="76"/>
      <c r="F207" s="76"/>
      <c r="G207" s="74"/>
      <c r="H207" s="61"/>
      <c r="I207" s="70">
        <v>1</v>
      </c>
      <c r="J207" s="77" t="s">
        <v>418</v>
      </c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78"/>
      <c r="AS207" s="77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78"/>
      <c r="CB207" s="74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3"/>
      <c r="CO207" s="43"/>
      <c r="CP207" s="43"/>
      <c r="CQ207" s="43"/>
      <c r="CR207" s="43"/>
      <c r="CS207" s="43"/>
      <c r="CT207" s="43"/>
      <c r="CU207" s="43"/>
      <c r="CV207" s="43"/>
      <c r="CW207" s="43"/>
      <c r="CX207" s="43"/>
      <c r="CY207" s="43"/>
      <c r="CZ207" s="43"/>
      <c r="DA207" s="43"/>
      <c r="DB207" s="43"/>
      <c r="DC207" s="43"/>
      <c r="DD207" s="43"/>
      <c r="DE207" s="43"/>
      <c r="DF207" s="43"/>
      <c r="DG207" s="43"/>
      <c r="DH207" s="43"/>
      <c r="DI207" s="43"/>
      <c r="DJ207" s="43"/>
      <c r="DK207" s="43"/>
      <c r="DL207" s="43"/>
      <c r="DM207" s="43"/>
      <c r="DN207" s="43"/>
      <c r="DO207" s="43"/>
      <c r="DP207" s="43"/>
      <c r="DQ207" s="43"/>
      <c r="DR207" s="43"/>
      <c r="DS207" s="43"/>
      <c r="DT207" s="43"/>
      <c r="DU207" s="43"/>
      <c r="DV207" s="43"/>
      <c r="DW207" s="43"/>
      <c r="DX207" s="43"/>
      <c r="DY207" s="43"/>
      <c r="DZ207" s="43"/>
    </row>
    <row r="208" spans="2:130" s="46" customFormat="1" ht="13.5" customHeight="1" x14ac:dyDescent="0.15">
      <c r="B208" s="99" t="str">
        <f>IF(G208&lt;&gt;"",SUBTOTAL(3,$G$5:G208),"")</f>
        <v/>
      </c>
      <c r="C208" s="75"/>
      <c r="D208" s="75"/>
      <c r="E208" s="76"/>
      <c r="F208" s="76"/>
      <c r="G208" s="74"/>
      <c r="H208" s="61"/>
      <c r="I208" s="70">
        <v>1</v>
      </c>
      <c r="J208" s="77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78"/>
      <c r="AS208" s="77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78"/>
      <c r="CB208" s="74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  <c r="CU208" s="43"/>
      <c r="CV208" s="43"/>
      <c r="CW208" s="43"/>
      <c r="CX208" s="43"/>
      <c r="CY208" s="43"/>
      <c r="CZ208" s="43"/>
      <c r="DA208" s="43"/>
      <c r="DB208" s="43"/>
      <c r="DC208" s="43"/>
      <c r="DD208" s="43"/>
      <c r="DE208" s="43"/>
      <c r="DF208" s="43"/>
      <c r="DG208" s="43"/>
      <c r="DH208" s="43"/>
      <c r="DI208" s="43"/>
      <c r="DJ208" s="43"/>
      <c r="DK208" s="43"/>
      <c r="DL208" s="43"/>
      <c r="DM208" s="43"/>
      <c r="DN208" s="43"/>
      <c r="DO208" s="43"/>
      <c r="DP208" s="43"/>
      <c r="DQ208" s="43"/>
      <c r="DR208" s="43"/>
      <c r="DS208" s="43"/>
      <c r="DT208" s="43"/>
      <c r="DU208" s="43"/>
      <c r="DV208" s="43"/>
      <c r="DW208" s="43"/>
      <c r="DX208" s="43"/>
      <c r="DY208" s="43"/>
      <c r="DZ208" s="43"/>
    </row>
    <row r="209" spans="2:130" s="46" customFormat="1" ht="13.5" customHeight="1" x14ac:dyDescent="0.15">
      <c r="B209" s="75">
        <f>IF(G209&lt;&gt;"",SUBTOTAL(3,$G$5:G209),"")</f>
        <v>63</v>
      </c>
      <c r="C209" s="75"/>
      <c r="D209" s="75"/>
      <c r="E209" s="76" t="s">
        <v>139</v>
      </c>
      <c r="F209" s="76" t="s">
        <v>135</v>
      </c>
      <c r="G209" s="74" t="s">
        <v>186</v>
      </c>
      <c r="H209" s="61">
        <v>43935</v>
      </c>
      <c r="I209" s="62">
        <v>1</v>
      </c>
      <c r="J209" s="77" t="s">
        <v>414</v>
      </c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78"/>
      <c r="AS209" s="77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78"/>
      <c r="CB209" s="74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  <c r="CU209" s="43"/>
      <c r="CV209" s="43"/>
      <c r="CW209" s="43"/>
      <c r="CX209" s="43"/>
      <c r="CY209" s="43"/>
      <c r="CZ209" s="43"/>
      <c r="DA209" s="43"/>
      <c r="DB209" s="43"/>
      <c r="DC209" s="43"/>
      <c r="DD209" s="43"/>
      <c r="DE209" s="43"/>
      <c r="DF209" s="43"/>
      <c r="DG209" s="43"/>
      <c r="DH209" s="43"/>
      <c r="DI209" s="43"/>
      <c r="DJ209" s="43"/>
      <c r="DK209" s="43"/>
      <c r="DL209" s="43"/>
      <c r="DM209" s="43"/>
      <c r="DN209" s="43"/>
      <c r="DO209" s="43"/>
      <c r="DP209" s="43"/>
      <c r="DQ209" s="43"/>
      <c r="DR209" s="43"/>
      <c r="DS209" s="43"/>
      <c r="DT209" s="43"/>
      <c r="DU209" s="43"/>
      <c r="DV209" s="43"/>
      <c r="DW209" s="43"/>
      <c r="DX209" s="43"/>
      <c r="DY209" s="43"/>
      <c r="DZ209" s="43"/>
    </row>
    <row r="210" spans="2:130" s="46" customFormat="1" ht="13.5" customHeight="1" x14ac:dyDescent="0.15">
      <c r="B210" s="99" t="str">
        <f>IF(G210&lt;&gt;"",SUBTOTAL(3,$G$5:G210),"")</f>
        <v/>
      </c>
      <c r="C210" s="75"/>
      <c r="D210" s="75"/>
      <c r="E210" s="76"/>
      <c r="F210" s="76"/>
      <c r="G210" s="74"/>
      <c r="H210" s="61"/>
      <c r="I210" s="70">
        <v>1</v>
      </c>
      <c r="J210" s="77" t="s">
        <v>413</v>
      </c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78"/>
      <c r="AS210" s="77"/>
      <c r="AT210" s="43"/>
      <c r="AU210" s="43"/>
      <c r="AV210" s="43"/>
      <c r="AW210" s="43"/>
      <c r="AX210" s="43"/>
      <c r="AY210" s="43"/>
      <c r="AZ210" s="43"/>
      <c r="BA210" s="43"/>
      <c r="BB210" s="43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43"/>
      <c r="BO210" s="43"/>
      <c r="BP210" s="43"/>
      <c r="BQ210" s="43"/>
      <c r="BR210" s="43"/>
      <c r="BS210" s="43"/>
      <c r="BT210" s="43"/>
      <c r="BU210" s="43"/>
      <c r="BV210" s="43"/>
      <c r="BW210" s="43"/>
      <c r="BX210" s="43"/>
      <c r="BY210" s="43"/>
      <c r="BZ210" s="43"/>
      <c r="CA210" s="78"/>
      <c r="CB210" s="74"/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  <c r="CU210" s="43"/>
      <c r="CV210" s="43"/>
      <c r="CW210" s="43"/>
      <c r="CX210" s="43"/>
      <c r="CY210" s="43"/>
      <c r="CZ210" s="43"/>
      <c r="DA210" s="43"/>
      <c r="DB210" s="43"/>
      <c r="DC210" s="43"/>
      <c r="DD210" s="43"/>
      <c r="DE210" s="43"/>
      <c r="DF210" s="43"/>
      <c r="DG210" s="43"/>
      <c r="DH210" s="43"/>
      <c r="DI210" s="43"/>
      <c r="DJ210" s="43"/>
      <c r="DK210" s="43"/>
      <c r="DL210" s="43"/>
      <c r="DM210" s="43"/>
      <c r="DN210" s="43"/>
      <c r="DO210" s="43"/>
      <c r="DP210" s="43"/>
      <c r="DQ210" s="43"/>
      <c r="DR210" s="43"/>
      <c r="DS210" s="43"/>
      <c r="DT210" s="43"/>
      <c r="DU210" s="43"/>
      <c r="DV210" s="43"/>
      <c r="DW210" s="43"/>
      <c r="DX210" s="43"/>
      <c r="DY210" s="43"/>
      <c r="DZ210" s="43"/>
    </row>
    <row r="211" spans="2:130" s="46" customFormat="1" ht="13.5" customHeight="1" x14ac:dyDescent="0.15">
      <c r="B211" s="99" t="str">
        <f>IF(G211&lt;&gt;"",SUBTOTAL(3,$G$5:G211),"")</f>
        <v/>
      </c>
      <c r="C211" s="75"/>
      <c r="D211" s="75"/>
      <c r="E211" s="76"/>
      <c r="F211" s="76"/>
      <c r="G211" s="74"/>
      <c r="H211" s="61"/>
      <c r="I211" s="70">
        <v>1</v>
      </c>
      <c r="J211" s="77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78"/>
      <c r="AS211" s="77"/>
      <c r="AT211" s="43"/>
      <c r="AU211" s="43"/>
      <c r="AV211" s="43"/>
      <c r="AW211" s="43"/>
      <c r="AX211" s="43"/>
      <c r="AY211" s="43"/>
      <c r="AZ211" s="43"/>
      <c r="BA211" s="43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43"/>
      <c r="BR211" s="43"/>
      <c r="BS211" s="43"/>
      <c r="BT211" s="43"/>
      <c r="BU211" s="43"/>
      <c r="BV211" s="43"/>
      <c r="BW211" s="43"/>
      <c r="BX211" s="43"/>
      <c r="BY211" s="43"/>
      <c r="BZ211" s="43"/>
      <c r="CA211" s="78"/>
      <c r="CB211" s="74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  <c r="CU211" s="43"/>
      <c r="CV211" s="43"/>
      <c r="CW211" s="43"/>
      <c r="CX211" s="43"/>
      <c r="CY211" s="43"/>
      <c r="CZ211" s="43"/>
      <c r="DA211" s="43"/>
      <c r="DB211" s="43"/>
      <c r="DC211" s="43"/>
      <c r="DD211" s="43"/>
      <c r="DE211" s="43"/>
      <c r="DF211" s="43"/>
      <c r="DG211" s="43"/>
      <c r="DH211" s="43"/>
      <c r="DI211" s="43"/>
      <c r="DJ211" s="43"/>
      <c r="DK211" s="43"/>
      <c r="DL211" s="43"/>
      <c r="DM211" s="43"/>
      <c r="DN211" s="43"/>
      <c r="DO211" s="43"/>
      <c r="DP211" s="43"/>
      <c r="DQ211" s="43"/>
      <c r="DR211" s="43"/>
      <c r="DS211" s="43"/>
      <c r="DT211" s="43"/>
      <c r="DU211" s="43"/>
      <c r="DV211" s="43"/>
      <c r="DW211" s="43"/>
      <c r="DX211" s="43"/>
      <c r="DY211" s="43"/>
      <c r="DZ211" s="43"/>
    </row>
    <row r="212" spans="2:130" s="46" customFormat="1" ht="13.5" customHeight="1" x14ac:dyDescent="0.15">
      <c r="B212" s="75">
        <f>IF(G212&lt;&gt;"",SUBTOTAL(3,$G$5:G212),"")</f>
        <v>64</v>
      </c>
      <c r="C212" s="75"/>
      <c r="D212" s="75"/>
      <c r="E212" s="102" t="s">
        <v>139</v>
      </c>
      <c r="F212" s="102" t="s">
        <v>135</v>
      </c>
      <c r="G212" s="104" t="s">
        <v>187</v>
      </c>
      <c r="H212" s="103">
        <v>43919</v>
      </c>
      <c r="I212" s="62"/>
      <c r="J212" s="77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78"/>
      <c r="AS212" s="77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78"/>
      <c r="CB212" s="74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  <c r="CU212" s="43"/>
      <c r="CV212" s="43"/>
      <c r="CW212" s="43"/>
      <c r="CX212" s="43"/>
      <c r="CY212" s="43"/>
      <c r="CZ212" s="43"/>
      <c r="DA212" s="43"/>
      <c r="DB212" s="43"/>
      <c r="DC212" s="43"/>
      <c r="DD212" s="43"/>
      <c r="DE212" s="43"/>
      <c r="DF212" s="43"/>
      <c r="DG212" s="43"/>
      <c r="DH212" s="43"/>
      <c r="DI212" s="43"/>
      <c r="DJ212" s="43"/>
      <c r="DK212" s="43"/>
      <c r="DL212" s="43"/>
      <c r="DM212" s="43"/>
      <c r="DN212" s="43"/>
      <c r="DO212" s="43"/>
      <c r="DP212" s="43"/>
      <c r="DQ212" s="43"/>
      <c r="DR212" s="43"/>
      <c r="DS212" s="43"/>
      <c r="DT212" s="43"/>
      <c r="DU212" s="43"/>
      <c r="DV212" s="43"/>
      <c r="DW212" s="43"/>
      <c r="DX212" s="43"/>
      <c r="DY212" s="43"/>
      <c r="DZ212" s="43"/>
    </row>
    <row r="213" spans="2:130" s="46" customFormat="1" ht="13.5" customHeight="1" x14ac:dyDescent="0.15">
      <c r="B213" s="75">
        <f>IF(G213&lt;&gt;"",SUBTOTAL(3,$G$5:G213),"")</f>
        <v>65</v>
      </c>
      <c r="C213" s="75"/>
      <c r="D213" s="75"/>
      <c r="E213" s="76" t="s">
        <v>139</v>
      </c>
      <c r="F213" s="76" t="s">
        <v>135</v>
      </c>
      <c r="G213" s="74" t="s">
        <v>188</v>
      </c>
      <c r="H213" s="61">
        <v>43995</v>
      </c>
      <c r="I213" s="62">
        <v>1</v>
      </c>
      <c r="J213" s="77" t="s">
        <v>427</v>
      </c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78"/>
      <c r="AS213" s="77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78"/>
      <c r="CB213" s="74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  <c r="CU213" s="43"/>
      <c r="CV213" s="43"/>
      <c r="CW213" s="43"/>
      <c r="CX213" s="43"/>
      <c r="CY213" s="43"/>
      <c r="CZ213" s="43"/>
      <c r="DA213" s="43"/>
      <c r="DB213" s="43"/>
      <c r="DC213" s="43"/>
      <c r="DD213" s="43"/>
      <c r="DE213" s="43"/>
      <c r="DF213" s="43"/>
      <c r="DG213" s="43"/>
      <c r="DH213" s="43"/>
      <c r="DI213" s="43"/>
      <c r="DJ213" s="43"/>
      <c r="DK213" s="43"/>
      <c r="DL213" s="43"/>
      <c r="DM213" s="43"/>
      <c r="DN213" s="43"/>
      <c r="DO213" s="43"/>
      <c r="DP213" s="43"/>
      <c r="DQ213" s="43"/>
      <c r="DR213" s="43"/>
      <c r="DS213" s="43"/>
      <c r="DT213" s="43"/>
      <c r="DU213" s="43"/>
      <c r="DV213" s="43"/>
      <c r="DW213" s="43"/>
      <c r="DX213" s="43"/>
      <c r="DY213" s="43"/>
      <c r="DZ213" s="43"/>
    </row>
    <row r="214" spans="2:130" s="46" customFormat="1" ht="13.5" customHeight="1" x14ac:dyDescent="0.15">
      <c r="B214" s="99" t="str">
        <f>IF(G214&lt;&gt;"",SUBTOTAL(3,$G$5:G214),"")</f>
        <v/>
      </c>
      <c r="C214" s="75"/>
      <c r="D214" s="75"/>
      <c r="E214" s="76"/>
      <c r="F214" s="76"/>
      <c r="G214" s="74"/>
      <c r="H214" s="61"/>
      <c r="I214" s="70">
        <v>1</v>
      </c>
      <c r="J214" s="77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78"/>
      <c r="AS214" s="77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78"/>
      <c r="CB214" s="74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  <c r="CU214" s="43"/>
      <c r="CV214" s="43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</row>
    <row r="215" spans="2:130" s="46" customFormat="1" ht="13.5" customHeight="1" x14ac:dyDescent="0.15">
      <c r="B215" s="75">
        <f>IF(G215&lt;&gt;"",SUBTOTAL(3,$G$5:G215),"")</f>
        <v>66</v>
      </c>
      <c r="C215" s="75"/>
      <c r="D215" s="75"/>
      <c r="E215" s="102" t="s">
        <v>139</v>
      </c>
      <c r="F215" s="102" t="s">
        <v>135</v>
      </c>
      <c r="G215" s="104" t="s">
        <v>189</v>
      </c>
      <c r="H215" s="103">
        <v>43975</v>
      </c>
      <c r="I215" s="62"/>
      <c r="J215" s="77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78"/>
      <c r="AS215" s="77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78"/>
      <c r="CB215" s="74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  <c r="CU215" s="43"/>
      <c r="CV215" s="43"/>
      <c r="CW215" s="43"/>
      <c r="CX215" s="43"/>
      <c r="CY215" s="43"/>
      <c r="CZ215" s="43"/>
      <c r="DA215" s="43"/>
      <c r="DB215" s="43"/>
      <c r="DC215" s="43"/>
      <c r="DD215" s="43"/>
      <c r="DE215" s="43"/>
      <c r="DF215" s="43"/>
      <c r="DG215" s="43"/>
      <c r="DH215" s="43"/>
      <c r="DI215" s="43"/>
      <c r="DJ215" s="43"/>
      <c r="DK215" s="43"/>
      <c r="DL215" s="43"/>
      <c r="DM215" s="43"/>
      <c r="DN215" s="43"/>
      <c r="DO215" s="43"/>
      <c r="DP215" s="43"/>
      <c r="DQ215" s="43"/>
      <c r="DR215" s="43"/>
      <c r="DS215" s="43"/>
      <c r="DT215" s="43"/>
      <c r="DU215" s="43"/>
      <c r="DV215" s="43"/>
      <c r="DW215" s="43"/>
      <c r="DX215" s="43"/>
      <c r="DY215" s="43"/>
      <c r="DZ215" s="43"/>
    </row>
    <row r="216" spans="2:130" s="46" customFormat="1" ht="13.5" customHeight="1" x14ac:dyDescent="0.15">
      <c r="B216" s="75">
        <f>IF(G216&lt;&gt;"",SUBTOTAL(3,$G$5:G216),"")</f>
        <v>67</v>
      </c>
      <c r="C216" s="75"/>
      <c r="D216" s="75"/>
      <c r="E216" s="102" t="s">
        <v>139</v>
      </c>
      <c r="F216" s="102" t="s">
        <v>135</v>
      </c>
      <c r="G216" s="104" t="s">
        <v>190</v>
      </c>
      <c r="H216" s="103">
        <v>43975</v>
      </c>
      <c r="I216" s="62"/>
      <c r="J216" s="77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78"/>
      <c r="AS216" s="77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78"/>
      <c r="CB216" s="74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  <c r="CU216" s="43"/>
      <c r="CV216" s="43"/>
      <c r="CW216" s="43"/>
      <c r="CX216" s="43"/>
      <c r="CY216" s="43"/>
      <c r="CZ216" s="43"/>
      <c r="DA216" s="43"/>
      <c r="DB216" s="43"/>
      <c r="DC216" s="43"/>
      <c r="DD216" s="43"/>
      <c r="DE216" s="43"/>
      <c r="DF216" s="43"/>
      <c r="DG216" s="43"/>
      <c r="DH216" s="43"/>
      <c r="DI216" s="43"/>
      <c r="DJ216" s="43"/>
      <c r="DK216" s="43"/>
      <c r="DL216" s="43"/>
      <c r="DM216" s="43"/>
      <c r="DN216" s="43"/>
      <c r="DO216" s="43"/>
      <c r="DP216" s="43"/>
      <c r="DQ216" s="43"/>
      <c r="DR216" s="43"/>
      <c r="DS216" s="43"/>
      <c r="DT216" s="43"/>
      <c r="DU216" s="43"/>
      <c r="DV216" s="43"/>
      <c r="DW216" s="43"/>
      <c r="DX216" s="43"/>
      <c r="DY216" s="43"/>
      <c r="DZ216" s="43"/>
    </row>
    <row r="217" spans="2:130" s="46" customFormat="1" ht="13.5" customHeight="1" x14ac:dyDescent="0.15">
      <c r="B217" s="75">
        <f>IF(G217&lt;&gt;"",SUBTOTAL(3,$G$5:G217),"")</f>
        <v>68</v>
      </c>
      <c r="C217" s="75"/>
      <c r="D217" s="75"/>
      <c r="E217" s="102" t="s">
        <v>139</v>
      </c>
      <c r="F217" s="102" t="s">
        <v>135</v>
      </c>
      <c r="G217" s="104" t="s">
        <v>191</v>
      </c>
      <c r="H217" s="103">
        <v>43975</v>
      </c>
      <c r="I217" s="62"/>
      <c r="J217" s="77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78"/>
      <c r="AS217" s="77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78"/>
      <c r="CB217" s="74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  <c r="CU217" s="43"/>
      <c r="CV217" s="43"/>
      <c r="CW217" s="43"/>
      <c r="CX217" s="43"/>
      <c r="CY217" s="43"/>
      <c r="CZ217" s="43"/>
      <c r="DA217" s="43"/>
      <c r="DB217" s="43"/>
      <c r="DC217" s="43"/>
      <c r="DD217" s="43"/>
      <c r="DE217" s="43"/>
      <c r="DF217" s="43"/>
      <c r="DG217" s="43"/>
      <c r="DH217" s="43"/>
      <c r="DI217" s="43"/>
      <c r="DJ217" s="43"/>
      <c r="DK217" s="43"/>
      <c r="DL217" s="43"/>
      <c r="DM217" s="43"/>
      <c r="DN217" s="43"/>
      <c r="DO217" s="43"/>
      <c r="DP217" s="43"/>
      <c r="DQ217" s="43"/>
      <c r="DR217" s="43"/>
      <c r="DS217" s="43"/>
      <c r="DT217" s="43"/>
      <c r="DU217" s="43"/>
      <c r="DV217" s="43"/>
      <c r="DW217" s="43"/>
      <c r="DX217" s="43"/>
      <c r="DY217" s="43"/>
      <c r="DZ217" s="43"/>
    </row>
    <row r="218" spans="2:130" s="46" customFormat="1" ht="13.5" customHeight="1" x14ac:dyDescent="0.15">
      <c r="B218" s="75">
        <f>IF(G218&lt;&gt;"",SUBTOTAL(3,$G$5:G218),"")</f>
        <v>69</v>
      </c>
      <c r="C218" s="75"/>
      <c r="D218" s="75"/>
      <c r="E218" s="76" t="s">
        <v>139</v>
      </c>
      <c r="F218" s="76" t="s">
        <v>135</v>
      </c>
      <c r="G218" s="74" t="s">
        <v>192</v>
      </c>
      <c r="H218" s="61">
        <v>43975</v>
      </c>
      <c r="I218" s="62">
        <v>1</v>
      </c>
      <c r="J218" s="77" t="s">
        <v>428</v>
      </c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78"/>
      <c r="AS218" s="77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78"/>
      <c r="CB218" s="74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  <c r="CU218" s="43"/>
      <c r="CV218" s="43"/>
      <c r="CW218" s="43"/>
      <c r="CX218" s="43"/>
      <c r="CY218" s="43"/>
      <c r="CZ218" s="43"/>
      <c r="DA218" s="43"/>
      <c r="DB218" s="43"/>
      <c r="DC218" s="43"/>
      <c r="DD218" s="43"/>
      <c r="DE218" s="43"/>
      <c r="DF218" s="43"/>
      <c r="DG218" s="43"/>
      <c r="DH218" s="43"/>
      <c r="DI218" s="43"/>
      <c r="DJ218" s="43"/>
      <c r="DK218" s="43"/>
      <c r="DL218" s="43"/>
      <c r="DM218" s="43"/>
      <c r="DN218" s="43"/>
      <c r="DO218" s="43"/>
      <c r="DP218" s="43"/>
      <c r="DQ218" s="43"/>
      <c r="DR218" s="43"/>
      <c r="DS218" s="43"/>
      <c r="DT218" s="43"/>
      <c r="DU218" s="43"/>
      <c r="DV218" s="43"/>
      <c r="DW218" s="43"/>
      <c r="DX218" s="43"/>
      <c r="DY218" s="43"/>
      <c r="DZ218" s="43"/>
    </row>
    <row r="219" spans="2:130" s="46" customFormat="1" ht="13.5" customHeight="1" x14ac:dyDescent="0.15">
      <c r="B219" s="99" t="str">
        <f>IF(G219&lt;&gt;"",SUBTOTAL(3,$G$5:G219),"")</f>
        <v/>
      </c>
      <c r="C219" s="75"/>
      <c r="D219" s="75"/>
      <c r="E219" s="76"/>
      <c r="F219" s="76"/>
      <c r="G219" s="74"/>
      <c r="H219" s="61"/>
      <c r="I219" s="70">
        <v>1</v>
      </c>
      <c r="J219" s="77" t="s">
        <v>429</v>
      </c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78"/>
      <c r="AS219" s="77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78"/>
      <c r="CB219" s="74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  <c r="CU219" s="43"/>
      <c r="CV219" s="43"/>
      <c r="CW219" s="43"/>
      <c r="CX219" s="43"/>
      <c r="CY219" s="43"/>
      <c r="CZ219" s="43"/>
      <c r="DA219" s="43"/>
      <c r="DB219" s="43"/>
      <c r="DC219" s="43"/>
      <c r="DD219" s="43"/>
      <c r="DE219" s="43"/>
      <c r="DF219" s="43"/>
      <c r="DG219" s="43"/>
      <c r="DH219" s="43"/>
      <c r="DI219" s="43"/>
      <c r="DJ219" s="43"/>
      <c r="DK219" s="43"/>
      <c r="DL219" s="43"/>
      <c r="DM219" s="43"/>
      <c r="DN219" s="43"/>
      <c r="DO219" s="43"/>
      <c r="DP219" s="43"/>
      <c r="DQ219" s="43"/>
      <c r="DR219" s="43"/>
      <c r="DS219" s="43"/>
      <c r="DT219" s="43"/>
      <c r="DU219" s="43"/>
      <c r="DV219" s="43"/>
      <c r="DW219" s="43"/>
      <c r="DX219" s="43"/>
      <c r="DY219" s="43"/>
      <c r="DZ219" s="43"/>
    </row>
    <row r="220" spans="2:130" s="46" customFormat="1" ht="13.5" customHeight="1" x14ac:dyDescent="0.15">
      <c r="B220" s="99" t="str">
        <f>IF(G220&lt;&gt;"",SUBTOTAL(3,$G$5:G220),"")</f>
        <v/>
      </c>
      <c r="C220" s="75"/>
      <c r="D220" s="75"/>
      <c r="E220" s="76"/>
      <c r="F220" s="76"/>
      <c r="G220" s="74"/>
      <c r="H220" s="61"/>
      <c r="I220" s="70">
        <v>1</v>
      </c>
      <c r="J220" s="77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78"/>
      <c r="AS220" s="77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78"/>
      <c r="CB220" s="74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  <c r="CU220" s="43"/>
      <c r="CV220" s="43"/>
      <c r="CW220" s="43"/>
      <c r="CX220" s="43"/>
      <c r="CY220" s="43"/>
      <c r="CZ220" s="43"/>
      <c r="DA220" s="43"/>
      <c r="DB220" s="43"/>
      <c r="DC220" s="43"/>
      <c r="DD220" s="43"/>
      <c r="DE220" s="43"/>
      <c r="DF220" s="43"/>
      <c r="DG220" s="43"/>
      <c r="DH220" s="43"/>
      <c r="DI220" s="43"/>
      <c r="DJ220" s="43"/>
      <c r="DK220" s="43"/>
      <c r="DL220" s="43"/>
      <c r="DM220" s="43"/>
      <c r="DN220" s="43"/>
      <c r="DO220" s="43"/>
      <c r="DP220" s="43"/>
      <c r="DQ220" s="43"/>
      <c r="DR220" s="43"/>
      <c r="DS220" s="43"/>
      <c r="DT220" s="43"/>
      <c r="DU220" s="43"/>
      <c r="DV220" s="43"/>
      <c r="DW220" s="43"/>
      <c r="DX220" s="43"/>
      <c r="DY220" s="43"/>
      <c r="DZ220" s="43"/>
    </row>
    <row r="221" spans="2:130" s="46" customFormat="1" ht="13.5" customHeight="1" x14ac:dyDescent="0.15">
      <c r="B221" s="75">
        <f>IF(G221&lt;&gt;"",SUBTOTAL(3,$G$5:G221),"")</f>
        <v>70</v>
      </c>
      <c r="C221" s="75"/>
      <c r="D221" s="75"/>
      <c r="E221" s="76" t="s">
        <v>139</v>
      </c>
      <c r="F221" s="76" t="s">
        <v>135</v>
      </c>
      <c r="G221" s="74" t="s">
        <v>193</v>
      </c>
      <c r="H221" s="61">
        <v>43977</v>
      </c>
      <c r="I221" s="62">
        <v>1</v>
      </c>
      <c r="J221" s="77" t="s">
        <v>430</v>
      </c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78"/>
      <c r="AS221" s="77"/>
      <c r="AT221" s="43"/>
      <c r="AU221" s="43"/>
      <c r="AV221" s="43"/>
      <c r="AW221" s="43"/>
      <c r="AX221" s="43"/>
      <c r="AY221" s="43"/>
      <c r="AZ221" s="43"/>
      <c r="BA221" s="43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43"/>
      <c r="BR221" s="43"/>
      <c r="BS221" s="43"/>
      <c r="BT221" s="43"/>
      <c r="BU221" s="43"/>
      <c r="BV221" s="43"/>
      <c r="BW221" s="43"/>
      <c r="BX221" s="43"/>
      <c r="BY221" s="43"/>
      <c r="BZ221" s="43"/>
      <c r="CA221" s="78"/>
      <c r="CB221" s="74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  <c r="CU221" s="43"/>
      <c r="CV221" s="43"/>
      <c r="CW221" s="43"/>
      <c r="CX221" s="43"/>
      <c r="CY221" s="43"/>
      <c r="CZ221" s="43"/>
      <c r="DA221" s="43"/>
      <c r="DB221" s="43"/>
      <c r="DC221" s="43"/>
      <c r="DD221" s="43"/>
      <c r="DE221" s="43"/>
      <c r="DF221" s="43"/>
      <c r="DG221" s="43"/>
      <c r="DH221" s="43"/>
      <c r="DI221" s="43"/>
      <c r="DJ221" s="43"/>
      <c r="DK221" s="43"/>
      <c r="DL221" s="43"/>
      <c r="DM221" s="43"/>
      <c r="DN221" s="43"/>
      <c r="DO221" s="43"/>
      <c r="DP221" s="43"/>
      <c r="DQ221" s="43"/>
      <c r="DR221" s="43"/>
      <c r="DS221" s="43"/>
      <c r="DT221" s="43"/>
      <c r="DU221" s="43"/>
      <c r="DV221" s="43"/>
      <c r="DW221" s="43"/>
      <c r="DX221" s="43"/>
      <c r="DY221" s="43"/>
      <c r="DZ221" s="43"/>
    </row>
    <row r="222" spans="2:130" s="46" customFormat="1" ht="13.5" customHeight="1" x14ac:dyDescent="0.15">
      <c r="B222" s="99" t="str">
        <f>IF(G222&lt;&gt;"",SUBTOTAL(3,$G$5:G222),"")</f>
        <v/>
      </c>
      <c r="C222" s="75"/>
      <c r="D222" s="75"/>
      <c r="E222" s="76"/>
      <c r="F222" s="76"/>
      <c r="G222" s="74"/>
      <c r="H222" s="61"/>
      <c r="I222" s="70">
        <v>1</v>
      </c>
      <c r="J222" s="77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78"/>
      <c r="AS222" s="77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43"/>
      <c r="BO222" s="43"/>
      <c r="BP222" s="43"/>
      <c r="BQ222" s="43"/>
      <c r="BR222" s="43"/>
      <c r="BS222" s="43"/>
      <c r="BT222" s="43"/>
      <c r="BU222" s="43"/>
      <c r="BV222" s="43"/>
      <c r="BW222" s="43"/>
      <c r="BX222" s="43"/>
      <c r="BY222" s="43"/>
      <c r="BZ222" s="43"/>
      <c r="CA222" s="78"/>
      <c r="CB222" s="74"/>
      <c r="CC222" s="43"/>
      <c r="CD222" s="43"/>
      <c r="CE222" s="43"/>
      <c r="CF222" s="43"/>
      <c r="CG222" s="43"/>
      <c r="CH222" s="43"/>
      <c r="CI222" s="43"/>
      <c r="CJ222" s="43"/>
      <c r="CK222" s="43"/>
      <c r="CL222" s="43"/>
      <c r="CM222" s="43"/>
      <c r="CN222" s="43"/>
      <c r="CO222" s="43"/>
      <c r="CP222" s="43"/>
      <c r="CQ222" s="43"/>
      <c r="CR222" s="43"/>
      <c r="CS222" s="43"/>
      <c r="CT222" s="43"/>
      <c r="CU222" s="43"/>
      <c r="CV222" s="43"/>
      <c r="CW222" s="43"/>
      <c r="CX222" s="43"/>
      <c r="CY222" s="43"/>
      <c r="CZ222" s="43"/>
      <c r="DA222" s="43"/>
      <c r="DB222" s="43"/>
      <c r="DC222" s="43"/>
      <c r="DD222" s="43"/>
      <c r="DE222" s="43"/>
      <c r="DF222" s="43"/>
      <c r="DG222" s="43"/>
      <c r="DH222" s="43"/>
      <c r="DI222" s="43"/>
      <c r="DJ222" s="43"/>
      <c r="DK222" s="43"/>
      <c r="DL222" s="43"/>
      <c r="DM222" s="43"/>
      <c r="DN222" s="43"/>
      <c r="DO222" s="43"/>
      <c r="DP222" s="43"/>
      <c r="DQ222" s="43"/>
      <c r="DR222" s="43"/>
      <c r="DS222" s="43"/>
      <c r="DT222" s="43"/>
      <c r="DU222" s="43"/>
      <c r="DV222" s="43"/>
      <c r="DW222" s="43"/>
      <c r="DX222" s="43"/>
      <c r="DY222" s="43"/>
      <c r="DZ222" s="43"/>
    </row>
    <row r="223" spans="2:130" s="46" customFormat="1" ht="13.5" customHeight="1" x14ac:dyDescent="0.15">
      <c r="B223" s="75">
        <f>IF(G223&lt;&gt;"",SUBTOTAL(3,$G$5:G223),"")</f>
        <v>71</v>
      </c>
      <c r="C223" s="75"/>
      <c r="D223" s="75"/>
      <c r="E223" s="76" t="s">
        <v>139</v>
      </c>
      <c r="F223" s="76" t="s">
        <v>135</v>
      </c>
      <c r="G223" s="74" t="s">
        <v>194</v>
      </c>
      <c r="H223" s="61">
        <v>43977</v>
      </c>
      <c r="I223" s="62">
        <v>1</v>
      </c>
      <c r="J223" s="77" t="s">
        <v>431</v>
      </c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R223" s="78"/>
      <c r="AS223" s="77"/>
      <c r="AT223" s="43"/>
      <c r="AU223" s="43"/>
      <c r="AV223" s="43"/>
      <c r="AW223" s="43"/>
      <c r="AX223" s="43"/>
      <c r="AY223" s="43"/>
      <c r="AZ223" s="43"/>
      <c r="BA223" s="43"/>
      <c r="BB223" s="43"/>
      <c r="BC223" s="43"/>
      <c r="BD223" s="43"/>
      <c r="BE223" s="43"/>
      <c r="BF223" s="43"/>
      <c r="BG223" s="43"/>
      <c r="BH223" s="43"/>
      <c r="BI223" s="43"/>
      <c r="BJ223" s="43"/>
      <c r="BK223" s="43"/>
      <c r="BL223" s="43"/>
      <c r="BM223" s="43"/>
      <c r="BN223" s="43"/>
      <c r="BO223" s="43"/>
      <c r="BP223" s="43"/>
      <c r="BQ223" s="43"/>
      <c r="BR223" s="43"/>
      <c r="BS223" s="43"/>
      <c r="BT223" s="43"/>
      <c r="BU223" s="43"/>
      <c r="BV223" s="43"/>
      <c r="BW223" s="43"/>
      <c r="BX223" s="43"/>
      <c r="BY223" s="43"/>
      <c r="BZ223" s="43"/>
      <c r="CA223" s="78"/>
      <c r="CB223" s="74"/>
      <c r="CC223" s="43"/>
      <c r="CD223" s="43"/>
      <c r="CE223" s="43"/>
      <c r="CF223" s="43"/>
      <c r="CG223" s="43"/>
      <c r="CH223" s="43"/>
      <c r="CI223" s="43"/>
      <c r="CJ223" s="43"/>
      <c r="CK223" s="43"/>
      <c r="CL223" s="43"/>
      <c r="CM223" s="43"/>
      <c r="CN223" s="43"/>
      <c r="CO223" s="43"/>
      <c r="CP223" s="43"/>
      <c r="CQ223" s="43"/>
      <c r="CR223" s="43"/>
      <c r="CS223" s="43"/>
      <c r="CT223" s="43"/>
      <c r="CU223" s="43"/>
      <c r="CV223" s="43"/>
      <c r="CW223" s="43"/>
      <c r="CX223" s="43"/>
      <c r="CY223" s="43"/>
      <c r="CZ223" s="43"/>
      <c r="DA223" s="43"/>
      <c r="DB223" s="43"/>
      <c r="DC223" s="43"/>
      <c r="DD223" s="43"/>
      <c r="DE223" s="43"/>
      <c r="DF223" s="43"/>
      <c r="DG223" s="43"/>
      <c r="DH223" s="43"/>
      <c r="DI223" s="43"/>
      <c r="DJ223" s="43"/>
      <c r="DK223" s="43"/>
      <c r="DL223" s="43"/>
      <c r="DM223" s="43"/>
      <c r="DN223" s="43"/>
      <c r="DO223" s="43"/>
      <c r="DP223" s="43"/>
      <c r="DQ223" s="43"/>
      <c r="DR223" s="43"/>
      <c r="DS223" s="43"/>
      <c r="DT223" s="43"/>
      <c r="DU223" s="43"/>
      <c r="DV223" s="43"/>
      <c r="DW223" s="43"/>
      <c r="DX223" s="43"/>
      <c r="DY223" s="43"/>
      <c r="DZ223" s="43"/>
    </row>
    <row r="224" spans="2:130" s="46" customFormat="1" ht="13.5" customHeight="1" x14ac:dyDescent="0.15">
      <c r="B224" s="99" t="str">
        <f>IF(G224&lt;&gt;"",SUBTOTAL(3,$G$5:G224),"")</f>
        <v/>
      </c>
      <c r="C224" s="75"/>
      <c r="D224" s="75"/>
      <c r="E224" s="76"/>
      <c r="F224" s="76"/>
      <c r="G224" s="74"/>
      <c r="H224" s="61"/>
      <c r="I224" s="70">
        <v>1</v>
      </c>
      <c r="J224" s="77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78"/>
      <c r="AS224" s="77"/>
      <c r="AT224" s="43"/>
      <c r="AU224" s="43"/>
      <c r="AV224" s="43"/>
      <c r="AW224" s="43"/>
      <c r="AX224" s="43"/>
      <c r="AY224" s="43"/>
      <c r="AZ224" s="43"/>
      <c r="BA224" s="43"/>
      <c r="BB224" s="43"/>
      <c r="BC224" s="43"/>
      <c r="BD224" s="43"/>
      <c r="BE224" s="43"/>
      <c r="BF224" s="43"/>
      <c r="BG224" s="43"/>
      <c r="BH224" s="43"/>
      <c r="BI224" s="43"/>
      <c r="BJ224" s="43"/>
      <c r="BK224" s="43"/>
      <c r="BL224" s="43"/>
      <c r="BM224" s="43"/>
      <c r="BN224" s="43"/>
      <c r="BO224" s="43"/>
      <c r="BP224" s="43"/>
      <c r="BQ224" s="43"/>
      <c r="BR224" s="43"/>
      <c r="BS224" s="43"/>
      <c r="BT224" s="43"/>
      <c r="BU224" s="43"/>
      <c r="BV224" s="43"/>
      <c r="BW224" s="43"/>
      <c r="BX224" s="43"/>
      <c r="BY224" s="43"/>
      <c r="BZ224" s="43"/>
      <c r="CA224" s="78"/>
      <c r="CB224" s="74"/>
      <c r="CC224" s="43"/>
      <c r="CD224" s="43"/>
      <c r="CE224" s="43"/>
      <c r="CF224" s="43"/>
      <c r="CG224" s="43"/>
      <c r="CH224" s="43"/>
      <c r="CI224" s="43"/>
      <c r="CJ224" s="43"/>
      <c r="CK224" s="43"/>
      <c r="CL224" s="43"/>
      <c r="CM224" s="43"/>
      <c r="CN224" s="43"/>
      <c r="CO224" s="43"/>
      <c r="CP224" s="43"/>
      <c r="CQ224" s="43"/>
      <c r="CR224" s="43"/>
      <c r="CS224" s="43"/>
      <c r="CT224" s="43"/>
      <c r="CU224" s="43"/>
      <c r="CV224" s="43"/>
      <c r="CW224" s="43"/>
      <c r="CX224" s="43"/>
      <c r="CY224" s="43"/>
      <c r="CZ224" s="43"/>
      <c r="DA224" s="43"/>
      <c r="DB224" s="43"/>
      <c r="DC224" s="43"/>
      <c r="DD224" s="43"/>
      <c r="DE224" s="43"/>
      <c r="DF224" s="43"/>
      <c r="DG224" s="43"/>
      <c r="DH224" s="43"/>
      <c r="DI224" s="43"/>
      <c r="DJ224" s="43"/>
      <c r="DK224" s="43"/>
      <c r="DL224" s="43"/>
      <c r="DM224" s="43"/>
      <c r="DN224" s="43"/>
      <c r="DO224" s="43"/>
      <c r="DP224" s="43"/>
      <c r="DQ224" s="43"/>
      <c r="DR224" s="43"/>
      <c r="DS224" s="43"/>
      <c r="DT224" s="43"/>
      <c r="DU224" s="43"/>
      <c r="DV224" s="43"/>
      <c r="DW224" s="43"/>
      <c r="DX224" s="43"/>
      <c r="DY224" s="43"/>
      <c r="DZ224" s="43"/>
    </row>
    <row r="225" spans="2:130" s="46" customFormat="1" ht="13.5" customHeight="1" x14ac:dyDescent="0.15">
      <c r="B225" s="75">
        <f>IF(G225&lt;&gt;"",SUBTOTAL(3,$G$5:G225),"")</f>
        <v>72</v>
      </c>
      <c r="C225" s="75"/>
      <c r="D225" s="75"/>
      <c r="E225" s="76" t="s">
        <v>139</v>
      </c>
      <c r="F225" s="76" t="s">
        <v>135</v>
      </c>
      <c r="G225" s="74" t="s">
        <v>195</v>
      </c>
      <c r="H225" s="61">
        <v>43977</v>
      </c>
      <c r="I225" s="62">
        <v>1</v>
      </c>
      <c r="J225" s="77" t="s">
        <v>463</v>
      </c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R225" s="78"/>
      <c r="AS225" s="77"/>
      <c r="AT225" s="43"/>
      <c r="AU225" s="43"/>
      <c r="AV225" s="43"/>
      <c r="AW225" s="43"/>
      <c r="AX225" s="43"/>
      <c r="AY225" s="43"/>
      <c r="AZ225" s="43"/>
      <c r="BA225" s="43"/>
      <c r="BB225" s="43"/>
      <c r="BC225" s="43"/>
      <c r="BD225" s="43"/>
      <c r="BE225" s="43"/>
      <c r="BF225" s="43"/>
      <c r="BG225" s="43"/>
      <c r="BH225" s="43"/>
      <c r="BI225" s="43"/>
      <c r="BJ225" s="43"/>
      <c r="BK225" s="43"/>
      <c r="BL225" s="43"/>
      <c r="BM225" s="43"/>
      <c r="BN225" s="43"/>
      <c r="BO225" s="43"/>
      <c r="BP225" s="43"/>
      <c r="BQ225" s="43"/>
      <c r="BR225" s="43"/>
      <c r="BS225" s="43"/>
      <c r="BT225" s="43"/>
      <c r="BU225" s="43"/>
      <c r="BV225" s="43"/>
      <c r="BW225" s="43"/>
      <c r="BX225" s="43"/>
      <c r="BY225" s="43"/>
      <c r="BZ225" s="43"/>
      <c r="CA225" s="78"/>
      <c r="CB225" s="74"/>
      <c r="CC225" s="43"/>
      <c r="CD225" s="43"/>
      <c r="CE225" s="43"/>
      <c r="CF225" s="43"/>
      <c r="CG225" s="43"/>
      <c r="CH225" s="43"/>
      <c r="CI225" s="43"/>
      <c r="CJ225" s="43"/>
      <c r="CK225" s="43"/>
      <c r="CL225" s="43"/>
      <c r="CM225" s="43"/>
      <c r="CN225" s="43"/>
      <c r="CO225" s="43"/>
      <c r="CP225" s="43"/>
      <c r="CQ225" s="43"/>
      <c r="CR225" s="43"/>
      <c r="CS225" s="43"/>
      <c r="CT225" s="43"/>
      <c r="CU225" s="43"/>
      <c r="CV225" s="43"/>
      <c r="CW225" s="43"/>
      <c r="CX225" s="43"/>
      <c r="CY225" s="43"/>
      <c r="CZ225" s="43"/>
      <c r="DA225" s="43"/>
      <c r="DB225" s="43"/>
      <c r="DC225" s="43"/>
      <c r="DD225" s="43"/>
      <c r="DE225" s="43"/>
      <c r="DF225" s="43"/>
      <c r="DG225" s="43"/>
      <c r="DH225" s="43"/>
      <c r="DI225" s="43"/>
      <c r="DJ225" s="43"/>
      <c r="DK225" s="43"/>
      <c r="DL225" s="43"/>
      <c r="DM225" s="43"/>
      <c r="DN225" s="43"/>
      <c r="DO225" s="43"/>
      <c r="DP225" s="43"/>
      <c r="DQ225" s="43"/>
      <c r="DR225" s="43"/>
      <c r="DS225" s="43"/>
      <c r="DT225" s="43"/>
      <c r="DU225" s="43"/>
      <c r="DV225" s="43"/>
      <c r="DW225" s="43"/>
      <c r="DX225" s="43"/>
      <c r="DY225" s="43"/>
      <c r="DZ225" s="43"/>
    </row>
    <row r="226" spans="2:130" s="46" customFormat="1" ht="13.5" customHeight="1" x14ac:dyDescent="0.15">
      <c r="B226" s="99" t="str">
        <f>IF(G226&lt;&gt;"",SUBTOTAL(3,$G$5:G226),"")</f>
        <v/>
      </c>
      <c r="C226" s="75"/>
      <c r="D226" s="75"/>
      <c r="E226" s="76"/>
      <c r="F226" s="76"/>
      <c r="G226" s="74"/>
      <c r="H226" s="61"/>
      <c r="I226" s="70">
        <v>1</v>
      </c>
      <c r="J226" s="77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78"/>
      <c r="AS226" s="77"/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43"/>
      <c r="BO226" s="43"/>
      <c r="BP226" s="43"/>
      <c r="BQ226" s="43"/>
      <c r="BR226" s="43"/>
      <c r="BS226" s="43"/>
      <c r="BT226" s="43"/>
      <c r="BU226" s="43"/>
      <c r="BV226" s="43"/>
      <c r="BW226" s="43"/>
      <c r="BX226" s="43"/>
      <c r="BY226" s="43"/>
      <c r="BZ226" s="43"/>
      <c r="CA226" s="78"/>
      <c r="CB226" s="74"/>
      <c r="CC226" s="43"/>
      <c r="CD226" s="43"/>
      <c r="CE226" s="43"/>
      <c r="CF226" s="43"/>
      <c r="CG226" s="43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  <c r="CU226" s="43"/>
      <c r="CV226" s="43"/>
      <c r="CW226" s="43"/>
      <c r="CX226" s="43"/>
      <c r="CY226" s="43"/>
      <c r="CZ226" s="43"/>
      <c r="DA226" s="43"/>
      <c r="DB226" s="43"/>
      <c r="DC226" s="43"/>
      <c r="DD226" s="43"/>
      <c r="DE226" s="43"/>
      <c r="DF226" s="43"/>
      <c r="DG226" s="43"/>
      <c r="DH226" s="43"/>
      <c r="DI226" s="43"/>
      <c r="DJ226" s="43"/>
      <c r="DK226" s="43"/>
      <c r="DL226" s="43"/>
      <c r="DM226" s="43"/>
      <c r="DN226" s="43"/>
      <c r="DO226" s="43"/>
      <c r="DP226" s="43"/>
      <c r="DQ226" s="43"/>
      <c r="DR226" s="43"/>
      <c r="DS226" s="43"/>
      <c r="DT226" s="43"/>
      <c r="DU226" s="43"/>
      <c r="DV226" s="43"/>
      <c r="DW226" s="43"/>
      <c r="DX226" s="43"/>
      <c r="DY226" s="43"/>
      <c r="DZ226" s="43"/>
    </row>
    <row r="227" spans="2:130" s="46" customFormat="1" ht="13.5" customHeight="1" x14ac:dyDescent="0.15">
      <c r="B227" s="75">
        <f>IF(G227&lt;&gt;"",SUBTOTAL(3,$G$5:G227),"")</f>
        <v>73</v>
      </c>
      <c r="C227" s="75"/>
      <c r="D227" s="75"/>
      <c r="E227" s="76" t="s">
        <v>139</v>
      </c>
      <c r="F227" s="76" t="s">
        <v>135</v>
      </c>
      <c r="G227" s="74" t="s">
        <v>196</v>
      </c>
      <c r="H227" s="61">
        <v>43995</v>
      </c>
      <c r="I227" s="62">
        <v>1</v>
      </c>
      <c r="J227" s="77" t="s">
        <v>435</v>
      </c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78"/>
      <c r="AS227" s="77"/>
      <c r="AT227" s="43"/>
      <c r="AU227" s="43"/>
      <c r="AV227" s="43"/>
      <c r="AW227" s="43"/>
      <c r="AX227" s="43"/>
      <c r="AY227" s="43"/>
      <c r="AZ227" s="43"/>
      <c r="BA227" s="43"/>
      <c r="BB227" s="43"/>
      <c r="BC227" s="43"/>
      <c r="BD227" s="43"/>
      <c r="BE227" s="43"/>
      <c r="BF227" s="43"/>
      <c r="BG227" s="43"/>
      <c r="BH227" s="43"/>
      <c r="BI227" s="43"/>
      <c r="BJ227" s="43"/>
      <c r="BK227" s="43"/>
      <c r="BL227" s="43"/>
      <c r="BM227" s="43"/>
      <c r="BN227" s="43"/>
      <c r="BO227" s="43"/>
      <c r="BP227" s="43"/>
      <c r="BQ227" s="43"/>
      <c r="BR227" s="43"/>
      <c r="BS227" s="43"/>
      <c r="BT227" s="43"/>
      <c r="BU227" s="43"/>
      <c r="BV227" s="43"/>
      <c r="BW227" s="43"/>
      <c r="BX227" s="43"/>
      <c r="BY227" s="43"/>
      <c r="BZ227" s="43"/>
      <c r="CA227" s="78"/>
      <c r="CB227" s="74"/>
      <c r="CC227" s="43"/>
      <c r="CD227" s="43"/>
      <c r="CE227" s="43"/>
      <c r="CF227" s="43"/>
      <c r="CG227" s="43"/>
      <c r="CH227" s="43"/>
      <c r="CI227" s="43"/>
      <c r="CJ227" s="43"/>
      <c r="CK227" s="43"/>
      <c r="CL227" s="43"/>
      <c r="CM227" s="43"/>
      <c r="CN227" s="43"/>
      <c r="CO227" s="43"/>
      <c r="CP227" s="43"/>
      <c r="CQ227" s="43"/>
      <c r="CR227" s="43"/>
      <c r="CS227" s="43"/>
      <c r="CT227" s="43"/>
      <c r="CU227" s="43"/>
      <c r="CV227" s="43"/>
      <c r="CW227" s="43"/>
      <c r="CX227" s="43"/>
      <c r="CY227" s="43"/>
      <c r="CZ227" s="43"/>
      <c r="DA227" s="43"/>
      <c r="DB227" s="43"/>
      <c r="DC227" s="43"/>
      <c r="DD227" s="43"/>
      <c r="DE227" s="43"/>
      <c r="DF227" s="43"/>
      <c r="DG227" s="43"/>
      <c r="DH227" s="43"/>
      <c r="DI227" s="43"/>
      <c r="DJ227" s="43"/>
      <c r="DK227" s="43"/>
      <c r="DL227" s="43"/>
      <c r="DM227" s="43"/>
      <c r="DN227" s="43"/>
      <c r="DO227" s="43"/>
      <c r="DP227" s="43"/>
      <c r="DQ227" s="43"/>
      <c r="DR227" s="43"/>
      <c r="DS227" s="43"/>
      <c r="DT227" s="43"/>
      <c r="DU227" s="43"/>
      <c r="DV227" s="43"/>
      <c r="DW227" s="43"/>
      <c r="DX227" s="43"/>
      <c r="DY227" s="43"/>
      <c r="DZ227" s="43"/>
    </row>
    <row r="228" spans="2:130" s="46" customFormat="1" ht="13.5" customHeight="1" x14ac:dyDescent="0.15">
      <c r="B228" s="99" t="str">
        <f>IF(G228&lt;&gt;"",SUBTOTAL(3,$G$5:G228),"")</f>
        <v/>
      </c>
      <c r="C228" s="75"/>
      <c r="D228" s="75"/>
      <c r="E228" s="76"/>
      <c r="F228" s="76"/>
      <c r="G228" s="74"/>
      <c r="H228" s="61"/>
      <c r="I228" s="70">
        <v>1</v>
      </c>
      <c r="J228" s="77" t="s">
        <v>436</v>
      </c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78"/>
      <c r="AS228" s="77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43"/>
      <c r="BR228" s="43"/>
      <c r="BS228" s="43"/>
      <c r="BT228" s="43"/>
      <c r="BU228" s="43"/>
      <c r="BV228" s="43"/>
      <c r="BW228" s="43"/>
      <c r="BX228" s="43"/>
      <c r="BY228" s="43"/>
      <c r="BZ228" s="43"/>
      <c r="CA228" s="78"/>
      <c r="CB228" s="74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  <c r="CU228" s="43"/>
      <c r="CV228" s="43"/>
      <c r="CW228" s="43"/>
      <c r="CX228" s="43"/>
      <c r="CY228" s="43"/>
      <c r="CZ228" s="43"/>
      <c r="DA228" s="43"/>
      <c r="DB228" s="43"/>
      <c r="DC228" s="43"/>
      <c r="DD228" s="43"/>
      <c r="DE228" s="43"/>
      <c r="DF228" s="43"/>
      <c r="DG228" s="43"/>
      <c r="DH228" s="43"/>
      <c r="DI228" s="43"/>
      <c r="DJ228" s="43"/>
      <c r="DK228" s="43"/>
      <c r="DL228" s="43"/>
      <c r="DM228" s="43"/>
      <c r="DN228" s="43"/>
      <c r="DO228" s="43"/>
      <c r="DP228" s="43"/>
      <c r="DQ228" s="43"/>
      <c r="DR228" s="43"/>
      <c r="DS228" s="43"/>
      <c r="DT228" s="43"/>
      <c r="DU228" s="43"/>
      <c r="DV228" s="43"/>
      <c r="DW228" s="43"/>
      <c r="DX228" s="43"/>
      <c r="DY228" s="43"/>
      <c r="DZ228" s="43"/>
    </row>
    <row r="229" spans="2:130" s="46" customFormat="1" ht="13.5" customHeight="1" x14ac:dyDescent="0.15">
      <c r="B229" s="99" t="str">
        <f>IF(G229&lt;&gt;"",SUBTOTAL(3,$G$5:G229),"")</f>
        <v/>
      </c>
      <c r="C229" s="75"/>
      <c r="D229" s="75"/>
      <c r="E229" s="76"/>
      <c r="F229" s="76"/>
      <c r="G229" s="74"/>
      <c r="H229" s="61"/>
      <c r="I229" s="70">
        <v>1</v>
      </c>
      <c r="J229" s="77" t="s">
        <v>437</v>
      </c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78"/>
      <c r="AS229" s="77"/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43"/>
      <c r="BO229" s="43"/>
      <c r="BP229" s="43"/>
      <c r="BQ229" s="43"/>
      <c r="BR229" s="43"/>
      <c r="BS229" s="43"/>
      <c r="BT229" s="43"/>
      <c r="BU229" s="43"/>
      <c r="BV229" s="43"/>
      <c r="BW229" s="43"/>
      <c r="BX229" s="43"/>
      <c r="BY229" s="43"/>
      <c r="BZ229" s="43"/>
      <c r="CA229" s="78"/>
      <c r="CB229" s="74"/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  <c r="CU229" s="43"/>
      <c r="CV229" s="43"/>
      <c r="CW229" s="43"/>
      <c r="CX229" s="43"/>
      <c r="CY229" s="43"/>
      <c r="CZ229" s="43"/>
      <c r="DA229" s="43"/>
      <c r="DB229" s="43"/>
      <c r="DC229" s="43"/>
      <c r="DD229" s="43"/>
      <c r="DE229" s="43"/>
      <c r="DF229" s="43"/>
      <c r="DG229" s="43"/>
      <c r="DH229" s="43"/>
      <c r="DI229" s="43"/>
      <c r="DJ229" s="43"/>
      <c r="DK229" s="43"/>
      <c r="DL229" s="43"/>
      <c r="DM229" s="43"/>
      <c r="DN229" s="43"/>
      <c r="DO229" s="43"/>
      <c r="DP229" s="43"/>
      <c r="DQ229" s="43"/>
      <c r="DR229" s="43"/>
      <c r="DS229" s="43"/>
      <c r="DT229" s="43"/>
      <c r="DU229" s="43"/>
      <c r="DV229" s="43"/>
      <c r="DW229" s="43"/>
      <c r="DX229" s="43"/>
      <c r="DY229" s="43"/>
      <c r="DZ229" s="43"/>
    </row>
    <row r="230" spans="2:130" s="46" customFormat="1" ht="13.5" customHeight="1" x14ac:dyDescent="0.15">
      <c r="B230" s="99" t="str">
        <f>IF(G230&lt;&gt;"",SUBTOTAL(3,$G$5:G230),"")</f>
        <v/>
      </c>
      <c r="C230" s="75"/>
      <c r="D230" s="75"/>
      <c r="E230" s="76"/>
      <c r="F230" s="76"/>
      <c r="G230" s="74"/>
      <c r="H230" s="61"/>
      <c r="I230" s="70">
        <v>1</v>
      </c>
      <c r="J230" s="77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78"/>
      <c r="AS230" s="77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78"/>
      <c r="CB230" s="74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3"/>
      <c r="CO230" s="43"/>
      <c r="CP230" s="43"/>
      <c r="CQ230" s="43"/>
      <c r="CR230" s="43"/>
      <c r="CS230" s="43"/>
      <c r="CT230" s="43"/>
      <c r="CU230" s="43"/>
      <c r="CV230" s="43"/>
      <c r="CW230" s="43"/>
      <c r="CX230" s="43"/>
      <c r="CY230" s="43"/>
      <c r="CZ230" s="43"/>
      <c r="DA230" s="43"/>
      <c r="DB230" s="43"/>
      <c r="DC230" s="43"/>
      <c r="DD230" s="43"/>
      <c r="DE230" s="43"/>
      <c r="DF230" s="43"/>
      <c r="DG230" s="43"/>
      <c r="DH230" s="43"/>
      <c r="DI230" s="43"/>
      <c r="DJ230" s="43"/>
      <c r="DK230" s="43"/>
      <c r="DL230" s="43"/>
      <c r="DM230" s="43"/>
      <c r="DN230" s="43"/>
      <c r="DO230" s="43"/>
      <c r="DP230" s="43"/>
      <c r="DQ230" s="43"/>
      <c r="DR230" s="43"/>
      <c r="DS230" s="43"/>
      <c r="DT230" s="43"/>
      <c r="DU230" s="43"/>
      <c r="DV230" s="43"/>
      <c r="DW230" s="43"/>
      <c r="DX230" s="43"/>
      <c r="DY230" s="43"/>
      <c r="DZ230" s="43"/>
    </row>
    <row r="231" spans="2:130" s="46" customFormat="1" ht="13.5" customHeight="1" x14ac:dyDescent="0.15">
      <c r="B231" s="75">
        <f>IF(G231&lt;&gt;"",SUBTOTAL(3,$G$5:G231),"")</f>
        <v>74</v>
      </c>
      <c r="C231" s="75"/>
      <c r="D231" s="75"/>
      <c r="E231" s="76" t="s">
        <v>139</v>
      </c>
      <c r="F231" s="76" t="s">
        <v>135</v>
      </c>
      <c r="G231" s="74" t="s">
        <v>197</v>
      </c>
      <c r="H231" s="61">
        <v>43982</v>
      </c>
      <c r="I231" s="62">
        <v>1</v>
      </c>
      <c r="J231" s="77" t="s">
        <v>438</v>
      </c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78"/>
      <c r="AS231" s="77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78"/>
      <c r="CB231" s="74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3"/>
      <c r="CO231" s="43"/>
      <c r="CP231" s="43"/>
      <c r="CQ231" s="43"/>
      <c r="CR231" s="43"/>
      <c r="CS231" s="43"/>
      <c r="CT231" s="43"/>
      <c r="CU231" s="43"/>
      <c r="CV231" s="43"/>
      <c r="CW231" s="43"/>
      <c r="CX231" s="43"/>
      <c r="CY231" s="43"/>
      <c r="CZ231" s="43"/>
      <c r="DA231" s="43"/>
      <c r="DB231" s="43"/>
      <c r="DC231" s="43"/>
      <c r="DD231" s="43"/>
      <c r="DE231" s="43"/>
      <c r="DF231" s="43"/>
      <c r="DG231" s="43"/>
      <c r="DH231" s="43"/>
      <c r="DI231" s="43"/>
      <c r="DJ231" s="43"/>
      <c r="DK231" s="43"/>
      <c r="DL231" s="43"/>
      <c r="DM231" s="43"/>
      <c r="DN231" s="43"/>
      <c r="DO231" s="43"/>
      <c r="DP231" s="43"/>
      <c r="DQ231" s="43"/>
      <c r="DR231" s="43"/>
      <c r="DS231" s="43"/>
      <c r="DT231" s="43"/>
      <c r="DU231" s="43"/>
      <c r="DV231" s="43"/>
      <c r="DW231" s="43"/>
      <c r="DX231" s="43"/>
      <c r="DY231" s="43"/>
      <c r="DZ231" s="43"/>
    </row>
    <row r="232" spans="2:130" s="46" customFormat="1" ht="13.5" customHeight="1" x14ac:dyDescent="0.15">
      <c r="B232" s="99" t="str">
        <f>IF(G232&lt;&gt;"",SUBTOTAL(3,$G$5:G232),"")</f>
        <v/>
      </c>
      <c r="C232" s="75"/>
      <c r="D232" s="75"/>
      <c r="E232" s="76"/>
      <c r="F232" s="76"/>
      <c r="G232" s="74"/>
      <c r="H232" s="61"/>
      <c r="I232" s="70">
        <v>1</v>
      </c>
      <c r="J232" s="77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78"/>
      <c r="AS232" s="77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78"/>
      <c r="CB232" s="74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3"/>
      <c r="CO232" s="43"/>
      <c r="CP232" s="43"/>
      <c r="CQ232" s="43"/>
      <c r="CR232" s="43"/>
      <c r="CS232" s="43"/>
      <c r="CT232" s="43"/>
      <c r="CU232" s="43"/>
      <c r="CV232" s="43"/>
      <c r="CW232" s="43"/>
      <c r="CX232" s="43"/>
      <c r="CY232" s="43"/>
      <c r="CZ232" s="43"/>
      <c r="DA232" s="43"/>
      <c r="DB232" s="43"/>
      <c r="DC232" s="43"/>
      <c r="DD232" s="43"/>
      <c r="DE232" s="43"/>
      <c r="DF232" s="43"/>
      <c r="DG232" s="43"/>
      <c r="DH232" s="43"/>
      <c r="DI232" s="43"/>
      <c r="DJ232" s="43"/>
      <c r="DK232" s="43"/>
      <c r="DL232" s="43"/>
      <c r="DM232" s="43"/>
      <c r="DN232" s="43"/>
      <c r="DO232" s="43"/>
      <c r="DP232" s="43"/>
      <c r="DQ232" s="43"/>
      <c r="DR232" s="43"/>
      <c r="DS232" s="43"/>
      <c r="DT232" s="43"/>
      <c r="DU232" s="43"/>
      <c r="DV232" s="43"/>
      <c r="DW232" s="43"/>
      <c r="DX232" s="43"/>
      <c r="DY232" s="43"/>
      <c r="DZ232" s="43"/>
    </row>
    <row r="233" spans="2:130" s="46" customFormat="1" ht="13.5" customHeight="1" x14ac:dyDescent="0.15">
      <c r="B233" s="75">
        <f>IF(G233&lt;&gt;"",SUBTOTAL(3,$G$5:G233),"")</f>
        <v>75</v>
      </c>
      <c r="C233" s="75"/>
      <c r="D233" s="75"/>
      <c r="E233" s="76" t="s">
        <v>139</v>
      </c>
      <c r="F233" s="76" t="s">
        <v>135</v>
      </c>
      <c r="G233" s="74" t="s">
        <v>198</v>
      </c>
      <c r="H233" s="61">
        <v>43989</v>
      </c>
      <c r="I233" s="62">
        <v>1</v>
      </c>
      <c r="J233" s="77" t="s">
        <v>439</v>
      </c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78"/>
      <c r="AS233" s="77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78"/>
      <c r="CB233" s="74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  <c r="CU233" s="43"/>
      <c r="CV233" s="43"/>
      <c r="CW233" s="43"/>
      <c r="CX233" s="43"/>
      <c r="CY233" s="43"/>
      <c r="CZ233" s="43"/>
      <c r="DA233" s="43"/>
      <c r="DB233" s="43"/>
      <c r="DC233" s="43"/>
      <c r="DD233" s="43"/>
      <c r="DE233" s="43"/>
      <c r="DF233" s="43"/>
      <c r="DG233" s="43"/>
      <c r="DH233" s="43"/>
      <c r="DI233" s="43"/>
      <c r="DJ233" s="43"/>
      <c r="DK233" s="43"/>
      <c r="DL233" s="43"/>
      <c r="DM233" s="43"/>
      <c r="DN233" s="43"/>
      <c r="DO233" s="43"/>
      <c r="DP233" s="43"/>
      <c r="DQ233" s="43"/>
      <c r="DR233" s="43"/>
      <c r="DS233" s="43"/>
      <c r="DT233" s="43"/>
      <c r="DU233" s="43"/>
      <c r="DV233" s="43"/>
      <c r="DW233" s="43"/>
      <c r="DX233" s="43"/>
      <c r="DY233" s="43"/>
      <c r="DZ233" s="43"/>
    </row>
    <row r="234" spans="2:130" s="46" customFormat="1" ht="13.5" customHeight="1" x14ac:dyDescent="0.15">
      <c r="B234" s="99" t="str">
        <f>IF(G234&lt;&gt;"",SUBTOTAL(3,$G$5:G234),"")</f>
        <v/>
      </c>
      <c r="C234" s="75"/>
      <c r="D234" s="75"/>
      <c r="E234" s="76"/>
      <c r="F234" s="76"/>
      <c r="G234" s="74"/>
      <c r="H234" s="61"/>
      <c r="I234" s="70">
        <v>1</v>
      </c>
      <c r="J234" s="77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78"/>
      <c r="AS234" s="77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78"/>
      <c r="CB234" s="74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  <c r="CU234" s="43"/>
      <c r="CV234" s="43"/>
      <c r="CW234" s="43"/>
      <c r="CX234" s="43"/>
      <c r="CY234" s="43"/>
      <c r="CZ234" s="43"/>
      <c r="DA234" s="43"/>
      <c r="DB234" s="43"/>
      <c r="DC234" s="43"/>
      <c r="DD234" s="43"/>
      <c r="DE234" s="43"/>
      <c r="DF234" s="43"/>
      <c r="DG234" s="43"/>
      <c r="DH234" s="43"/>
      <c r="DI234" s="43"/>
      <c r="DJ234" s="43"/>
      <c r="DK234" s="43"/>
      <c r="DL234" s="43"/>
      <c r="DM234" s="43"/>
      <c r="DN234" s="43"/>
      <c r="DO234" s="43"/>
      <c r="DP234" s="43"/>
      <c r="DQ234" s="43"/>
      <c r="DR234" s="43"/>
      <c r="DS234" s="43"/>
      <c r="DT234" s="43"/>
      <c r="DU234" s="43"/>
      <c r="DV234" s="43"/>
      <c r="DW234" s="43"/>
      <c r="DX234" s="43"/>
      <c r="DY234" s="43"/>
      <c r="DZ234" s="43"/>
    </row>
    <row r="235" spans="2:130" s="46" customFormat="1" ht="13.5" customHeight="1" x14ac:dyDescent="0.15">
      <c r="B235" s="75">
        <f>IF(G235&lt;&gt;"",SUBTOTAL(3,$G$5:G235),"")</f>
        <v>76</v>
      </c>
      <c r="C235" s="75"/>
      <c r="D235" s="75"/>
      <c r="E235" s="76" t="s">
        <v>139</v>
      </c>
      <c r="F235" s="76" t="s">
        <v>135</v>
      </c>
      <c r="G235" s="74" t="s">
        <v>199</v>
      </c>
      <c r="H235" s="61">
        <v>43989</v>
      </c>
      <c r="I235" s="62">
        <v>0.5</v>
      </c>
      <c r="J235" s="77" t="s">
        <v>441</v>
      </c>
      <c r="K235" s="101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78"/>
      <c r="AS235" s="77"/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43"/>
      <c r="BR235" s="43"/>
      <c r="BS235" s="43"/>
      <c r="BT235" s="43"/>
      <c r="BU235" s="43"/>
      <c r="BV235" s="43"/>
      <c r="BW235" s="43"/>
      <c r="BX235" s="43"/>
      <c r="BY235" s="43"/>
      <c r="BZ235" s="43"/>
      <c r="CA235" s="78"/>
      <c r="CB235" s="74"/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  <c r="CU235" s="43"/>
      <c r="CV235" s="43"/>
      <c r="CW235" s="43"/>
      <c r="CX235" s="43"/>
      <c r="CY235" s="43"/>
      <c r="CZ235" s="43"/>
      <c r="DA235" s="43"/>
      <c r="DB235" s="43"/>
      <c r="DC235" s="43"/>
      <c r="DD235" s="43"/>
      <c r="DE235" s="43"/>
      <c r="DF235" s="43"/>
      <c r="DG235" s="43"/>
      <c r="DH235" s="43"/>
      <c r="DI235" s="43"/>
      <c r="DJ235" s="43"/>
      <c r="DK235" s="43"/>
      <c r="DL235" s="43"/>
      <c r="DM235" s="43"/>
      <c r="DN235" s="43"/>
      <c r="DO235" s="43"/>
      <c r="DP235" s="43"/>
      <c r="DQ235" s="43"/>
      <c r="DR235" s="43"/>
      <c r="DS235" s="43"/>
      <c r="DT235" s="43"/>
      <c r="DU235" s="43"/>
      <c r="DV235" s="43"/>
      <c r="DW235" s="43"/>
      <c r="DX235" s="43"/>
      <c r="DY235" s="43"/>
      <c r="DZ235" s="43"/>
    </row>
    <row r="236" spans="2:130" s="46" customFormat="1" ht="13.5" customHeight="1" x14ac:dyDescent="0.15">
      <c r="B236" s="99" t="str">
        <f>IF(G236&lt;&gt;"",SUBTOTAL(3,$G$5:G236),"")</f>
        <v/>
      </c>
      <c r="C236" s="75"/>
      <c r="D236" s="75"/>
      <c r="E236" s="76"/>
      <c r="F236" s="76"/>
      <c r="G236" s="74"/>
      <c r="H236" s="61"/>
      <c r="I236" s="68">
        <v>0.5</v>
      </c>
      <c r="J236" s="77" t="s">
        <v>440</v>
      </c>
      <c r="K236" s="101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78"/>
      <c r="AS236" s="77"/>
      <c r="AT236" s="43"/>
      <c r="AU236" s="43"/>
      <c r="AV236" s="43"/>
      <c r="AW236" s="43"/>
      <c r="AX236" s="43"/>
      <c r="AY236" s="43"/>
      <c r="AZ236" s="43"/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78"/>
      <c r="CB236" s="74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43"/>
      <c r="CV236" s="43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3"/>
      <c r="DM236" s="43"/>
      <c r="DN236" s="43"/>
      <c r="DO236" s="43"/>
      <c r="DP236" s="43"/>
      <c r="DQ236" s="43"/>
      <c r="DR236" s="43"/>
      <c r="DS236" s="43"/>
      <c r="DT236" s="43"/>
      <c r="DU236" s="43"/>
      <c r="DV236" s="43"/>
      <c r="DW236" s="43"/>
      <c r="DX236" s="43"/>
      <c r="DY236" s="43"/>
      <c r="DZ236" s="43"/>
    </row>
    <row r="237" spans="2:130" s="46" customFormat="1" ht="13.5" customHeight="1" x14ac:dyDescent="0.15">
      <c r="B237" s="99" t="str">
        <f>IF(G237&lt;&gt;"",SUBTOTAL(3,$G$5:G237),"")</f>
        <v/>
      </c>
      <c r="C237" s="75"/>
      <c r="D237" s="75"/>
      <c r="E237" s="76"/>
      <c r="F237" s="76"/>
      <c r="G237" s="74"/>
      <c r="H237" s="61"/>
      <c r="I237" s="68">
        <v>0.5</v>
      </c>
      <c r="J237" s="77" t="s">
        <v>442</v>
      </c>
      <c r="K237" s="101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78"/>
      <c r="AS237" s="77"/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/>
      <c r="BR237" s="43"/>
      <c r="BS237" s="43"/>
      <c r="BT237" s="43"/>
      <c r="BU237" s="43"/>
      <c r="BV237" s="43"/>
      <c r="BW237" s="43"/>
      <c r="BX237" s="43"/>
      <c r="BY237" s="43"/>
      <c r="BZ237" s="43"/>
      <c r="CA237" s="78"/>
      <c r="CB237" s="74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43"/>
      <c r="CV237" s="43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3"/>
      <c r="DM237" s="43"/>
      <c r="DN237" s="43"/>
      <c r="DO237" s="43"/>
      <c r="DP237" s="43"/>
      <c r="DQ237" s="43"/>
      <c r="DR237" s="43"/>
      <c r="DS237" s="43"/>
      <c r="DT237" s="43"/>
      <c r="DU237" s="43"/>
      <c r="DV237" s="43"/>
      <c r="DW237" s="43"/>
      <c r="DX237" s="43"/>
      <c r="DY237" s="43"/>
      <c r="DZ237" s="43"/>
    </row>
    <row r="238" spans="2:130" s="46" customFormat="1" ht="13.5" customHeight="1" x14ac:dyDescent="0.15">
      <c r="B238" s="99" t="str">
        <f>IF(G238&lt;&gt;"",SUBTOTAL(3,$G$5:G238),"")</f>
        <v/>
      </c>
      <c r="C238" s="75"/>
      <c r="D238" s="75"/>
      <c r="E238" s="76"/>
      <c r="F238" s="76"/>
      <c r="G238" s="74"/>
      <c r="H238" s="61"/>
      <c r="I238" s="68">
        <v>0.5</v>
      </c>
      <c r="J238" s="77" t="s">
        <v>443</v>
      </c>
      <c r="K238" s="101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78"/>
      <c r="AS238" s="77"/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43"/>
      <c r="BR238" s="43"/>
      <c r="BS238" s="43"/>
      <c r="BT238" s="43"/>
      <c r="BU238" s="43"/>
      <c r="BV238" s="43"/>
      <c r="BW238" s="43"/>
      <c r="BX238" s="43"/>
      <c r="BY238" s="43"/>
      <c r="BZ238" s="43"/>
      <c r="CA238" s="78"/>
      <c r="CB238" s="74"/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  <c r="CU238" s="43"/>
      <c r="CV238" s="43"/>
      <c r="CW238" s="43"/>
      <c r="CX238" s="43"/>
      <c r="CY238" s="43"/>
      <c r="CZ238" s="43"/>
      <c r="DA238" s="43"/>
      <c r="DB238" s="43"/>
      <c r="DC238" s="43"/>
      <c r="DD238" s="43"/>
      <c r="DE238" s="43"/>
      <c r="DF238" s="43"/>
      <c r="DG238" s="43"/>
      <c r="DH238" s="43"/>
      <c r="DI238" s="43"/>
      <c r="DJ238" s="43"/>
      <c r="DK238" s="43"/>
      <c r="DL238" s="43"/>
      <c r="DM238" s="43"/>
      <c r="DN238" s="43"/>
      <c r="DO238" s="43"/>
      <c r="DP238" s="43"/>
      <c r="DQ238" s="43"/>
      <c r="DR238" s="43"/>
      <c r="DS238" s="43"/>
      <c r="DT238" s="43"/>
      <c r="DU238" s="43"/>
      <c r="DV238" s="43"/>
      <c r="DW238" s="43"/>
      <c r="DX238" s="43"/>
      <c r="DY238" s="43"/>
      <c r="DZ238" s="43"/>
    </row>
    <row r="239" spans="2:130" s="46" customFormat="1" ht="13.5" customHeight="1" x14ac:dyDescent="0.15">
      <c r="B239" s="99" t="str">
        <f>IF(G239&lt;&gt;"",SUBTOTAL(3,$G$5:G239),"")</f>
        <v/>
      </c>
      <c r="C239" s="75"/>
      <c r="D239" s="75"/>
      <c r="E239" s="76"/>
      <c r="F239" s="76"/>
      <c r="G239" s="74"/>
      <c r="H239" s="61"/>
      <c r="I239" s="68">
        <v>0.5</v>
      </c>
      <c r="J239" s="77"/>
      <c r="K239" s="101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78"/>
      <c r="AS239" s="77"/>
      <c r="AT239" s="43"/>
      <c r="AU239" s="43"/>
      <c r="AV239" s="43"/>
      <c r="AW239" s="43"/>
      <c r="AX239" s="43"/>
      <c r="AY239" s="43"/>
      <c r="AZ239" s="43"/>
      <c r="BA239" s="43"/>
      <c r="BB239" s="43"/>
      <c r="BC239" s="43"/>
      <c r="BD239" s="43"/>
      <c r="BE239" s="43"/>
      <c r="BF239" s="43"/>
      <c r="BG239" s="43"/>
      <c r="BH239" s="43"/>
      <c r="BI239" s="43"/>
      <c r="BJ239" s="43"/>
      <c r="BK239" s="43"/>
      <c r="BL239" s="43"/>
      <c r="BM239" s="43"/>
      <c r="BN239" s="43"/>
      <c r="BO239" s="43"/>
      <c r="BP239" s="43"/>
      <c r="BQ239" s="43"/>
      <c r="BR239" s="43"/>
      <c r="BS239" s="43"/>
      <c r="BT239" s="43"/>
      <c r="BU239" s="43"/>
      <c r="BV239" s="43"/>
      <c r="BW239" s="43"/>
      <c r="BX239" s="43"/>
      <c r="BY239" s="43"/>
      <c r="BZ239" s="43"/>
      <c r="CA239" s="78"/>
      <c r="CB239" s="74"/>
      <c r="CC239" s="43"/>
      <c r="CD239" s="43"/>
      <c r="CE239" s="43"/>
      <c r="CF239" s="43"/>
      <c r="CG239" s="43"/>
      <c r="CH239" s="43"/>
      <c r="CI239" s="43"/>
      <c r="CJ239" s="43"/>
      <c r="CK239" s="43"/>
      <c r="CL239" s="43"/>
      <c r="CM239" s="43"/>
      <c r="CN239" s="43"/>
      <c r="CO239" s="43"/>
      <c r="CP239" s="43"/>
      <c r="CQ239" s="43"/>
      <c r="CR239" s="43"/>
      <c r="CS239" s="43"/>
      <c r="CT239" s="43"/>
      <c r="CU239" s="43"/>
      <c r="CV239" s="43"/>
      <c r="CW239" s="43"/>
      <c r="CX239" s="43"/>
      <c r="CY239" s="43"/>
      <c r="CZ239" s="43"/>
      <c r="DA239" s="43"/>
      <c r="DB239" s="43"/>
      <c r="DC239" s="43"/>
      <c r="DD239" s="43"/>
      <c r="DE239" s="43"/>
      <c r="DF239" s="43"/>
      <c r="DG239" s="43"/>
      <c r="DH239" s="43"/>
      <c r="DI239" s="43"/>
      <c r="DJ239" s="43"/>
      <c r="DK239" s="43"/>
      <c r="DL239" s="43"/>
      <c r="DM239" s="43"/>
      <c r="DN239" s="43"/>
      <c r="DO239" s="43"/>
      <c r="DP239" s="43"/>
      <c r="DQ239" s="43"/>
      <c r="DR239" s="43"/>
      <c r="DS239" s="43"/>
      <c r="DT239" s="43"/>
      <c r="DU239" s="43"/>
      <c r="DV239" s="43"/>
      <c r="DW239" s="43"/>
      <c r="DX239" s="43"/>
      <c r="DY239" s="43"/>
      <c r="DZ239" s="43"/>
    </row>
    <row r="240" spans="2:130" s="46" customFormat="1" ht="13.5" customHeight="1" x14ac:dyDescent="0.15">
      <c r="B240" s="75">
        <f>IF(G240&lt;&gt;"",SUBTOTAL(3,$G$5:G240),"")</f>
        <v>77</v>
      </c>
      <c r="C240" s="75"/>
      <c r="D240" s="75"/>
      <c r="E240" s="76" t="s">
        <v>139</v>
      </c>
      <c r="F240" s="76" t="s">
        <v>135</v>
      </c>
      <c r="G240" s="74" t="s">
        <v>200</v>
      </c>
      <c r="H240" s="61">
        <v>43991</v>
      </c>
      <c r="I240" s="62">
        <v>1</v>
      </c>
      <c r="J240" s="77" t="s">
        <v>444</v>
      </c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78"/>
      <c r="AS240" s="77"/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43"/>
      <c r="BR240" s="43"/>
      <c r="BS240" s="43"/>
      <c r="BT240" s="43"/>
      <c r="BU240" s="43"/>
      <c r="BV240" s="43"/>
      <c r="BW240" s="43"/>
      <c r="BX240" s="43"/>
      <c r="BY240" s="43"/>
      <c r="BZ240" s="43"/>
      <c r="CA240" s="78"/>
      <c r="CB240" s="74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  <c r="CU240" s="43"/>
      <c r="CV240" s="43"/>
      <c r="CW240" s="43"/>
      <c r="CX240" s="43"/>
      <c r="CY240" s="43"/>
      <c r="CZ240" s="43"/>
      <c r="DA240" s="43"/>
      <c r="DB240" s="43"/>
      <c r="DC240" s="43"/>
      <c r="DD240" s="43"/>
      <c r="DE240" s="43"/>
      <c r="DF240" s="43"/>
      <c r="DG240" s="43"/>
      <c r="DH240" s="43"/>
      <c r="DI240" s="43"/>
      <c r="DJ240" s="43"/>
      <c r="DK240" s="43"/>
      <c r="DL240" s="43"/>
      <c r="DM240" s="43"/>
      <c r="DN240" s="43"/>
      <c r="DO240" s="43"/>
      <c r="DP240" s="43"/>
      <c r="DQ240" s="43"/>
      <c r="DR240" s="43"/>
      <c r="DS240" s="43"/>
      <c r="DT240" s="43"/>
      <c r="DU240" s="43"/>
      <c r="DV240" s="43"/>
      <c r="DW240" s="43"/>
      <c r="DX240" s="43"/>
      <c r="DY240" s="43"/>
      <c r="DZ240" s="43"/>
    </row>
    <row r="241" spans="2:130" s="46" customFormat="1" ht="13.5" customHeight="1" x14ac:dyDescent="0.15">
      <c r="B241" s="99" t="str">
        <f>IF(G241&lt;&gt;"",SUBTOTAL(3,$G$5:G241),"")</f>
        <v/>
      </c>
      <c r="C241" s="75"/>
      <c r="D241" s="75"/>
      <c r="E241" s="76"/>
      <c r="F241" s="76"/>
      <c r="G241" s="74"/>
      <c r="H241" s="61"/>
      <c r="I241" s="70">
        <v>1</v>
      </c>
      <c r="J241" s="77" t="s">
        <v>445</v>
      </c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78"/>
      <c r="AS241" s="77"/>
      <c r="AT241" s="43"/>
      <c r="AU241" s="43"/>
      <c r="AV241" s="43"/>
      <c r="AW241" s="43"/>
      <c r="AX241" s="43"/>
      <c r="AY241" s="43"/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78"/>
      <c r="CB241" s="74"/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43"/>
      <c r="CV241" s="43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3"/>
      <c r="DM241" s="43"/>
      <c r="DN241" s="43"/>
      <c r="DO241" s="43"/>
      <c r="DP241" s="43"/>
      <c r="DQ241" s="43"/>
      <c r="DR241" s="43"/>
      <c r="DS241" s="43"/>
      <c r="DT241" s="43"/>
      <c r="DU241" s="43"/>
      <c r="DV241" s="43"/>
      <c r="DW241" s="43"/>
      <c r="DX241" s="43"/>
      <c r="DY241" s="43"/>
      <c r="DZ241" s="43"/>
    </row>
    <row r="242" spans="2:130" s="46" customFormat="1" ht="13.5" customHeight="1" x14ac:dyDescent="0.15">
      <c r="B242" s="99" t="str">
        <f>IF(G242&lt;&gt;"",SUBTOTAL(3,$G$5:G242),"")</f>
        <v/>
      </c>
      <c r="C242" s="75"/>
      <c r="D242" s="75"/>
      <c r="E242" s="76"/>
      <c r="F242" s="76"/>
      <c r="G242" s="74"/>
      <c r="H242" s="61"/>
      <c r="I242" s="70">
        <v>1</v>
      </c>
      <c r="J242" s="77" t="s">
        <v>446</v>
      </c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78"/>
      <c r="AS242" s="77"/>
      <c r="AT242" s="43"/>
      <c r="AU242" s="43"/>
      <c r="AV242" s="43"/>
      <c r="AW242" s="43"/>
      <c r="AX242" s="43"/>
      <c r="AY242" s="43"/>
      <c r="AZ242" s="43"/>
      <c r="BA242" s="43"/>
      <c r="BB242" s="43"/>
      <c r="BC242" s="43"/>
      <c r="BD242" s="43"/>
      <c r="BE242" s="43"/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43"/>
      <c r="BR242" s="43"/>
      <c r="BS242" s="43"/>
      <c r="BT242" s="43"/>
      <c r="BU242" s="43"/>
      <c r="BV242" s="43"/>
      <c r="BW242" s="43"/>
      <c r="BX242" s="43"/>
      <c r="BY242" s="43"/>
      <c r="BZ242" s="43"/>
      <c r="CA242" s="78"/>
      <c r="CB242" s="74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  <c r="CU242" s="43"/>
      <c r="CV242" s="43"/>
      <c r="CW242" s="43"/>
      <c r="CX242" s="43"/>
      <c r="CY242" s="43"/>
      <c r="CZ242" s="43"/>
      <c r="DA242" s="43"/>
      <c r="DB242" s="43"/>
      <c r="DC242" s="43"/>
      <c r="DD242" s="43"/>
      <c r="DE242" s="43"/>
      <c r="DF242" s="43"/>
      <c r="DG242" s="43"/>
      <c r="DH242" s="43"/>
      <c r="DI242" s="43"/>
      <c r="DJ242" s="43"/>
      <c r="DK242" s="43"/>
      <c r="DL242" s="43"/>
      <c r="DM242" s="43"/>
      <c r="DN242" s="43"/>
      <c r="DO242" s="43"/>
      <c r="DP242" s="43"/>
      <c r="DQ242" s="43"/>
      <c r="DR242" s="43"/>
      <c r="DS242" s="43"/>
      <c r="DT242" s="43"/>
      <c r="DU242" s="43"/>
      <c r="DV242" s="43"/>
      <c r="DW242" s="43"/>
      <c r="DX242" s="43"/>
      <c r="DY242" s="43"/>
      <c r="DZ242" s="43"/>
    </row>
    <row r="243" spans="2:130" s="46" customFormat="1" ht="13.5" customHeight="1" x14ac:dyDescent="0.15">
      <c r="B243" s="99" t="str">
        <f>IF(G243&lt;&gt;"",SUBTOTAL(3,$G$5:G243),"")</f>
        <v/>
      </c>
      <c r="C243" s="75"/>
      <c r="D243" s="75"/>
      <c r="E243" s="76"/>
      <c r="F243" s="76"/>
      <c r="G243" s="74"/>
      <c r="H243" s="61"/>
      <c r="I243" s="70">
        <v>1</v>
      </c>
      <c r="J243" s="77" t="s">
        <v>447</v>
      </c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78"/>
      <c r="AS243" s="77"/>
      <c r="AT243" s="43"/>
      <c r="AU243" s="43"/>
      <c r="AV243" s="43"/>
      <c r="AW243" s="43"/>
      <c r="AX243" s="43"/>
      <c r="AY243" s="43"/>
      <c r="AZ243" s="43"/>
      <c r="BA243" s="43"/>
      <c r="BB243" s="43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43"/>
      <c r="BO243" s="43"/>
      <c r="BP243" s="43"/>
      <c r="BQ243" s="43"/>
      <c r="BR243" s="43"/>
      <c r="BS243" s="43"/>
      <c r="BT243" s="43"/>
      <c r="BU243" s="43"/>
      <c r="BV243" s="43"/>
      <c r="BW243" s="43"/>
      <c r="BX243" s="43"/>
      <c r="BY243" s="43"/>
      <c r="BZ243" s="43"/>
      <c r="CA243" s="78"/>
      <c r="CB243" s="74"/>
      <c r="CC243" s="43"/>
      <c r="CD243" s="43"/>
      <c r="CE243" s="43"/>
      <c r="CF243" s="43"/>
      <c r="CG243" s="43"/>
      <c r="CH243" s="43"/>
      <c r="CI243" s="43"/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43"/>
      <c r="CV243" s="43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3"/>
      <c r="DM243" s="43"/>
      <c r="DN243" s="43"/>
      <c r="DO243" s="43"/>
      <c r="DP243" s="43"/>
      <c r="DQ243" s="43"/>
      <c r="DR243" s="43"/>
      <c r="DS243" s="43"/>
      <c r="DT243" s="43"/>
      <c r="DU243" s="43"/>
      <c r="DV243" s="43"/>
      <c r="DW243" s="43"/>
      <c r="DX243" s="43"/>
      <c r="DY243" s="43"/>
      <c r="DZ243" s="43"/>
    </row>
    <row r="244" spans="2:130" s="46" customFormat="1" ht="13.5" customHeight="1" x14ac:dyDescent="0.15">
      <c r="B244" s="99" t="str">
        <f>IF(G244&lt;&gt;"",SUBTOTAL(3,$G$5:G244),"")</f>
        <v/>
      </c>
      <c r="C244" s="75"/>
      <c r="D244" s="75"/>
      <c r="E244" s="76"/>
      <c r="F244" s="76"/>
      <c r="G244" s="74"/>
      <c r="H244" s="61"/>
      <c r="I244" s="70">
        <v>1</v>
      </c>
      <c r="J244" s="77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78"/>
      <c r="AS244" s="77"/>
      <c r="AT244" s="43"/>
      <c r="AU244" s="43"/>
      <c r="AV244" s="43"/>
      <c r="AW244" s="43"/>
      <c r="AX244" s="43"/>
      <c r="AY244" s="43"/>
      <c r="AZ244" s="43"/>
      <c r="BA244" s="43"/>
      <c r="BB244" s="43"/>
      <c r="BC244" s="43"/>
      <c r="BD244" s="43"/>
      <c r="BE244" s="43"/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43"/>
      <c r="BR244" s="43"/>
      <c r="BS244" s="43"/>
      <c r="BT244" s="43"/>
      <c r="BU244" s="43"/>
      <c r="BV244" s="43"/>
      <c r="BW244" s="43"/>
      <c r="BX244" s="43"/>
      <c r="BY244" s="43"/>
      <c r="BZ244" s="43"/>
      <c r="CA244" s="78"/>
      <c r="CB244" s="74"/>
      <c r="CC244" s="43"/>
      <c r="CD244" s="43"/>
      <c r="CE244" s="43"/>
      <c r="CF244" s="43"/>
      <c r="CG244" s="43"/>
      <c r="CH244" s="43"/>
      <c r="CI244" s="43"/>
      <c r="CJ244" s="43"/>
      <c r="CK244" s="43"/>
      <c r="CL244" s="43"/>
      <c r="CM244" s="43"/>
      <c r="CN244" s="43"/>
      <c r="CO244" s="43"/>
      <c r="CP244" s="43"/>
      <c r="CQ244" s="43"/>
      <c r="CR244" s="43"/>
      <c r="CS244" s="43"/>
      <c r="CT244" s="43"/>
      <c r="CU244" s="43"/>
      <c r="CV244" s="43"/>
      <c r="CW244" s="43"/>
      <c r="CX244" s="43"/>
      <c r="CY244" s="43"/>
      <c r="CZ244" s="43"/>
      <c r="DA244" s="43"/>
      <c r="DB244" s="43"/>
      <c r="DC244" s="43"/>
      <c r="DD244" s="43"/>
      <c r="DE244" s="43"/>
      <c r="DF244" s="43"/>
      <c r="DG244" s="43"/>
      <c r="DH244" s="43"/>
      <c r="DI244" s="43"/>
      <c r="DJ244" s="43"/>
      <c r="DK244" s="43"/>
      <c r="DL244" s="43"/>
      <c r="DM244" s="43"/>
      <c r="DN244" s="43"/>
      <c r="DO244" s="43"/>
      <c r="DP244" s="43"/>
      <c r="DQ244" s="43"/>
      <c r="DR244" s="43"/>
      <c r="DS244" s="43"/>
      <c r="DT244" s="43"/>
      <c r="DU244" s="43"/>
      <c r="DV244" s="43"/>
      <c r="DW244" s="43"/>
      <c r="DX244" s="43"/>
      <c r="DY244" s="43"/>
      <c r="DZ244" s="43"/>
    </row>
    <row r="245" spans="2:130" s="46" customFormat="1" ht="13.5" customHeight="1" x14ac:dyDescent="0.15">
      <c r="B245" s="75">
        <f>IF(G245&lt;&gt;"",SUBTOTAL(3,$G$5:G245),"")</f>
        <v>78</v>
      </c>
      <c r="C245" s="75"/>
      <c r="D245" s="75"/>
      <c r="E245" s="102" t="s">
        <v>139</v>
      </c>
      <c r="F245" s="102" t="s">
        <v>135</v>
      </c>
      <c r="G245" s="104" t="s">
        <v>201</v>
      </c>
      <c r="H245" s="103">
        <v>43991</v>
      </c>
      <c r="I245" s="62">
        <v>1</v>
      </c>
      <c r="J245" s="77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78"/>
      <c r="AS245" s="77"/>
      <c r="AT245" s="43"/>
      <c r="AU245" s="43"/>
      <c r="AV245" s="43"/>
      <c r="AW245" s="43"/>
      <c r="AX245" s="43"/>
      <c r="AY245" s="43"/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43"/>
      <c r="BR245" s="43"/>
      <c r="BS245" s="43"/>
      <c r="BT245" s="43"/>
      <c r="BU245" s="43"/>
      <c r="BV245" s="43"/>
      <c r="BW245" s="43"/>
      <c r="BX245" s="43"/>
      <c r="BY245" s="43"/>
      <c r="BZ245" s="43"/>
      <c r="CA245" s="78"/>
      <c r="CB245" s="74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  <c r="CU245" s="43"/>
      <c r="CV245" s="43"/>
      <c r="CW245" s="43"/>
      <c r="CX245" s="43"/>
      <c r="CY245" s="43"/>
      <c r="CZ245" s="43"/>
      <c r="DA245" s="43"/>
      <c r="DB245" s="43"/>
      <c r="DC245" s="43"/>
      <c r="DD245" s="43"/>
      <c r="DE245" s="43"/>
      <c r="DF245" s="43"/>
      <c r="DG245" s="43"/>
      <c r="DH245" s="43"/>
      <c r="DI245" s="43"/>
      <c r="DJ245" s="43"/>
      <c r="DK245" s="43"/>
      <c r="DL245" s="43"/>
      <c r="DM245" s="43"/>
      <c r="DN245" s="43"/>
      <c r="DO245" s="43"/>
      <c r="DP245" s="43"/>
      <c r="DQ245" s="43"/>
      <c r="DR245" s="43"/>
      <c r="DS245" s="43"/>
      <c r="DT245" s="43"/>
      <c r="DU245" s="43"/>
      <c r="DV245" s="43"/>
      <c r="DW245" s="43"/>
      <c r="DX245" s="43"/>
      <c r="DY245" s="43"/>
      <c r="DZ245" s="43"/>
    </row>
    <row r="246" spans="2:130" s="46" customFormat="1" ht="13.5" customHeight="1" x14ac:dyDescent="0.15">
      <c r="B246" s="75">
        <f>IF(G246&lt;&gt;"",SUBTOTAL(3,$G$5:G246),"")</f>
        <v>79</v>
      </c>
      <c r="C246" s="75"/>
      <c r="D246" s="75"/>
      <c r="E246" s="76" t="s">
        <v>139</v>
      </c>
      <c r="F246" s="76" t="s">
        <v>135</v>
      </c>
      <c r="G246" s="74" t="s">
        <v>448</v>
      </c>
      <c r="H246" s="61">
        <v>43992</v>
      </c>
      <c r="I246" s="62">
        <v>0.8</v>
      </c>
      <c r="J246" s="77" t="s">
        <v>450</v>
      </c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78"/>
      <c r="AS246" s="77"/>
      <c r="AT246" s="43"/>
      <c r="AU246" s="43"/>
      <c r="AV246" s="43"/>
      <c r="AW246" s="43"/>
      <c r="AX246" s="43"/>
      <c r="AY246" s="43"/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43"/>
      <c r="BR246" s="43"/>
      <c r="BS246" s="43"/>
      <c r="BT246" s="43"/>
      <c r="BU246" s="43"/>
      <c r="BV246" s="43"/>
      <c r="BW246" s="43"/>
      <c r="BX246" s="43"/>
      <c r="BY246" s="43"/>
      <c r="BZ246" s="43"/>
      <c r="CA246" s="78"/>
      <c r="CB246" s="74"/>
      <c r="CC246" s="43"/>
      <c r="CD246" s="43"/>
      <c r="CE246" s="43"/>
      <c r="CF246" s="43"/>
      <c r="CG246" s="43"/>
      <c r="CH246" s="43"/>
      <c r="CI246" s="43"/>
      <c r="CJ246" s="43"/>
      <c r="CK246" s="43"/>
      <c r="CL246" s="43"/>
      <c r="CM246" s="43"/>
      <c r="CN246" s="43"/>
      <c r="CO246" s="43"/>
      <c r="CP246" s="43"/>
      <c r="CQ246" s="43"/>
      <c r="CR246" s="43"/>
      <c r="CS246" s="43"/>
      <c r="CT246" s="43"/>
      <c r="CU246" s="43"/>
      <c r="CV246" s="43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3"/>
      <c r="DM246" s="43"/>
      <c r="DN246" s="43"/>
      <c r="DO246" s="43"/>
      <c r="DP246" s="43"/>
      <c r="DQ246" s="43"/>
      <c r="DR246" s="43"/>
      <c r="DS246" s="43"/>
      <c r="DT246" s="43"/>
      <c r="DU246" s="43"/>
      <c r="DV246" s="43"/>
      <c r="DW246" s="43"/>
      <c r="DX246" s="43"/>
      <c r="DY246" s="43"/>
      <c r="DZ246" s="43"/>
    </row>
    <row r="247" spans="2:130" s="46" customFormat="1" ht="13.5" customHeight="1" x14ac:dyDescent="0.15">
      <c r="B247" s="99" t="str">
        <f>IF(G247&lt;&gt;"",SUBTOTAL(3,$G$5:G247),"")</f>
        <v/>
      </c>
      <c r="C247" s="75"/>
      <c r="D247" s="75"/>
      <c r="E247" s="76"/>
      <c r="F247" s="76"/>
      <c r="G247" s="74"/>
      <c r="H247" s="61"/>
      <c r="I247" s="68">
        <v>0.8</v>
      </c>
      <c r="J247" s="77" t="s">
        <v>449</v>
      </c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78"/>
      <c r="AS247" s="77"/>
      <c r="AT247" s="43"/>
      <c r="AU247" s="43"/>
      <c r="AV247" s="43"/>
      <c r="AW247" s="43"/>
      <c r="AX247" s="43"/>
      <c r="AY247" s="43"/>
      <c r="AZ247" s="43"/>
      <c r="BA247" s="43"/>
      <c r="BB247" s="43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43"/>
      <c r="BO247" s="43"/>
      <c r="BP247" s="43"/>
      <c r="BQ247" s="43"/>
      <c r="BR247" s="43"/>
      <c r="BS247" s="43"/>
      <c r="BT247" s="43"/>
      <c r="BU247" s="43"/>
      <c r="BV247" s="43"/>
      <c r="BW247" s="43"/>
      <c r="BX247" s="43"/>
      <c r="BY247" s="43"/>
      <c r="BZ247" s="43"/>
      <c r="CA247" s="78"/>
      <c r="CB247" s="74"/>
      <c r="CC247" s="43"/>
      <c r="CD247" s="43"/>
      <c r="CE247" s="43"/>
      <c r="CF247" s="43"/>
      <c r="CG247" s="43"/>
      <c r="CH247" s="43"/>
      <c r="CI247" s="43"/>
      <c r="CJ247" s="43"/>
      <c r="CK247" s="43"/>
      <c r="CL247" s="43"/>
      <c r="CM247" s="43"/>
      <c r="CN247" s="43"/>
      <c r="CO247" s="43"/>
      <c r="CP247" s="43"/>
      <c r="CQ247" s="43"/>
      <c r="CR247" s="43"/>
      <c r="CS247" s="43"/>
      <c r="CT247" s="43"/>
      <c r="CU247" s="43"/>
      <c r="CV247" s="43"/>
      <c r="CW247" s="43"/>
      <c r="CX247" s="43"/>
      <c r="CY247" s="43"/>
      <c r="CZ247" s="43"/>
      <c r="DA247" s="43"/>
      <c r="DB247" s="43"/>
      <c r="DC247" s="43"/>
      <c r="DD247" s="43"/>
      <c r="DE247" s="43"/>
      <c r="DF247" s="43"/>
      <c r="DG247" s="43"/>
      <c r="DH247" s="43"/>
      <c r="DI247" s="43"/>
      <c r="DJ247" s="43"/>
      <c r="DK247" s="43"/>
      <c r="DL247" s="43"/>
      <c r="DM247" s="43"/>
      <c r="DN247" s="43"/>
      <c r="DO247" s="43"/>
      <c r="DP247" s="43"/>
      <c r="DQ247" s="43"/>
      <c r="DR247" s="43"/>
      <c r="DS247" s="43"/>
      <c r="DT247" s="43"/>
      <c r="DU247" s="43"/>
      <c r="DV247" s="43"/>
      <c r="DW247" s="43"/>
      <c r="DX247" s="43"/>
      <c r="DY247" s="43"/>
      <c r="DZ247" s="43"/>
    </row>
    <row r="248" spans="2:130" s="46" customFormat="1" ht="13.5" customHeight="1" x14ac:dyDescent="0.15">
      <c r="B248" s="99" t="str">
        <f>IF(G248&lt;&gt;"",SUBTOTAL(3,$G$5:G248),"")</f>
        <v/>
      </c>
      <c r="C248" s="75"/>
      <c r="D248" s="75"/>
      <c r="E248" s="76"/>
      <c r="F248" s="76"/>
      <c r="G248" s="74"/>
      <c r="H248" s="61"/>
      <c r="I248" s="68">
        <v>0.8</v>
      </c>
      <c r="J248" s="77" t="s">
        <v>451</v>
      </c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78"/>
      <c r="AS248" s="77"/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43"/>
      <c r="BR248" s="43"/>
      <c r="BS248" s="43"/>
      <c r="BT248" s="43"/>
      <c r="BU248" s="43"/>
      <c r="BV248" s="43"/>
      <c r="BW248" s="43"/>
      <c r="BX248" s="43"/>
      <c r="BY248" s="43"/>
      <c r="BZ248" s="43"/>
      <c r="CA248" s="78"/>
      <c r="CB248" s="74"/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43"/>
      <c r="CV248" s="43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3"/>
      <c r="DM248" s="43"/>
      <c r="DN248" s="43"/>
      <c r="DO248" s="43"/>
      <c r="DP248" s="43"/>
      <c r="DQ248" s="43"/>
      <c r="DR248" s="43"/>
      <c r="DS248" s="43"/>
      <c r="DT248" s="43"/>
      <c r="DU248" s="43"/>
      <c r="DV248" s="43"/>
      <c r="DW248" s="43"/>
      <c r="DX248" s="43"/>
      <c r="DY248" s="43"/>
      <c r="DZ248" s="43"/>
    </row>
    <row r="249" spans="2:130" s="46" customFormat="1" ht="13.5" customHeight="1" x14ac:dyDescent="0.15">
      <c r="B249" s="99" t="str">
        <f>IF(G249&lt;&gt;"",SUBTOTAL(3,$G$5:G249),"")</f>
        <v/>
      </c>
      <c r="C249" s="75"/>
      <c r="D249" s="75"/>
      <c r="E249" s="76"/>
      <c r="F249" s="76"/>
      <c r="G249" s="74"/>
      <c r="H249" s="61"/>
      <c r="I249" s="68">
        <v>0.8</v>
      </c>
      <c r="J249" s="77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78"/>
      <c r="AS249" s="77"/>
      <c r="AT249" s="43"/>
      <c r="AU249" s="43"/>
      <c r="AV249" s="43"/>
      <c r="AW249" s="43"/>
      <c r="AX249" s="43"/>
      <c r="AY249" s="43"/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/>
      <c r="BR249" s="43"/>
      <c r="BS249" s="43"/>
      <c r="BT249" s="43"/>
      <c r="BU249" s="43"/>
      <c r="BV249" s="43"/>
      <c r="BW249" s="43"/>
      <c r="BX249" s="43"/>
      <c r="BY249" s="43"/>
      <c r="BZ249" s="43"/>
      <c r="CA249" s="78"/>
      <c r="CB249" s="74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43"/>
      <c r="CV249" s="43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3"/>
      <c r="DM249" s="43"/>
      <c r="DN249" s="43"/>
      <c r="DO249" s="43"/>
      <c r="DP249" s="43"/>
      <c r="DQ249" s="43"/>
      <c r="DR249" s="43"/>
      <c r="DS249" s="43"/>
      <c r="DT249" s="43"/>
      <c r="DU249" s="43"/>
      <c r="DV249" s="43"/>
      <c r="DW249" s="43"/>
      <c r="DX249" s="43"/>
      <c r="DY249" s="43"/>
      <c r="DZ249" s="43"/>
    </row>
    <row r="250" spans="2:130" s="46" customFormat="1" x14ac:dyDescent="0.15">
      <c r="B250" s="75">
        <f>IF(G250&lt;&gt;"",SUBTOTAL(3,$G$5:G250),"")</f>
        <v>80</v>
      </c>
      <c r="C250" s="75"/>
      <c r="D250" s="75"/>
      <c r="E250" s="76" t="s">
        <v>139</v>
      </c>
      <c r="F250" s="76" t="s">
        <v>135</v>
      </c>
      <c r="G250" s="74" t="s">
        <v>202</v>
      </c>
      <c r="H250" s="61">
        <v>43994</v>
      </c>
      <c r="I250" s="62">
        <v>0.8</v>
      </c>
      <c r="J250" s="77" t="s">
        <v>314</v>
      </c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78"/>
      <c r="AS250" s="77"/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78"/>
      <c r="CB250" s="74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/>
      <c r="CN250" s="43"/>
      <c r="CO250" s="43"/>
      <c r="CP250" s="43"/>
      <c r="CQ250" s="43"/>
      <c r="CR250" s="43"/>
      <c r="CS250" s="43"/>
      <c r="CT250" s="43"/>
      <c r="CU250" s="43"/>
      <c r="CV250" s="43"/>
      <c r="CW250" s="43"/>
      <c r="CX250" s="43"/>
      <c r="CY250" s="43"/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3"/>
      <c r="DM250" s="43"/>
      <c r="DN250" s="43"/>
      <c r="DO250" s="43"/>
      <c r="DP250" s="43"/>
      <c r="DQ250" s="43"/>
      <c r="DR250" s="43"/>
      <c r="DS250" s="43"/>
      <c r="DT250" s="43"/>
      <c r="DU250" s="43"/>
      <c r="DV250" s="43"/>
      <c r="DW250" s="43"/>
      <c r="DX250" s="43"/>
      <c r="DY250" s="43"/>
      <c r="DZ250" s="43"/>
    </row>
    <row r="251" spans="2:130" s="46" customFormat="1" x14ac:dyDescent="0.15">
      <c r="B251" s="75" t="str">
        <f>IF(G251&lt;&gt;"",SUBTOTAL(3,$G$5:G251),"")</f>
        <v/>
      </c>
      <c r="C251" s="75"/>
      <c r="D251" s="75"/>
      <c r="E251" s="76"/>
      <c r="F251" s="76"/>
      <c r="G251" s="74"/>
      <c r="H251" s="61"/>
      <c r="I251" s="68">
        <v>0.8</v>
      </c>
      <c r="J251" s="77" t="s">
        <v>315</v>
      </c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3"/>
      <c r="AN251" s="43"/>
      <c r="AO251" s="43"/>
      <c r="AP251" s="43"/>
      <c r="AQ251" s="43"/>
      <c r="AR251" s="78"/>
      <c r="AS251" s="77"/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78"/>
      <c r="CB251" s="74"/>
      <c r="CC251" s="43"/>
      <c r="CD251" s="43"/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43"/>
      <c r="CV251" s="43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3"/>
      <c r="DM251" s="43"/>
      <c r="DN251" s="43"/>
      <c r="DO251" s="43"/>
      <c r="DP251" s="43"/>
      <c r="DQ251" s="43"/>
      <c r="DR251" s="43"/>
      <c r="DS251" s="43"/>
      <c r="DT251" s="43"/>
      <c r="DU251" s="43"/>
      <c r="DV251" s="43"/>
      <c r="DW251" s="43"/>
      <c r="DX251" s="43"/>
      <c r="DY251" s="43"/>
      <c r="DZ251" s="43"/>
    </row>
    <row r="252" spans="2:130" s="46" customFormat="1" x14ac:dyDescent="0.15">
      <c r="B252" s="75" t="str">
        <f>IF(G252&lt;&gt;"",SUBTOTAL(3,$G$5:G252),"")</f>
        <v/>
      </c>
      <c r="C252" s="75"/>
      <c r="D252" s="75"/>
      <c r="E252" s="76"/>
      <c r="F252" s="76"/>
      <c r="G252" s="74"/>
      <c r="H252" s="61"/>
      <c r="I252" s="68">
        <v>0.8</v>
      </c>
      <c r="J252" s="77" t="s">
        <v>316</v>
      </c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78"/>
      <c r="AS252" s="77"/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78"/>
      <c r="CB252" s="74"/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43"/>
      <c r="CV252" s="43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3"/>
      <c r="DM252" s="43"/>
      <c r="DN252" s="43"/>
      <c r="DO252" s="43"/>
      <c r="DP252" s="43"/>
      <c r="DQ252" s="43"/>
      <c r="DR252" s="43"/>
      <c r="DS252" s="43"/>
      <c r="DT252" s="43"/>
      <c r="DU252" s="43"/>
      <c r="DV252" s="43"/>
      <c r="DW252" s="43"/>
      <c r="DX252" s="43"/>
      <c r="DY252" s="43"/>
      <c r="DZ252" s="43"/>
    </row>
    <row r="253" spans="2:130" s="46" customFormat="1" x14ac:dyDescent="0.15">
      <c r="B253" s="75" t="str">
        <f>IF(G253&lt;&gt;"",SUBTOTAL(3,$G$5:G253),"")</f>
        <v/>
      </c>
      <c r="C253" s="75"/>
      <c r="D253" s="75"/>
      <c r="E253" s="76"/>
      <c r="F253" s="76"/>
      <c r="G253" s="74"/>
      <c r="H253" s="61"/>
      <c r="I253" s="68">
        <v>0.8</v>
      </c>
      <c r="J253" s="77" t="s">
        <v>317</v>
      </c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78"/>
      <c r="AS253" s="77"/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43"/>
      <c r="BR253" s="43"/>
      <c r="BS253" s="43"/>
      <c r="BT253" s="43"/>
      <c r="BU253" s="43"/>
      <c r="BV253" s="43"/>
      <c r="BW253" s="43"/>
      <c r="BX253" s="43"/>
      <c r="BY253" s="43"/>
      <c r="BZ253" s="43"/>
      <c r="CA253" s="78"/>
      <c r="CB253" s="74"/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  <c r="CU253" s="43"/>
      <c r="CV253" s="43"/>
      <c r="CW253" s="43"/>
      <c r="CX253" s="43"/>
      <c r="CY253" s="43"/>
      <c r="CZ253" s="43"/>
      <c r="DA253" s="43"/>
      <c r="DB253" s="43"/>
      <c r="DC253" s="43"/>
      <c r="DD253" s="43"/>
      <c r="DE253" s="43"/>
      <c r="DF253" s="43"/>
      <c r="DG253" s="43"/>
      <c r="DH253" s="43"/>
      <c r="DI253" s="43"/>
      <c r="DJ253" s="43"/>
      <c r="DK253" s="43"/>
      <c r="DL253" s="43"/>
      <c r="DM253" s="43"/>
      <c r="DN253" s="43"/>
      <c r="DO253" s="43"/>
      <c r="DP253" s="43"/>
      <c r="DQ253" s="43"/>
      <c r="DR253" s="43"/>
      <c r="DS253" s="43"/>
      <c r="DT253" s="43"/>
      <c r="DU253" s="43"/>
      <c r="DV253" s="43"/>
      <c r="DW253" s="43"/>
      <c r="DX253" s="43"/>
      <c r="DY253" s="43"/>
      <c r="DZ253" s="43"/>
    </row>
    <row r="254" spans="2:130" s="46" customFormat="1" x14ac:dyDescent="0.15">
      <c r="B254" s="75" t="str">
        <f>IF(G254&lt;&gt;"",SUBTOTAL(3,$G$5:G254),"")</f>
        <v/>
      </c>
      <c r="C254" s="75"/>
      <c r="D254" s="75"/>
      <c r="E254" s="76"/>
      <c r="F254" s="76"/>
      <c r="G254" s="74"/>
      <c r="H254" s="61"/>
      <c r="I254" s="68">
        <v>0.8</v>
      </c>
      <c r="J254" s="77" t="s">
        <v>318</v>
      </c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78"/>
      <c r="AS254" s="77"/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78"/>
      <c r="CB254" s="74"/>
      <c r="CC254" s="43"/>
      <c r="CD254" s="43"/>
      <c r="CE254" s="43"/>
      <c r="CF254" s="43"/>
      <c r="CG254" s="43"/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43"/>
      <c r="CV254" s="43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3"/>
      <c r="DM254" s="43"/>
      <c r="DN254" s="43"/>
      <c r="DO254" s="43"/>
      <c r="DP254" s="43"/>
      <c r="DQ254" s="43"/>
      <c r="DR254" s="43"/>
      <c r="DS254" s="43"/>
      <c r="DT254" s="43"/>
      <c r="DU254" s="43"/>
      <c r="DV254" s="43"/>
      <c r="DW254" s="43"/>
      <c r="DX254" s="43"/>
      <c r="DY254" s="43"/>
      <c r="DZ254" s="43"/>
    </row>
    <row r="255" spans="2:130" s="46" customFormat="1" x14ac:dyDescent="0.15">
      <c r="B255" s="75" t="str">
        <f>IF(G255&lt;&gt;"",SUBTOTAL(3,$G$5:G255),"")</f>
        <v/>
      </c>
      <c r="C255" s="75"/>
      <c r="D255" s="75"/>
      <c r="E255" s="76"/>
      <c r="F255" s="76"/>
      <c r="G255" s="74"/>
      <c r="H255" s="61"/>
      <c r="I255" s="68">
        <v>0.8</v>
      </c>
      <c r="J255" s="77" t="s">
        <v>319</v>
      </c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78"/>
      <c r="AS255" s="77"/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43"/>
      <c r="BR255" s="43"/>
      <c r="BS255" s="43"/>
      <c r="BT255" s="43"/>
      <c r="BU255" s="43"/>
      <c r="BV255" s="43"/>
      <c r="BW255" s="43"/>
      <c r="BX255" s="43"/>
      <c r="BY255" s="43"/>
      <c r="BZ255" s="43"/>
      <c r="CA255" s="78"/>
      <c r="CB255" s="74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  <c r="CU255" s="43"/>
      <c r="CV255" s="43"/>
      <c r="CW255" s="43"/>
      <c r="CX255" s="43"/>
      <c r="CY255" s="43"/>
      <c r="CZ255" s="43"/>
      <c r="DA255" s="43"/>
      <c r="DB255" s="43"/>
      <c r="DC255" s="43"/>
      <c r="DD255" s="43"/>
      <c r="DE255" s="43"/>
      <c r="DF255" s="43"/>
      <c r="DG255" s="43"/>
      <c r="DH255" s="43"/>
      <c r="DI255" s="43"/>
      <c r="DJ255" s="43"/>
      <c r="DK255" s="43"/>
      <c r="DL255" s="43"/>
      <c r="DM255" s="43"/>
      <c r="DN255" s="43"/>
      <c r="DO255" s="43"/>
      <c r="DP255" s="43"/>
      <c r="DQ255" s="43"/>
      <c r="DR255" s="43"/>
      <c r="DS255" s="43"/>
      <c r="DT255" s="43"/>
      <c r="DU255" s="43"/>
      <c r="DV255" s="43"/>
      <c r="DW255" s="43"/>
      <c r="DX255" s="43"/>
      <c r="DY255" s="43"/>
      <c r="DZ255" s="43"/>
    </row>
    <row r="256" spans="2:130" s="46" customFormat="1" x14ac:dyDescent="0.15">
      <c r="B256" s="75" t="str">
        <f>IF(G256&lt;&gt;"",SUBTOTAL(3,$G$5:G256),"")</f>
        <v/>
      </c>
      <c r="C256" s="75"/>
      <c r="D256" s="75"/>
      <c r="E256" s="76"/>
      <c r="F256" s="76"/>
      <c r="G256" s="74"/>
      <c r="H256" s="61"/>
      <c r="I256" s="68">
        <v>0.8</v>
      </c>
      <c r="J256" s="77" t="s">
        <v>320</v>
      </c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78"/>
      <c r="AS256" s="77"/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78"/>
      <c r="CB256" s="74"/>
      <c r="CC256" s="43"/>
      <c r="CD256" s="43"/>
      <c r="CE256" s="43"/>
      <c r="CF256" s="43"/>
      <c r="CG256" s="43"/>
      <c r="CH256" s="43"/>
      <c r="CI256" s="43"/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43"/>
      <c r="CV256" s="43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3"/>
      <c r="DM256" s="43"/>
      <c r="DN256" s="43"/>
      <c r="DO256" s="43"/>
      <c r="DP256" s="43"/>
      <c r="DQ256" s="43"/>
      <c r="DR256" s="43"/>
      <c r="DS256" s="43"/>
      <c r="DT256" s="43"/>
      <c r="DU256" s="43"/>
      <c r="DV256" s="43"/>
      <c r="DW256" s="43"/>
      <c r="DX256" s="43"/>
      <c r="DY256" s="43"/>
      <c r="DZ256" s="43"/>
    </row>
    <row r="257" spans="2:130" s="46" customFormat="1" x14ac:dyDescent="0.15">
      <c r="B257" s="75" t="str">
        <f>IF(G257&lt;&gt;"",SUBTOTAL(3,$G$5:G257),"")</f>
        <v/>
      </c>
      <c r="C257" s="75"/>
      <c r="D257" s="75"/>
      <c r="E257" s="76"/>
      <c r="F257" s="76"/>
      <c r="G257" s="74"/>
      <c r="H257" s="61"/>
      <c r="I257" s="68">
        <v>0.8</v>
      </c>
      <c r="J257" s="37" t="str">
        <f>HYPERLINK("C:\Users\roshi_000.000\MyImp\MyOwn\Develop\C++\At_Coder\◆C++_Language解説◆.xlsm#'C++ Language解説'!double型_int型キャスト","◆C++_Languge解説◆.xlsm#'C++ Language解説'!double型_int型キャスト")</f>
        <v>◆C++_Languge解説◆.xlsm#'C++ Language解説'!double型_int型キャスト</v>
      </c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78"/>
      <c r="AS257" s="77"/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/>
      <c r="BR257" s="43"/>
      <c r="BS257" s="43"/>
      <c r="BT257" s="43"/>
      <c r="BU257" s="43"/>
      <c r="BV257" s="43"/>
      <c r="BW257" s="43"/>
      <c r="BX257" s="43"/>
      <c r="BY257" s="43"/>
      <c r="BZ257" s="43"/>
      <c r="CA257" s="78"/>
      <c r="CB257" s="74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43"/>
      <c r="CV257" s="43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3"/>
      <c r="DM257" s="43"/>
      <c r="DN257" s="43"/>
      <c r="DO257" s="43"/>
      <c r="DP257" s="43"/>
      <c r="DQ257" s="43"/>
      <c r="DR257" s="43"/>
      <c r="DS257" s="43"/>
      <c r="DT257" s="43"/>
      <c r="DU257" s="43"/>
      <c r="DV257" s="43"/>
      <c r="DW257" s="43"/>
      <c r="DX257" s="43"/>
      <c r="DY257" s="43"/>
      <c r="DZ257" s="43"/>
    </row>
    <row r="258" spans="2:130" s="46" customFormat="1" x14ac:dyDescent="0.15">
      <c r="B258" s="75" t="str">
        <f>IF(G258&lt;&gt;"",SUBTOTAL(3,$G$5:G258),"")</f>
        <v/>
      </c>
      <c r="C258" s="75"/>
      <c r="D258" s="75"/>
      <c r="E258" s="76"/>
      <c r="F258" s="76"/>
      <c r="G258" s="74"/>
      <c r="H258" s="61"/>
      <c r="I258" s="68">
        <v>0.8</v>
      </c>
      <c r="J258" s="37"/>
      <c r="K258" s="38"/>
      <c r="L258" s="38"/>
      <c r="M258" s="38"/>
      <c r="N258" s="38"/>
      <c r="O258" s="38"/>
      <c r="P258" s="38"/>
      <c r="Q258" s="38"/>
      <c r="R258" s="38"/>
      <c r="S258" s="38"/>
      <c r="T258" s="38"/>
      <c r="U258" s="38"/>
      <c r="V258" s="38"/>
      <c r="W258" s="38"/>
      <c r="X258" s="38"/>
      <c r="Y258" s="38"/>
      <c r="Z258" s="38"/>
      <c r="AA258" s="38"/>
      <c r="AB258" s="38"/>
      <c r="AC258" s="38"/>
      <c r="AD258" s="38"/>
      <c r="AE258" s="38"/>
      <c r="AF258" s="38"/>
      <c r="AG258" s="38"/>
      <c r="AH258" s="38"/>
      <c r="AI258" s="38"/>
      <c r="AJ258" s="38"/>
      <c r="AK258" s="38"/>
      <c r="AL258" s="38"/>
      <c r="AM258" s="38"/>
      <c r="AN258" s="38"/>
      <c r="AO258" s="38"/>
      <c r="AP258" s="38"/>
      <c r="AQ258" s="38"/>
      <c r="AR258" s="39"/>
      <c r="AS258" s="77"/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78"/>
      <c r="CB258" s="74"/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  <c r="CU258" s="43"/>
      <c r="CV258" s="43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3"/>
      <c r="DM258" s="43"/>
      <c r="DN258" s="43"/>
      <c r="DO258" s="43"/>
      <c r="DP258" s="43"/>
      <c r="DQ258" s="43"/>
      <c r="DR258" s="43"/>
      <c r="DS258" s="43"/>
      <c r="DT258" s="43"/>
      <c r="DU258" s="43"/>
      <c r="DV258" s="43"/>
      <c r="DW258" s="43"/>
      <c r="DX258" s="43"/>
      <c r="DY258" s="43"/>
      <c r="DZ258" s="43"/>
    </row>
    <row r="259" spans="2:130" s="46" customFormat="1" ht="13.5" customHeight="1" x14ac:dyDescent="0.15">
      <c r="B259" s="75">
        <f>IF(G259&lt;&gt;"",SUBTOTAL(3,$G$5:G259),"")</f>
        <v>81</v>
      </c>
      <c r="C259" s="75"/>
      <c r="D259" s="75"/>
      <c r="E259" s="102" t="s">
        <v>139</v>
      </c>
      <c r="F259" s="102" t="s">
        <v>135</v>
      </c>
      <c r="G259" s="104" t="s">
        <v>203</v>
      </c>
      <c r="H259" s="103">
        <v>43995</v>
      </c>
      <c r="I259" s="62"/>
      <c r="J259" s="77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78"/>
      <c r="AS259" s="77"/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/>
      <c r="BR259" s="43"/>
      <c r="BS259" s="43"/>
      <c r="BT259" s="43"/>
      <c r="BU259" s="43"/>
      <c r="BV259" s="43"/>
      <c r="BW259" s="43"/>
      <c r="BX259" s="43"/>
      <c r="BY259" s="43"/>
      <c r="BZ259" s="43"/>
      <c r="CA259" s="78"/>
      <c r="CB259" s="74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43"/>
      <c r="CV259" s="43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3"/>
      <c r="DM259" s="43"/>
      <c r="DN259" s="43"/>
      <c r="DO259" s="43"/>
      <c r="DP259" s="43"/>
      <c r="DQ259" s="43"/>
      <c r="DR259" s="43"/>
      <c r="DS259" s="43"/>
      <c r="DT259" s="43"/>
      <c r="DU259" s="43"/>
      <c r="DV259" s="43"/>
      <c r="DW259" s="43"/>
      <c r="DX259" s="43"/>
      <c r="DY259" s="43"/>
      <c r="DZ259" s="43"/>
    </row>
    <row r="260" spans="2:130" s="46" customFormat="1" x14ac:dyDescent="0.15">
      <c r="B260" s="75">
        <f>IF(G260&lt;&gt;"",SUBTOTAL(3,$G$5:G260),"")</f>
        <v>82</v>
      </c>
      <c r="C260" s="75"/>
      <c r="D260" s="75"/>
      <c r="E260" s="76" t="s">
        <v>139</v>
      </c>
      <c r="F260" s="76" t="s">
        <v>135</v>
      </c>
      <c r="G260" s="74" t="s">
        <v>204</v>
      </c>
      <c r="H260" s="61">
        <v>43997</v>
      </c>
      <c r="I260" s="62">
        <v>1</v>
      </c>
      <c r="J260" s="77" t="s">
        <v>387</v>
      </c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78"/>
      <c r="AS260" s="77" t="s">
        <v>322</v>
      </c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78"/>
      <c r="CB260" s="74"/>
      <c r="CC260" s="43"/>
      <c r="CD260" s="43"/>
      <c r="CE260" s="43"/>
      <c r="CF260" s="43"/>
      <c r="CG260" s="43"/>
      <c r="CH260" s="43"/>
      <c r="CI260" s="43"/>
      <c r="CJ260" s="43"/>
      <c r="CK260" s="43"/>
      <c r="CL260" s="43"/>
      <c r="CM260" s="43"/>
      <c r="CN260" s="43"/>
      <c r="CO260" s="43"/>
      <c r="CP260" s="43"/>
      <c r="CQ260" s="43"/>
      <c r="CR260" s="43"/>
      <c r="CS260" s="43"/>
      <c r="CT260" s="43"/>
      <c r="CU260" s="43"/>
      <c r="CV260" s="43"/>
      <c r="CW260" s="43"/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3"/>
      <c r="DM260" s="43"/>
      <c r="DN260" s="43"/>
      <c r="DO260" s="43"/>
      <c r="DP260" s="43"/>
      <c r="DQ260" s="43"/>
      <c r="DR260" s="43"/>
      <c r="DS260" s="43"/>
      <c r="DT260" s="43"/>
      <c r="DU260" s="43"/>
      <c r="DV260" s="43"/>
      <c r="DW260" s="43"/>
      <c r="DX260" s="43"/>
      <c r="DY260" s="43"/>
      <c r="DZ260" s="43"/>
    </row>
    <row r="261" spans="2:130" s="46" customFormat="1" x14ac:dyDescent="0.15">
      <c r="B261" s="75" t="str">
        <f>IF(G261&lt;&gt;"",SUBTOTAL(3,$G$5:G261),"")</f>
        <v/>
      </c>
      <c r="C261" s="75"/>
      <c r="D261" s="75"/>
      <c r="E261" s="76"/>
      <c r="F261" s="76"/>
      <c r="G261" s="74"/>
      <c r="H261" s="61"/>
      <c r="I261" s="70">
        <v>1</v>
      </c>
      <c r="J261" s="77" t="s">
        <v>386</v>
      </c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78"/>
      <c r="AS261" s="77" t="s">
        <v>388</v>
      </c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/>
      <c r="BR261" s="43"/>
      <c r="BS261" s="43"/>
      <c r="BT261" s="43"/>
      <c r="BU261" s="43"/>
      <c r="BV261" s="43"/>
      <c r="BW261" s="43"/>
      <c r="BX261" s="43"/>
      <c r="BY261" s="43"/>
      <c r="BZ261" s="43"/>
      <c r="CA261" s="78"/>
      <c r="CB261" s="74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43"/>
      <c r="CV261" s="43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3"/>
      <c r="DM261" s="43"/>
      <c r="DN261" s="43"/>
      <c r="DO261" s="43"/>
      <c r="DP261" s="43"/>
      <c r="DQ261" s="43"/>
      <c r="DR261" s="43"/>
      <c r="DS261" s="43"/>
      <c r="DT261" s="43"/>
      <c r="DU261" s="43"/>
      <c r="DV261" s="43"/>
      <c r="DW261" s="43"/>
      <c r="DX261" s="43"/>
      <c r="DY261" s="43"/>
      <c r="DZ261" s="43"/>
    </row>
    <row r="262" spans="2:130" s="46" customFormat="1" x14ac:dyDescent="0.15">
      <c r="B262" s="75" t="str">
        <f>IF(G262&lt;&gt;"",SUBTOTAL(3,$G$5:G262),"")</f>
        <v/>
      </c>
      <c r="C262" s="75"/>
      <c r="D262" s="75"/>
      <c r="E262" s="76"/>
      <c r="F262" s="76"/>
      <c r="G262" s="74"/>
      <c r="H262" s="61"/>
      <c r="I262" s="70">
        <v>1</v>
      </c>
      <c r="J262" s="77" t="s">
        <v>321</v>
      </c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78"/>
      <c r="AS262" s="77" t="s">
        <v>389</v>
      </c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78"/>
      <c r="CB262" s="74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3"/>
      <c r="DM262" s="43"/>
      <c r="DN262" s="43"/>
      <c r="DO262" s="43"/>
      <c r="DP262" s="43"/>
      <c r="DQ262" s="43"/>
      <c r="DR262" s="43"/>
      <c r="DS262" s="43"/>
      <c r="DT262" s="43"/>
      <c r="DU262" s="43"/>
      <c r="DV262" s="43"/>
      <c r="DW262" s="43"/>
      <c r="DX262" s="43"/>
      <c r="DY262" s="43"/>
      <c r="DZ262" s="43"/>
    </row>
    <row r="263" spans="2:130" s="46" customFormat="1" ht="13.5" customHeight="1" x14ac:dyDescent="0.15">
      <c r="B263" s="75">
        <f>IF(G263&lt;&gt;"",SUBTOTAL(3,$G$5:G263),"")</f>
        <v>83</v>
      </c>
      <c r="C263" s="75"/>
      <c r="D263" s="75"/>
      <c r="E263" s="102" t="s">
        <v>139</v>
      </c>
      <c r="F263" s="102" t="s">
        <v>135</v>
      </c>
      <c r="G263" s="104" t="s">
        <v>205</v>
      </c>
      <c r="H263" s="103">
        <v>44004</v>
      </c>
      <c r="I263" s="62"/>
      <c r="J263" s="77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78"/>
      <c r="AS263" s="77"/>
      <c r="AT263" s="43"/>
      <c r="AU263" s="43"/>
      <c r="AV263" s="43"/>
      <c r="AW263" s="43"/>
      <c r="AX263" s="43"/>
      <c r="AY263" s="43"/>
      <c r="AZ263" s="43"/>
      <c r="BA263" s="43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43"/>
      <c r="BR263" s="43"/>
      <c r="BS263" s="43"/>
      <c r="BT263" s="43"/>
      <c r="BU263" s="43"/>
      <c r="BV263" s="43"/>
      <c r="BW263" s="43"/>
      <c r="BX263" s="43"/>
      <c r="BY263" s="43"/>
      <c r="BZ263" s="43"/>
      <c r="CA263" s="78"/>
      <c r="CB263" s="74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  <c r="CU263" s="43"/>
      <c r="CV263" s="43"/>
      <c r="CW263" s="43"/>
      <c r="CX263" s="43"/>
      <c r="CY263" s="43"/>
      <c r="CZ263" s="43"/>
      <c r="DA263" s="43"/>
      <c r="DB263" s="43"/>
      <c r="DC263" s="43"/>
      <c r="DD263" s="43"/>
      <c r="DE263" s="43"/>
      <c r="DF263" s="43"/>
      <c r="DG263" s="43"/>
      <c r="DH263" s="43"/>
      <c r="DI263" s="43"/>
      <c r="DJ263" s="43"/>
      <c r="DK263" s="43"/>
      <c r="DL263" s="43"/>
      <c r="DM263" s="43"/>
      <c r="DN263" s="43"/>
      <c r="DO263" s="43"/>
      <c r="DP263" s="43"/>
      <c r="DQ263" s="43"/>
      <c r="DR263" s="43"/>
      <c r="DS263" s="43"/>
      <c r="DT263" s="43"/>
      <c r="DU263" s="43"/>
      <c r="DV263" s="43"/>
      <c r="DW263" s="43"/>
      <c r="DX263" s="43"/>
      <c r="DY263" s="43"/>
      <c r="DZ263" s="43"/>
    </row>
    <row r="264" spans="2:130" s="46" customFormat="1" x14ac:dyDescent="0.15">
      <c r="B264" s="75">
        <f>IF(G264&lt;&gt;"",SUBTOTAL(3,$G$5:G264),"")</f>
        <v>84</v>
      </c>
      <c r="C264" s="75"/>
      <c r="D264" s="75"/>
      <c r="E264" s="76" t="s">
        <v>139</v>
      </c>
      <c r="F264" s="76" t="s">
        <v>142</v>
      </c>
      <c r="G264" s="76" t="s">
        <v>206</v>
      </c>
      <c r="H264" s="61">
        <v>44030</v>
      </c>
      <c r="I264" s="62">
        <v>1</v>
      </c>
      <c r="J264" s="77" t="s">
        <v>323</v>
      </c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78"/>
      <c r="AS264" s="77" t="s">
        <v>390</v>
      </c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/>
      <c r="BR264" s="43"/>
      <c r="BS264" s="43"/>
      <c r="BT264" s="43"/>
      <c r="BU264" s="43"/>
      <c r="BV264" s="43"/>
      <c r="BW264" s="43"/>
      <c r="BX264" s="43"/>
      <c r="BY264" s="43"/>
      <c r="BZ264" s="43"/>
      <c r="CA264" s="78"/>
      <c r="CB264" s="74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3"/>
      <c r="DM264" s="43"/>
      <c r="DN264" s="43"/>
      <c r="DO264" s="43"/>
      <c r="DP264" s="43"/>
      <c r="DQ264" s="43"/>
      <c r="DR264" s="43"/>
      <c r="DS264" s="43"/>
      <c r="DT264" s="43"/>
      <c r="DU264" s="43"/>
      <c r="DV264" s="43"/>
      <c r="DW264" s="43"/>
      <c r="DX264" s="43"/>
      <c r="DY264" s="43"/>
      <c r="DZ264" s="43"/>
    </row>
    <row r="265" spans="2:130" s="46" customFormat="1" x14ac:dyDescent="0.15">
      <c r="B265" s="75" t="str">
        <f>IF(G265&lt;&gt;"",SUBTOTAL(3,$G$5:G265),"")</f>
        <v/>
      </c>
      <c r="C265" s="75"/>
      <c r="D265" s="75"/>
      <c r="E265" s="76"/>
      <c r="F265" s="76"/>
      <c r="G265" s="76"/>
      <c r="H265" s="61"/>
      <c r="I265" s="70">
        <v>1</v>
      </c>
      <c r="J265" s="77" t="s">
        <v>324</v>
      </c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78"/>
      <c r="AS265" s="77"/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/>
      <c r="BR265" s="43"/>
      <c r="BS265" s="43"/>
      <c r="BT265" s="43"/>
      <c r="BU265" s="43"/>
      <c r="BV265" s="43"/>
      <c r="BW265" s="43"/>
      <c r="BX265" s="43"/>
      <c r="BY265" s="43"/>
      <c r="BZ265" s="43"/>
      <c r="CA265" s="78"/>
      <c r="CB265" s="74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3"/>
      <c r="DM265" s="43"/>
      <c r="DN265" s="43"/>
      <c r="DO265" s="43"/>
      <c r="DP265" s="43"/>
      <c r="DQ265" s="43"/>
      <c r="DR265" s="43"/>
      <c r="DS265" s="43"/>
      <c r="DT265" s="43"/>
      <c r="DU265" s="43"/>
      <c r="DV265" s="43"/>
      <c r="DW265" s="43"/>
      <c r="DX265" s="43"/>
      <c r="DY265" s="43"/>
      <c r="DZ265" s="43"/>
    </row>
    <row r="266" spans="2:130" s="46" customFormat="1" x14ac:dyDescent="0.15">
      <c r="B266" s="75" t="str">
        <f>IF(G266&lt;&gt;"",SUBTOTAL(3,$G$5:G266),"")</f>
        <v/>
      </c>
      <c r="C266" s="75"/>
      <c r="D266" s="75"/>
      <c r="E266" s="76"/>
      <c r="F266" s="76"/>
      <c r="G266" s="76"/>
      <c r="H266" s="61"/>
      <c r="I266" s="70">
        <v>1</v>
      </c>
      <c r="J266" s="77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78"/>
      <c r="AS266" s="77" t="s">
        <v>391</v>
      </c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78"/>
      <c r="CB266" s="74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3"/>
      <c r="DM266" s="43"/>
      <c r="DN266" s="43"/>
      <c r="DO266" s="43"/>
      <c r="DP266" s="43"/>
      <c r="DQ266" s="43"/>
      <c r="DR266" s="43"/>
      <c r="DS266" s="43"/>
      <c r="DT266" s="43"/>
      <c r="DU266" s="43"/>
      <c r="DV266" s="43"/>
      <c r="DW266" s="43"/>
      <c r="DX266" s="43"/>
      <c r="DY266" s="43"/>
      <c r="DZ266" s="43"/>
    </row>
    <row r="267" spans="2:130" s="46" customFormat="1" x14ac:dyDescent="0.15">
      <c r="B267" s="75" t="str">
        <f>IF(G267&lt;&gt;"",SUBTOTAL(3,$G$5:G267),"")</f>
        <v/>
      </c>
      <c r="C267" s="75"/>
      <c r="D267" s="75"/>
      <c r="E267" s="76"/>
      <c r="F267" s="76"/>
      <c r="G267" s="76"/>
      <c r="H267" s="61"/>
      <c r="I267" s="70">
        <v>1</v>
      </c>
      <c r="J267" s="77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78"/>
      <c r="AS267" s="77" t="s">
        <v>325</v>
      </c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78"/>
      <c r="CB267" s="74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43"/>
      <c r="CV267" s="43"/>
      <c r="CW267" s="43"/>
      <c r="CX267" s="43"/>
      <c r="CY267" s="43"/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3"/>
      <c r="DM267" s="43"/>
      <c r="DN267" s="43"/>
      <c r="DO267" s="43"/>
      <c r="DP267" s="43"/>
      <c r="DQ267" s="43"/>
      <c r="DR267" s="43"/>
      <c r="DS267" s="43"/>
      <c r="DT267" s="43"/>
      <c r="DU267" s="43"/>
      <c r="DV267" s="43"/>
      <c r="DW267" s="43"/>
      <c r="DX267" s="43"/>
      <c r="DY267" s="43"/>
      <c r="DZ267" s="43"/>
    </row>
    <row r="268" spans="2:130" s="46" customFormat="1" ht="15.75" x14ac:dyDescent="0.15">
      <c r="B268" s="75" t="str">
        <f>IF(G268&lt;&gt;"",SUBTOTAL(3,$G$5:G268),"")</f>
        <v/>
      </c>
      <c r="C268" s="75"/>
      <c r="D268" s="75"/>
      <c r="E268" s="76"/>
      <c r="F268" s="76"/>
      <c r="G268" s="76"/>
      <c r="H268" s="61"/>
      <c r="I268" s="70">
        <v>1</v>
      </c>
      <c r="J268" s="77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78"/>
      <c r="AS268" s="77" t="s">
        <v>353</v>
      </c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78"/>
      <c r="CB268" s="74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3"/>
      <c r="DM268" s="43"/>
      <c r="DN268" s="43"/>
      <c r="DO268" s="43"/>
      <c r="DP268" s="43"/>
      <c r="DQ268" s="43"/>
      <c r="DR268" s="43"/>
      <c r="DS268" s="43"/>
      <c r="DT268" s="43"/>
      <c r="DU268" s="43"/>
      <c r="DV268" s="43"/>
      <c r="DW268" s="43"/>
      <c r="DX268" s="43"/>
      <c r="DY268" s="43"/>
      <c r="DZ268" s="43"/>
    </row>
    <row r="269" spans="2:130" s="46" customFormat="1" x14ac:dyDescent="0.15">
      <c r="B269" s="75" t="str">
        <f>IF(G269&lt;&gt;"",SUBTOTAL(3,$G$5:G269),"")</f>
        <v/>
      </c>
      <c r="C269" s="75"/>
      <c r="D269" s="75"/>
      <c r="E269" s="76"/>
      <c r="F269" s="76"/>
      <c r="G269" s="76"/>
      <c r="H269" s="61"/>
      <c r="I269" s="70">
        <v>1</v>
      </c>
      <c r="J269" s="77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78"/>
      <c r="AS269" s="77" t="s">
        <v>392</v>
      </c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78"/>
      <c r="CB269" s="74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3"/>
      <c r="DM269" s="43"/>
      <c r="DN269" s="43"/>
      <c r="DO269" s="43"/>
      <c r="DP269" s="43"/>
      <c r="DQ269" s="43"/>
      <c r="DR269" s="43"/>
      <c r="DS269" s="43"/>
      <c r="DT269" s="43"/>
      <c r="DU269" s="43"/>
      <c r="DV269" s="43"/>
      <c r="DW269" s="43"/>
      <c r="DX269" s="43"/>
      <c r="DY269" s="43"/>
      <c r="DZ269" s="43"/>
    </row>
    <row r="270" spans="2:130" s="46" customFormat="1" x14ac:dyDescent="0.15">
      <c r="B270" s="75" t="str">
        <f>IF(G270&lt;&gt;"",SUBTOTAL(3,$G$5:G270),"")</f>
        <v/>
      </c>
      <c r="C270" s="75"/>
      <c r="D270" s="75"/>
      <c r="E270" s="76"/>
      <c r="F270" s="76"/>
      <c r="G270" s="76"/>
      <c r="H270" s="61"/>
      <c r="I270" s="70">
        <v>1</v>
      </c>
      <c r="J270" s="77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78"/>
      <c r="AS270" s="77" t="s">
        <v>393</v>
      </c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43"/>
      <c r="BR270" s="43"/>
      <c r="BS270" s="43"/>
      <c r="BT270" s="43"/>
      <c r="BU270" s="43"/>
      <c r="BV270" s="43"/>
      <c r="BW270" s="43"/>
      <c r="BX270" s="43"/>
      <c r="BY270" s="43"/>
      <c r="BZ270" s="43"/>
      <c r="CA270" s="78"/>
      <c r="CB270" s="74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</row>
    <row r="271" spans="2:130" s="46" customFormat="1" x14ac:dyDescent="0.15">
      <c r="B271" s="75" t="str">
        <f>IF(G271&lt;&gt;"",SUBTOTAL(3,$G$5:G271),"")</f>
        <v/>
      </c>
      <c r="C271" s="75"/>
      <c r="D271" s="75"/>
      <c r="E271" s="76"/>
      <c r="F271" s="76"/>
      <c r="G271" s="76"/>
      <c r="H271" s="61"/>
      <c r="I271" s="70">
        <v>1</v>
      </c>
      <c r="J271" s="77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78"/>
      <c r="AS271" s="77"/>
      <c r="AT271" s="43"/>
      <c r="AU271" s="43"/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43"/>
      <c r="BR271" s="43"/>
      <c r="BS271" s="43"/>
      <c r="BT271" s="43"/>
      <c r="BU271" s="43"/>
      <c r="BV271" s="43"/>
      <c r="BW271" s="43"/>
      <c r="BX271" s="43"/>
      <c r="BY271" s="43"/>
      <c r="BZ271" s="43"/>
      <c r="CA271" s="78"/>
      <c r="CB271" s="74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3"/>
      <c r="DM271" s="43"/>
      <c r="DN271" s="43"/>
      <c r="DO271" s="43"/>
      <c r="DP271" s="43"/>
      <c r="DQ271" s="43"/>
      <c r="DR271" s="43"/>
      <c r="DS271" s="43"/>
      <c r="DT271" s="43"/>
      <c r="DU271" s="43"/>
      <c r="DV271" s="43"/>
      <c r="DW271" s="43"/>
      <c r="DX271" s="43"/>
      <c r="DY271" s="43"/>
      <c r="DZ271" s="43"/>
    </row>
    <row r="272" spans="2:130" s="46" customFormat="1" x14ac:dyDescent="0.15">
      <c r="B272" s="75">
        <f>IF(G272&lt;&gt;"",SUBTOTAL(3,$G$5:G272),"")</f>
        <v>85</v>
      </c>
      <c r="C272" s="75"/>
      <c r="D272" s="75"/>
      <c r="E272" s="76" t="s">
        <v>139</v>
      </c>
      <c r="F272" s="76" t="s">
        <v>142</v>
      </c>
      <c r="G272" s="76" t="s">
        <v>213</v>
      </c>
      <c r="H272" s="61">
        <v>44052</v>
      </c>
      <c r="I272" s="62">
        <v>0.5</v>
      </c>
      <c r="J272" s="77" t="s">
        <v>326</v>
      </c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78"/>
      <c r="AS272" s="77" t="s">
        <v>395</v>
      </c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78"/>
      <c r="CB272" s="74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3"/>
      <c r="DM272" s="43"/>
      <c r="DN272" s="43"/>
      <c r="DO272" s="43"/>
      <c r="DP272" s="43"/>
      <c r="DQ272" s="43"/>
      <c r="DR272" s="43"/>
      <c r="DS272" s="43"/>
      <c r="DT272" s="43"/>
      <c r="DU272" s="43"/>
      <c r="DV272" s="43"/>
      <c r="DW272" s="43"/>
      <c r="DX272" s="43"/>
      <c r="DY272" s="43"/>
      <c r="DZ272" s="43"/>
    </row>
    <row r="273" spans="2:130" s="46" customFormat="1" x14ac:dyDescent="0.15">
      <c r="B273" s="99" t="str">
        <f>IF(G273&lt;&gt;"",SUBTOTAL(3,$G$5:G273),"")</f>
        <v/>
      </c>
      <c r="C273" s="75"/>
      <c r="D273" s="75"/>
      <c r="E273" s="76"/>
      <c r="F273" s="76"/>
      <c r="G273" s="76"/>
      <c r="H273" s="61"/>
      <c r="I273" s="68">
        <v>0.5</v>
      </c>
      <c r="J273" s="77" t="s">
        <v>354</v>
      </c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78"/>
      <c r="AS273" s="77" t="s">
        <v>394</v>
      </c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78"/>
      <c r="CB273" s="74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3"/>
      <c r="DM273" s="43"/>
      <c r="DN273" s="43"/>
      <c r="DO273" s="43"/>
      <c r="DP273" s="43"/>
      <c r="DQ273" s="43"/>
      <c r="DR273" s="43"/>
      <c r="DS273" s="43"/>
      <c r="DT273" s="43"/>
      <c r="DU273" s="43"/>
      <c r="DV273" s="43"/>
      <c r="DW273" s="43"/>
      <c r="DX273" s="43"/>
      <c r="DY273" s="43"/>
      <c r="DZ273" s="43"/>
    </row>
    <row r="274" spans="2:130" s="46" customFormat="1" x14ac:dyDescent="0.15">
      <c r="B274" s="99" t="str">
        <f>IF(G274&lt;&gt;"",SUBTOTAL(3,$G$5:G274),"")</f>
        <v/>
      </c>
      <c r="C274" s="75"/>
      <c r="D274" s="75"/>
      <c r="E274" s="76"/>
      <c r="F274" s="76"/>
      <c r="G274" s="76"/>
      <c r="H274" s="61"/>
      <c r="I274" s="68">
        <v>0.5</v>
      </c>
      <c r="J274" s="77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78"/>
      <c r="AS274" s="77" t="s">
        <v>396</v>
      </c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78"/>
      <c r="CB274" s="74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3"/>
      <c r="DM274" s="43"/>
      <c r="DN274" s="43"/>
      <c r="DO274" s="43"/>
      <c r="DP274" s="43"/>
      <c r="DQ274" s="43"/>
      <c r="DR274" s="43"/>
      <c r="DS274" s="43"/>
      <c r="DT274" s="43"/>
      <c r="DU274" s="43"/>
      <c r="DV274" s="43"/>
      <c r="DW274" s="43"/>
      <c r="DX274" s="43"/>
      <c r="DY274" s="43"/>
      <c r="DZ274" s="43"/>
    </row>
    <row r="275" spans="2:130" s="46" customFormat="1" x14ac:dyDescent="0.15">
      <c r="B275" s="99" t="str">
        <f>IF(G275&lt;&gt;"",SUBTOTAL(3,$G$5:G275),"")</f>
        <v/>
      </c>
      <c r="C275" s="75"/>
      <c r="D275" s="75"/>
      <c r="E275" s="76"/>
      <c r="F275" s="76"/>
      <c r="G275" s="76"/>
      <c r="H275" s="61"/>
      <c r="I275" s="68">
        <v>0.5</v>
      </c>
      <c r="J275" s="77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78"/>
      <c r="AS275" s="77" t="s">
        <v>397</v>
      </c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/>
      <c r="BR275" s="43"/>
      <c r="BS275" s="43"/>
      <c r="BT275" s="43"/>
      <c r="BU275" s="43"/>
      <c r="BV275" s="43"/>
      <c r="BW275" s="43"/>
      <c r="BX275" s="43"/>
      <c r="BY275" s="43"/>
      <c r="BZ275" s="43"/>
      <c r="CA275" s="78"/>
      <c r="CB275" s="74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3"/>
      <c r="DM275" s="43"/>
      <c r="DN275" s="43"/>
      <c r="DO275" s="43"/>
      <c r="DP275" s="43"/>
      <c r="DQ275" s="43"/>
      <c r="DR275" s="43"/>
      <c r="DS275" s="43"/>
      <c r="DT275" s="43"/>
      <c r="DU275" s="43"/>
      <c r="DV275" s="43"/>
      <c r="DW275" s="43"/>
      <c r="DX275" s="43"/>
      <c r="DY275" s="43"/>
      <c r="DZ275" s="43"/>
    </row>
    <row r="276" spans="2:130" s="46" customFormat="1" x14ac:dyDescent="0.15">
      <c r="B276" s="99" t="str">
        <f>IF(G276&lt;&gt;"",SUBTOTAL(3,$G$5:G276),"")</f>
        <v/>
      </c>
      <c r="C276" s="75"/>
      <c r="D276" s="75"/>
      <c r="E276" s="76"/>
      <c r="F276" s="76"/>
      <c r="G276" s="76"/>
      <c r="H276" s="61"/>
      <c r="I276" s="68">
        <v>0.5</v>
      </c>
      <c r="J276" s="77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78"/>
      <c r="AS276" s="77" t="s">
        <v>399</v>
      </c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/>
      <c r="BR276" s="43"/>
      <c r="BS276" s="43"/>
      <c r="BT276" s="43"/>
      <c r="BU276" s="43"/>
      <c r="BV276" s="43"/>
      <c r="BW276" s="43"/>
      <c r="BX276" s="43"/>
      <c r="BY276" s="43"/>
      <c r="BZ276" s="43"/>
      <c r="CA276" s="78"/>
      <c r="CB276" s="74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43"/>
      <c r="CV276" s="43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3"/>
      <c r="DM276" s="43"/>
      <c r="DN276" s="43"/>
      <c r="DO276" s="43"/>
      <c r="DP276" s="43"/>
      <c r="DQ276" s="43"/>
      <c r="DR276" s="43"/>
      <c r="DS276" s="43"/>
      <c r="DT276" s="43"/>
      <c r="DU276" s="43"/>
      <c r="DV276" s="43"/>
      <c r="DW276" s="43"/>
      <c r="DX276" s="43"/>
      <c r="DY276" s="43"/>
      <c r="DZ276" s="43"/>
    </row>
    <row r="277" spans="2:130" s="46" customFormat="1" x14ac:dyDescent="0.15">
      <c r="B277" s="75" t="str">
        <f>IF(G277&lt;&gt;"",SUBTOTAL(3,$G$5:G277),"")</f>
        <v/>
      </c>
      <c r="C277" s="75"/>
      <c r="D277" s="75"/>
      <c r="E277" s="76"/>
      <c r="F277" s="76"/>
      <c r="G277" s="76"/>
      <c r="H277" s="61"/>
      <c r="I277" s="68">
        <v>0.5</v>
      </c>
      <c r="J277" s="77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78"/>
      <c r="AS277" s="77" t="s">
        <v>398</v>
      </c>
      <c r="AT277" s="43"/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/>
      <c r="BR277" s="43"/>
      <c r="BS277" s="43"/>
      <c r="BT277" s="43"/>
      <c r="BU277" s="43"/>
      <c r="BV277" s="43"/>
      <c r="BW277" s="43"/>
      <c r="BX277" s="43"/>
      <c r="BY277" s="43"/>
      <c r="BZ277" s="43"/>
      <c r="CA277" s="78"/>
      <c r="CB277" s="74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43"/>
      <c r="CV277" s="43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3"/>
      <c r="DM277" s="43"/>
      <c r="DN277" s="43"/>
      <c r="DO277" s="43"/>
      <c r="DP277" s="43"/>
      <c r="DQ277" s="43"/>
      <c r="DR277" s="43"/>
      <c r="DS277" s="43"/>
      <c r="DT277" s="43"/>
      <c r="DU277" s="43"/>
      <c r="DV277" s="43"/>
      <c r="DW277" s="43"/>
      <c r="DX277" s="43"/>
      <c r="DY277" s="43"/>
      <c r="DZ277" s="43"/>
    </row>
    <row r="278" spans="2:130" s="46" customFormat="1" x14ac:dyDescent="0.15">
      <c r="B278" s="75" t="str">
        <f>IF(G278&lt;&gt;"",SUBTOTAL(3,$G$5:G278),"")</f>
        <v/>
      </c>
      <c r="C278" s="75"/>
      <c r="D278" s="75"/>
      <c r="E278" s="76"/>
      <c r="F278" s="76"/>
      <c r="G278" s="76"/>
      <c r="H278" s="61"/>
      <c r="I278" s="68">
        <v>0.5</v>
      </c>
      <c r="J278" s="77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78"/>
      <c r="AS278" s="77" t="s">
        <v>400</v>
      </c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78"/>
      <c r="CB278" s="74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43"/>
      <c r="CV278" s="43"/>
      <c r="CW278" s="43"/>
      <c r="CX278" s="43"/>
      <c r="CY278" s="43"/>
      <c r="CZ278" s="43"/>
      <c r="DA278" s="43"/>
      <c r="DB278" s="43"/>
      <c r="DC278" s="43"/>
      <c r="DD278" s="43"/>
      <c r="DE278" s="43"/>
      <c r="DF278" s="43"/>
      <c r="DG278" s="43"/>
      <c r="DH278" s="43"/>
      <c r="DI278" s="43"/>
      <c r="DJ278" s="43"/>
      <c r="DK278" s="43"/>
      <c r="DL278" s="43"/>
      <c r="DM278" s="43"/>
      <c r="DN278" s="43"/>
      <c r="DO278" s="43"/>
      <c r="DP278" s="43"/>
      <c r="DQ278" s="43"/>
      <c r="DR278" s="43"/>
      <c r="DS278" s="43"/>
      <c r="DT278" s="43"/>
      <c r="DU278" s="43"/>
      <c r="DV278" s="43"/>
      <c r="DW278" s="43"/>
      <c r="DX278" s="43"/>
      <c r="DY278" s="43"/>
      <c r="DZ278" s="43"/>
    </row>
    <row r="279" spans="2:130" s="46" customFormat="1" x14ac:dyDescent="0.15">
      <c r="B279" s="75" t="str">
        <f>IF(G279&lt;&gt;"",SUBTOTAL(3,$G$5:G279),"")</f>
        <v/>
      </c>
      <c r="C279" s="75"/>
      <c r="D279" s="75"/>
      <c r="E279" s="76"/>
      <c r="F279" s="76"/>
      <c r="G279" s="76"/>
      <c r="H279" s="61"/>
      <c r="I279" s="68">
        <v>0.5</v>
      </c>
      <c r="J279" s="77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78"/>
      <c r="AS279" s="77"/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43"/>
      <c r="BR279" s="43"/>
      <c r="BS279" s="43"/>
      <c r="BT279" s="43"/>
      <c r="BU279" s="43"/>
      <c r="BV279" s="43"/>
      <c r="BW279" s="43"/>
      <c r="BX279" s="43"/>
      <c r="BY279" s="43"/>
      <c r="BZ279" s="43"/>
      <c r="CA279" s="78"/>
      <c r="CB279" s="74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  <c r="CU279" s="43"/>
      <c r="CV279" s="43"/>
      <c r="CW279" s="43"/>
      <c r="CX279" s="43"/>
      <c r="CY279" s="43"/>
      <c r="CZ279" s="43"/>
      <c r="DA279" s="43"/>
      <c r="DB279" s="43"/>
      <c r="DC279" s="43"/>
      <c r="DD279" s="43"/>
      <c r="DE279" s="43"/>
      <c r="DF279" s="43"/>
      <c r="DG279" s="43"/>
      <c r="DH279" s="43"/>
      <c r="DI279" s="43"/>
      <c r="DJ279" s="43"/>
      <c r="DK279" s="43"/>
      <c r="DL279" s="43"/>
      <c r="DM279" s="43"/>
      <c r="DN279" s="43"/>
      <c r="DO279" s="43"/>
      <c r="DP279" s="43"/>
      <c r="DQ279" s="43"/>
      <c r="DR279" s="43"/>
      <c r="DS279" s="43"/>
      <c r="DT279" s="43"/>
      <c r="DU279" s="43"/>
      <c r="DV279" s="43"/>
      <c r="DW279" s="43"/>
      <c r="DX279" s="43"/>
      <c r="DY279" s="43"/>
      <c r="DZ279" s="43"/>
    </row>
    <row r="280" spans="2:130" s="46" customFormat="1" x14ac:dyDescent="0.15">
      <c r="B280" s="75" t="str">
        <f>IF(G280&lt;&gt;"",SUBTOTAL(3,$G$5:G280),"")</f>
        <v/>
      </c>
      <c r="C280" s="75"/>
      <c r="D280" s="75"/>
      <c r="E280" s="76"/>
      <c r="F280" s="76"/>
      <c r="G280" s="76"/>
      <c r="H280" s="61"/>
      <c r="I280" s="68">
        <v>0.5</v>
      </c>
      <c r="J280" s="77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78"/>
      <c r="AS280" s="77"/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43"/>
      <c r="BR280" s="43"/>
      <c r="BS280" s="43"/>
      <c r="BT280" s="43"/>
      <c r="BU280" s="43"/>
      <c r="BV280" s="43"/>
      <c r="BW280" s="43"/>
      <c r="BX280" s="43"/>
      <c r="BY280" s="43"/>
      <c r="BZ280" s="43"/>
      <c r="CA280" s="78"/>
      <c r="CB280" s="74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/>
      <c r="CO280" s="43"/>
      <c r="CP280" s="43"/>
      <c r="CQ280" s="43"/>
      <c r="CR280" s="43"/>
      <c r="CS280" s="43"/>
      <c r="CT280" s="43"/>
      <c r="CU280" s="43"/>
      <c r="CV280" s="43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</row>
    <row r="281" spans="2:130" s="46" customFormat="1" ht="13.5" customHeight="1" x14ac:dyDescent="0.15">
      <c r="B281" s="75">
        <f>IF(G281&lt;&gt;"",SUBTOTAL(3,$G$5:G281),"")</f>
        <v>86</v>
      </c>
      <c r="C281" s="75"/>
      <c r="D281" s="75"/>
      <c r="E281" s="102" t="s">
        <v>139</v>
      </c>
      <c r="F281" s="102" t="s">
        <v>142</v>
      </c>
      <c r="G281" s="102" t="s">
        <v>220</v>
      </c>
      <c r="H281" s="103">
        <v>44062</v>
      </c>
      <c r="I281" s="62">
        <v>1</v>
      </c>
      <c r="J281" s="77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78"/>
      <c r="AS281" s="77"/>
      <c r="AT281" s="43"/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43"/>
      <c r="BR281" s="43"/>
      <c r="BS281" s="43"/>
      <c r="BT281" s="43"/>
      <c r="BU281" s="43"/>
      <c r="BV281" s="43"/>
      <c r="BW281" s="43"/>
      <c r="BX281" s="43"/>
      <c r="BY281" s="43"/>
      <c r="BZ281" s="43"/>
      <c r="CA281" s="78"/>
      <c r="CB281" s="74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  <c r="CU281" s="43"/>
      <c r="CV281" s="43"/>
      <c r="CW281" s="43"/>
      <c r="CX281" s="43"/>
      <c r="CY281" s="43"/>
      <c r="CZ281" s="43"/>
      <c r="DA281" s="43"/>
      <c r="DB281" s="43"/>
      <c r="DC281" s="43"/>
      <c r="DD281" s="43"/>
      <c r="DE281" s="43"/>
      <c r="DF281" s="43"/>
      <c r="DG281" s="43"/>
      <c r="DH281" s="43"/>
      <c r="DI281" s="43"/>
      <c r="DJ281" s="43"/>
      <c r="DK281" s="43"/>
      <c r="DL281" s="43"/>
      <c r="DM281" s="43"/>
      <c r="DN281" s="43"/>
      <c r="DO281" s="43"/>
      <c r="DP281" s="43"/>
      <c r="DQ281" s="43"/>
      <c r="DR281" s="43"/>
      <c r="DS281" s="43"/>
      <c r="DT281" s="43"/>
      <c r="DU281" s="43"/>
      <c r="DV281" s="43"/>
      <c r="DW281" s="43"/>
      <c r="DX281" s="43"/>
      <c r="DY281" s="43"/>
      <c r="DZ281" s="43"/>
    </row>
    <row r="282" spans="2:130" s="46" customFormat="1" ht="13.5" customHeight="1" x14ac:dyDescent="0.15">
      <c r="B282" s="75">
        <f>IF(G282&lt;&gt;"",SUBTOTAL(3,$G$5:G282),"")</f>
        <v>87</v>
      </c>
      <c r="C282" s="75"/>
      <c r="D282" s="75"/>
      <c r="E282" s="102" t="s">
        <v>139</v>
      </c>
      <c r="F282" s="102" t="s">
        <v>142</v>
      </c>
      <c r="G282" s="102" t="s">
        <v>221</v>
      </c>
      <c r="H282" s="103">
        <v>44071</v>
      </c>
      <c r="I282" s="62">
        <v>1</v>
      </c>
      <c r="J282" s="77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78"/>
      <c r="AS282" s="77"/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43"/>
      <c r="BR282" s="43"/>
      <c r="BS282" s="43"/>
      <c r="BT282" s="43"/>
      <c r="BU282" s="43"/>
      <c r="BV282" s="43"/>
      <c r="BW282" s="43"/>
      <c r="BX282" s="43"/>
      <c r="BY282" s="43"/>
      <c r="BZ282" s="43"/>
      <c r="CA282" s="78"/>
      <c r="CB282" s="74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  <c r="CU282" s="43"/>
      <c r="CV282" s="43"/>
      <c r="CW282" s="43"/>
      <c r="CX282" s="43"/>
      <c r="CY282" s="43"/>
      <c r="CZ282" s="43"/>
      <c r="DA282" s="43"/>
      <c r="DB282" s="43"/>
      <c r="DC282" s="43"/>
      <c r="DD282" s="43"/>
      <c r="DE282" s="43"/>
      <c r="DF282" s="43"/>
      <c r="DG282" s="43"/>
      <c r="DH282" s="43"/>
      <c r="DI282" s="43"/>
      <c r="DJ282" s="43"/>
      <c r="DK282" s="43"/>
      <c r="DL282" s="43"/>
      <c r="DM282" s="43"/>
      <c r="DN282" s="43"/>
      <c r="DO282" s="43"/>
      <c r="DP282" s="43"/>
      <c r="DQ282" s="43"/>
      <c r="DR282" s="43"/>
      <c r="DS282" s="43"/>
      <c r="DT282" s="43"/>
      <c r="DU282" s="43"/>
      <c r="DV282" s="43"/>
      <c r="DW282" s="43"/>
      <c r="DX282" s="43"/>
      <c r="DY282" s="43"/>
      <c r="DZ282" s="43"/>
    </row>
    <row r="283" spans="2:130" s="46" customFormat="1" ht="13.5" customHeight="1" x14ac:dyDescent="0.15">
      <c r="B283" s="99" t="str">
        <f>IF(G283&lt;&gt;"",SUBTOTAL(3,$G$5:G283),"")</f>
        <v/>
      </c>
      <c r="C283" s="75"/>
      <c r="D283" s="75"/>
      <c r="E283" s="76"/>
      <c r="F283" s="76"/>
      <c r="G283" s="76"/>
      <c r="H283" s="61"/>
      <c r="I283" s="70">
        <v>1</v>
      </c>
      <c r="J283" s="77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78"/>
      <c r="AS283" s="77"/>
      <c r="AT283" s="43"/>
      <c r="AU283" s="43"/>
      <c r="AV283" s="43"/>
      <c r="AW283" s="43"/>
      <c r="AX283" s="43"/>
      <c r="AY283" s="43"/>
      <c r="AZ283" s="43"/>
      <c r="BA283" s="43"/>
      <c r="BB283" s="43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43"/>
      <c r="BO283" s="43"/>
      <c r="BP283" s="43"/>
      <c r="BQ283" s="43"/>
      <c r="BR283" s="43"/>
      <c r="BS283" s="43"/>
      <c r="BT283" s="43"/>
      <c r="BU283" s="43"/>
      <c r="BV283" s="43"/>
      <c r="BW283" s="43"/>
      <c r="BX283" s="43"/>
      <c r="BY283" s="43"/>
      <c r="BZ283" s="43"/>
      <c r="CA283" s="78"/>
      <c r="CB283" s="74"/>
      <c r="CC283" s="43"/>
      <c r="CD283" s="43"/>
      <c r="CE283" s="43"/>
      <c r="CF283" s="43"/>
      <c r="CG283" s="43"/>
      <c r="CH283" s="43"/>
      <c r="CI283" s="43"/>
      <c r="CJ283" s="43"/>
      <c r="CK283" s="43"/>
      <c r="CL283" s="43"/>
      <c r="CM283" s="43"/>
      <c r="CN283" s="43"/>
      <c r="CO283" s="43"/>
      <c r="CP283" s="43"/>
      <c r="CQ283" s="43"/>
      <c r="CR283" s="43"/>
      <c r="CS283" s="43"/>
      <c r="CT283" s="43"/>
      <c r="CU283" s="43"/>
      <c r="CV283" s="43"/>
      <c r="CW283" s="43"/>
      <c r="CX283" s="43"/>
      <c r="CY283" s="43"/>
      <c r="CZ283" s="43"/>
      <c r="DA283" s="43"/>
      <c r="DB283" s="43"/>
      <c r="DC283" s="43"/>
      <c r="DD283" s="43"/>
      <c r="DE283" s="43"/>
      <c r="DF283" s="43"/>
      <c r="DG283" s="43"/>
      <c r="DH283" s="43"/>
      <c r="DI283" s="43"/>
      <c r="DJ283" s="43"/>
      <c r="DK283" s="43"/>
      <c r="DL283" s="43"/>
      <c r="DM283" s="43"/>
      <c r="DN283" s="43"/>
      <c r="DO283" s="43"/>
      <c r="DP283" s="43"/>
      <c r="DQ283" s="43"/>
      <c r="DR283" s="43"/>
      <c r="DS283" s="43"/>
      <c r="DT283" s="43"/>
      <c r="DU283" s="43"/>
      <c r="DV283" s="43"/>
      <c r="DW283" s="43"/>
      <c r="DX283" s="43"/>
      <c r="DY283" s="43"/>
      <c r="DZ283" s="43"/>
    </row>
    <row r="284" spans="2:130" s="46" customFormat="1" x14ac:dyDescent="0.15">
      <c r="B284" s="75">
        <f>IF(G284&lt;&gt;"",SUBTOTAL(3,$G$5:G284),"")</f>
        <v>88</v>
      </c>
      <c r="C284" s="75"/>
      <c r="D284" s="75"/>
      <c r="E284" s="76" t="s">
        <v>139</v>
      </c>
      <c r="F284" s="76" t="s">
        <v>142</v>
      </c>
      <c r="G284" s="76" t="s">
        <v>225</v>
      </c>
      <c r="H284" s="61">
        <v>44073</v>
      </c>
      <c r="I284" s="62">
        <v>1</v>
      </c>
      <c r="J284" s="95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  <c r="AM284" s="43"/>
      <c r="AN284" s="43"/>
      <c r="AO284" s="43"/>
      <c r="AP284" s="43"/>
      <c r="AQ284" s="43"/>
      <c r="AR284" s="78"/>
      <c r="AS284" s="95" t="s">
        <v>337</v>
      </c>
      <c r="AT284" s="43" t="s">
        <v>338</v>
      </c>
      <c r="AU284" s="43"/>
      <c r="AV284" s="43"/>
      <c r="AW284" s="43"/>
      <c r="AX284" s="43"/>
      <c r="AY284" s="43"/>
      <c r="AZ284" s="43"/>
      <c r="BA284" s="43"/>
      <c r="BB284" s="43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43"/>
      <c r="BO284" s="43"/>
      <c r="BP284" s="43"/>
      <c r="BQ284" s="43"/>
      <c r="BR284" s="43"/>
      <c r="BS284" s="43"/>
      <c r="BT284" s="43"/>
      <c r="BU284" s="43"/>
      <c r="BV284" s="43"/>
      <c r="BW284" s="43"/>
      <c r="BX284" s="43"/>
      <c r="BY284" s="43"/>
      <c r="BZ284" s="43"/>
      <c r="CA284" s="78"/>
      <c r="CB284" s="74"/>
      <c r="CC284" s="43"/>
      <c r="CD284" s="43"/>
      <c r="CE284" s="43"/>
      <c r="CF284" s="43"/>
      <c r="CG284" s="43"/>
      <c r="CH284" s="43"/>
      <c r="CI284" s="43"/>
      <c r="CJ284" s="43"/>
      <c r="CK284" s="43"/>
      <c r="CL284" s="43"/>
      <c r="CM284" s="43"/>
      <c r="CN284" s="43"/>
      <c r="CO284" s="43"/>
      <c r="CP284" s="43"/>
      <c r="CQ284" s="43"/>
      <c r="CR284" s="43"/>
      <c r="CS284" s="43"/>
      <c r="CT284" s="43"/>
      <c r="CU284" s="43"/>
      <c r="CV284" s="43"/>
      <c r="CW284" s="43"/>
      <c r="CX284" s="43"/>
      <c r="CY284" s="43"/>
      <c r="CZ284" s="43"/>
      <c r="DA284" s="43"/>
      <c r="DB284" s="43"/>
      <c r="DC284" s="43"/>
      <c r="DD284" s="43"/>
      <c r="DE284" s="43"/>
      <c r="DF284" s="43"/>
      <c r="DG284" s="43"/>
      <c r="DH284" s="43"/>
      <c r="DI284" s="43"/>
      <c r="DJ284" s="43"/>
      <c r="DK284" s="43"/>
      <c r="DL284" s="43"/>
      <c r="DM284" s="43"/>
      <c r="DN284" s="43"/>
      <c r="DO284" s="43"/>
      <c r="DP284" s="43"/>
      <c r="DQ284" s="43"/>
      <c r="DR284" s="43"/>
      <c r="DS284" s="43"/>
      <c r="DT284" s="43"/>
      <c r="DU284" s="43"/>
      <c r="DV284" s="43"/>
      <c r="DW284" s="43"/>
      <c r="DX284" s="43"/>
      <c r="DY284" s="43"/>
      <c r="DZ284" s="43"/>
    </row>
    <row r="285" spans="2:130" s="46" customFormat="1" x14ac:dyDescent="0.15">
      <c r="B285" s="75" t="str">
        <f>IF(G285&lt;&gt;"",SUBTOTAL(3,$G$5:G285),"")</f>
        <v/>
      </c>
      <c r="C285" s="75"/>
      <c r="D285" s="75"/>
      <c r="E285" s="76"/>
      <c r="F285" s="76"/>
      <c r="G285" s="76"/>
      <c r="H285" s="61"/>
      <c r="I285" s="70">
        <v>1</v>
      </c>
      <c r="J285" s="96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  <c r="AQ285" s="43"/>
      <c r="AR285" s="78"/>
      <c r="AS285" s="96" t="s">
        <v>327</v>
      </c>
      <c r="AT285" s="43"/>
      <c r="AU285" s="43"/>
      <c r="AV285" s="43"/>
      <c r="AW285" s="43"/>
      <c r="AX285" s="43"/>
      <c r="AY285" s="43"/>
      <c r="AZ285" s="43"/>
      <c r="BA285" s="43"/>
      <c r="BB285" s="43"/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43"/>
      <c r="BO285" s="43"/>
      <c r="BP285" s="43"/>
      <c r="BQ285" s="43"/>
      <c r="BR285" s="43"/>
      <c r="BS285" s="43"/>
      <c r="BT285" s="43"/>
      <c r="BU285" s="43"/>
      <c r="BV285" s="43"/>
      <c r="BW285" s="43"/>
      <c r="BX285" s="43"/>
      <c r="BY285" s="43"/>
      <c r="BZ285" s="43"/>
      <c r="CA285" s="78"/>
      <c r="CB285" s="74"/>
      <c r="CC285" s="43"/>
      <c r="CD285" s="43"/>
      <c r="CE285" s="43"/>
      <c r="CF285" s="43"/>
      <c r="CG285" s="43"/>
      <c r="CH285" s="43"/>
      <c r="CI285" s="43"/>
      <c r="CJ285" s="43"/>
      <c r="CK285" s="43"/>
      <c r="CL285" s="43"/>
      <c r="CM285" s="43"/>
      <c r="CN285" s="43"/>
      <c r="CO285" s="43"/>
      <c r="CP285" s="43"/>
      <c r="CQ285" s="43"/>
      <c r="CR285" s="43"/>
      <c r="CS285" s="43"/>
      <c r="CT285" s="43"/>
      <c r="CU285" s="43"/>
      <c r="CV285" s="43"/>
      <c r="CW285" s="43"/>
      <c r="CX285" s="43"/>
      <c r="CY285" s="43"/>
      <c r="CZ285" s="43"/>
      <c r="DA285" s="43"/>
      <c r="DB285" s="43"/>
      <c r="DC285" s="43"/>
      <c r="DD285" s="43"/>
      <c r="DE285" s="43"/>
      <c r="DF285" s="43"/>
      <c r="DG285" s="43"/>
      <c r="DH285" s="43"/>
      <c r="DI285" s="43"/>
      <c r="DJ285" s="43"/>
      <c r="DK285" s="43"/>
      <c r="DL285" s="43"/>
      <c r="DM285" s="43"/>
      <c r="DN285" s="43"/>
      <c r="DO285" s="43"/>
      <c r="DP285" s="43"/>
      <c r="DQ285" s="43"/>
      <c r="DR285" s="43"/>
      <c r="DS285" s="43"/>
      <c r="DT285" s="43"/>
      <c r="DU285" s="43"/>
      <c r="DV285" s="43"/>
      <c r="DW285" s="43"/>
      <c r="DX285" s="43"/>
      <c r="DY285" s="43"/>
      <c r="DZ285" s="43"/>
    </row>
    <row r="286" spans="2:130" s="46" customFormat="1" x14ac:dyDescent="0.15">
      <c r="B286" s="75" t="str">
        <f>IF(G286&lt;&gt;"",SUBTOTAL(3,$G$5:G286),"")</f>
        <v/>
      </c>
      <c r="C286" s="75"/>
      <c r="D286" s="75"/>
      <c r="E286" s="76"/>
      <c r="F286" s="76"/>
      <c r="G286" s="76"/>
      <c r="H286" s="61"/>
      <c r="I286" s="70">
        <v>1</v>
      </c>
      <c r="J286" s="96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78"/>
      <c r="AS286" s="96" t="s">
        <v>328</v>
      </c>
      <c r="AT286" s="43"/>
      <c r="AU286" s="43"/>
      <c r="AV286" s="43"/>
      <c r="AW286" s="43"/>
      <c r="AX286" s="43"/>
      <c r="AY286" s="43"/>
      <c r="AZ286" s="43"/>
      <c r="BA286" s="43"/>
      <c r="BB286" s="43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43"/>
      <c r="BO286" s="43"/>
      <c r="BP286" s="43"/>
      <c r="BQ286" s="43"/>
      <c r="BR286" s="43"/>
      <c r="BS286" s="43"/>
      <c r="BT286" s="43"/>
      <c r="BU286" s="43"/>
      <c r="BV286" s="43"/>
      <c r="BW286" s="43"/>
      <c r="BX286" s="43"/>
      <c r="BY286" s="43"/>
      <c r="BZ286" s="43"/>
      <c r="CA286" s="78"/>
      <c r="CB286" s="74"/>
      <c r="CC286" s="43"/>
      <c r="CD286" s="43"/>
      <c r="CE286" s="43"/>
      <c r="CF286" s="43"/>
      <c r="CG286" s="43"/>
      <c r="CH286" s="43"/>
      <c r="CI286" s="43"/>
      <c r="CJ286" s="43"/>
      <c r="CK286" s="43"/>
      <c r="CL286" s="43"/>
      <c r="CM286" s="43"/>
      <c r="CN286" s="43"/>
      <c r="CO286" s="43"/>
      <c r="CP286" s="43"/>
      <c r="CQ286" s="43"/>
      <c r="CR286" s="43"/>
      <c r="CS286" s="43"/>
      <c r="CT286" s="43"/>
      <c r="CU286" s="43"/>
      <c r="CV286" s="43"/>
      <c r="CW286" s="43"/>
      <c r="CX286" s="43"/>
      <c r="CY286" s="43"/>
      <c r="CZ286" s="43"/>
      <c r="DA286" s="43"/>
      <c r="DB286" s="43"/>
      <c r="DC286" s="43"/>
      <c r="DD286" s="43"/>
      <c r="DE286" s="43"/>
      <c r="DF286" s="43"/>
      <c r="DG286" s="43"/>
      <c r="DH286" s="43"/>
      <c r="DI286" s="43"/>
      <c r="DJ286" s="43"/>
      <c r="DK286" s="43"/>
      <c r="DL286" s="43"/>
      <c r="DM286" s="43"/>
      <c r="DN286" s="43"/>
      <c r="DO286" s="43"/>
      <c r="DP286" s="43"/>
      <c r="DQ286" s="43"/>
      <c r="DR286" s="43"/>
      <c r="DS286" s="43"/>
      <c r="DT286" s="43"/>
      <c r="DU286" s="43"/>
      <c r="DV286" s="43"/>
      <c r="DW286" s="43"/>
      <c r="DX286" s="43"/>
      <c r="DY286" s="43"/>
      <c r="DZ286" s="43"/>
    </row>
    <row r="287" spans="2:130" s="46" customFormat="1" x14ac:dyDescent="0.15">
      <c r="B287" s="75" t="str">
        <f>IF(G287&lt;&gt;"",SUBTOTAL(3,$G$5:G287),"")</f>
        <v/>
      </c>
      <c r="C287" s="75"/>
      <c r="D287" s="75"/>
      <c r="E287" s="76"/>
      <c r="F287" s="76"/>
      <c r="G287" s="76"/>
      <c r="H287" s="61"/>
      <c r="I287" s="70">
        <v>1</v>
      </c>
      <c r="J287" s="96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  <c r="AQ287" s="43"/>
      <c r="AR287" s="78"/>
      <c r="AS287" s="96" t="s">
        <v>329</v>
      </c>
      <c r="AT287" s="43"/>
      <c r="AU287" s="43"/>
      <c r="AV287" s="43"/>
      <c r="AW287" s="43"/>
      <c r="AX287" s="43"/>
      <c r="AY287" s="43"/>
      <c r="AZ287" s="43"/>
      <c r="BA287" s="43"/>
      <c r="BB287" s="43"/>
      <c r="BC287" s="43"/>
      <c r="BD287" s="43"/>
      <c r="BE287" s="43"/>
      <c r="BF287" s="43"/>
      <c r="BG287" s="43"/>
      <c r="BH287" s="43"/>
      <c r="BI287" s="43"/>
      <c r="BJ287" s="43"/>
      <c r="BK287" s="43"/>
      <c r="BL287" s="43"/>
      <c r="BM287" s="43"/>
      <c r="BN287" s="43"/>
      <c r="BO287" s="43"/>
      <c r="BP287" s="43"/>
      <c r="BQ287" s="43"/>
      <c r="BR287" s="43"/>
      <c r="BS287" s="43"/>
      <c r="BT287" s="43"/>
      <c r="BU287" s="43"/>
      <c r="BV287" s="43"/>
      <c r="BW287" s="43"/>
      <c r="BX287" s="43"/>
      <c r="BY287" s="43"/>
      <c r="BZ287" s="43"/>
      <c r="CA287" s="78"/>
      <c r="CB287" s="74"/>
      <c r="CC287" s="43"/>
      <c r="CD287" s="43"/>
      <c r="CE287" s="43"/>
      <c r="CF287" s="43"/>
      <c r="CG287" s="43"/>
      <c r="CH287" s="43"/>
      <c r="CI287" s="43"/>
      <c r="CJ287" s="43"/>
      <c r="CK287" s="43"/>
      <c r="CL287" s="43"/>
      <c r="CM287" s="43"/>
      <c r="CN287" s="43"/>
      <c r="CO287" s="43"/>
      <c r="CP287" s="43"/>
      <c r="CQ287" s="43"/>
      <c r="CR287" s="43"/>
      <c r="CS287" s="43"/>
      <c r="CT287" s="43"/>
      <c r="CU287" s="43"/>
      <c r="CV287" s="43"/>
      <c r="CW287" s="43"/>
      <c r="CX287" s="43"/>
      <c r="CY287" s="43"/>
      <c r="CZ287" s="43"/>
      <c r="DA287" s="43"/>
      <c r="DB287" s="43"/>
      <c r="DC287" s="43"/>
      <c r="DD287" s="43"/>
      <c r="DE287" s="43"/>
      <c r="DF287" s="43"/>
      <c r="DG287" s="43"/>
      <c r="DH287" s="43"/>
      <c r="DI287" s="43"/>
      <c r="DJ287" s="43"/>
      <c r="DK287" s="43"/>
      <c r="DL287" s="43"/>
      <c r="DM287" s="43"/>
      <c r="DN287" s="43"/>
      <c r="DO287" s="43"/>
      <c r="DP287" s="43"/>
      <c r="DQ287" s="43"/>
      <c r="DR287" s="43"/>
      <c r="DS287" s="43"/>
      <c r="DT287" s="43"/>
      <c r="DU287" s="43"/>
      <c r="DV287" s="43"/>
      <c r="DW287" s="43"/>
      <c r="DX287" s="43"/>
      <c r="DY287" s="43"/>
      <c r="DZ287" s="43"/>
    </row>
    <row r="288" spans="2:130" s="46" customFormat="1" x14ac:dyDescent="0.15">
      <c r="B288" s="75" t="str">
        <f>IF(G288&lt;&gt;"",SUBTOTAL(3,$G$5:G288),"")</f>
        <v/>
      </c>
      <c r="C288" s="75"/>
      <c r="D288" s="75"/>
      <c r="E288" s="76"/>
      <c r="F288" s="76"/>
      <c r="G288" s="76"/>
      <c r="H288" s="61"/>
      <c r="I288" s="70">
        <v>1</v>
      </c>
      <c r="J288" s="96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78"/>
      <c r="AS288" s="96" t="s">
        <v>330</v>
      </c>
      <c r="AT288" s="43"/>
      <c r="AU288" s="43"/>
      <c r="AV288" s="43"/>
      <c r="AW288" s="43"/>
      <c r="AX288" s="43"/>
      <c r="AY288" s="43"/>
      <c r="AZ288" s="43"/>
      <c r="BA288" s="43"/>
      <c r="BB288" s="43"/>
      <c r="BC288" s="43"/>
      <c r="BD288" s="43"/>
      <c r="BE288" s="43"/>
      <c r="BF288" s="43"/>
      <c r="BG288" s="43"/>
      <c r="BH288" s="43"/>
      <c r="BI288" s="43"/>
      <c r="BJ288" s="43"/>
      <c r="BK288" s="43"/>
      <c r="BL288" s="43"/>
      <c r="BM288" s="43"/>
      <c r="BN288" s="43"/>
      <c r="BO288" s="43"/>
      <c r="BP288" s="43"/>
      <c r="BQ288" s="43"/>
      <c r="BR288" s="43"/>
      <c r="BS288" s="43"/>
      <c r="BT288" s="43"/>
      <c r="BU288" s="43"/>
      <c r="BV288" s="43"/>
      <c r="BW288" s="43"/>
      <c r="BX288" s="43"/>
      <c r="BY288" s="43"/>
      <c r="BZ288" s="43"/>
      <c r="CA288" s="78"/>
      <c r="CB288" s="74"/>
      <c r="CC288" s="43"/>
      <c r="CD288" s="43"/>
      <c r="CE288" s="43"/>
      <c r="CF288" s="43"/>
      <c r="CG288" s="43"/>
      <c r="CH288" s="43"/>
      <c r="CI288" s="43"/>
      <c r="CJ288" s="43"/>
      <c r="CK288" s="43"/>
      <c r="CL288" s="43"/>
      <c r="CM288" s="43"/>
      <c r="CN288" s="43"/>
      <c r="CO288" s="43"/>
      <c r="CP288" s="43"/>
      <c r="CQ288" s="43"/>
      <c r="CR288" s="43"/>
      <c r="CS288" s="43"/>
      <c r="CT288" s="43"/>
      <c r="CU288" s="43"/>
      <c r="CV288" s="43"/>
      <c r="CW288" s="43"/>
      <c r="CX288" s="43"/>
      <c r="CY288" s="43"/>
      <c r="CZ288" s="43"/>
      <c r="DA288" s="43"/>
      <c r="DB288" s="43"/>
      <c r="DC288" s="43"/>
      <c r="DD288" s="43"/>
      <c r="DE288" s="43"/>
      <c r="DF288" s="43"/>
      <c r="DG288" s="43"/>
      <c r="DH288" s="43"/>
      <c r="DI288" s="43"/>
      <c r="DJ288" s="43"/>
      <c r="DK288" s="43"/>
      <c r="DL288" s="43"/>
      <c r="DM288" s="43"/>
      <c r="DN288" s="43"/>
      <c r="DO288" s="43"/>
      <c r="DP288" s="43"/>
      <c r="DQ288" s="43"/>
      <c r="DR288" s="43"/>
      <c r="DS288" s="43"/>
      <c r="DT288" s="43"/>
      <c r="DU288" s="43"/>
      <c r="DV288" s="43"/>
      <c r="DW288" s="43"/>
      <c r="DX288" s="43"/>
      <c r="DY288" s="43"/>
      <c r="DZ288" s="43"/>
    </row>
    <row r="289" spans="2:130" s="46" customFormat="1" x14ac:dyDescent="0.15">
      <c r="B289" s="75" t="str">
        <f>IF(G289&lt;&gt;"",SUBTOTAL(3,$G$5:G289),"")</f>
        <v/>
      </c>
      <c r="C289" s="75"/>
      <c r="D289" s="75"/>
      <c r="E289" s="76"/>
      <c r="F289" s="76"/>
      <c r="G289" s="76"/>
      <c r="H289" s="61"/>
      <c r="I289" s="70">
        <v>1</v>
      </c>
      <c r="J289" s="96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  <c r="AQ289" s="43"/>
      <c r="AR289" s="78"/>
      <c r="AS289" s="96" t="s">
        <v>342</v>
      </c>
      <c r="AT289" s="43"/>
      <c r="AU289" s="43"/>
      <c r="AV289" s="43"/>
      <c r="AW289" s="43"/>
      <c r="AX289" s="43"/>
      <c r="AY289" s="43"/>
      <c r="AZ289" s="43"/>
      <c r="BA289" s="43"/>
      <c r="BB289" s="43"/>
      <c r="BC289" s="43"/>
      <c r="BD289" s="43"/>
      <c r="BE289" s="43"/>
      <c r="BF289" s="43"/>
      <c r="BG289" s="43"/>
      <c r="BH289" s="43"/>
      <c r="BI289" s="43"/>
      <c r="BJ289" s="43"/>
      <c r="BK289" s="43"/>
      <c r="BL289" s="43"/>
      <c r="BM289" s="43"/>
      <c r="BN289" s="43"/>
      <c r="BO289" s="43"/>
      <c r="BP289" s="43"/>
      <c r="BQ289" s="43"/>
      <c r="BR289" s="43"/>
      <c r="BS289" s="43"/>
      <c r="BT289" s="43"/>
      <c r="BU289" s="43"/>
      <c r="BV289" s="43"/>
      <c r="BW289" s="43"/>
      <c r="BX289" s="43"/>
      <c r="BY289" s="43"/>
      <c r="BZ289" s="43"/>
      <c r="CA289" s="78"/>
      <c r="CB289" s="74"/>
      <c r="CC289" s="43"/>
      <c r="CD289" s="43"/>
      <c r="CE289" s="43"/>
      <c r="CF289" s="43"/>
      <c r="CG289" s="43"/>
      <c r="CH289" s="43"/>
      <c r="CI289" s="43"/>
      <c r="CJ289" s="43"/>
      <c r="CK289" s="43"/>
      <c r="CL289" s="43"/>
      <c r="CM289" s="43"/>
      <c r="CN289" s="43"/>
      <c r="CO289" s="43"/>
      <c r="CP289" s="43"/>
      <c r="CQ289" s="43"/>
      <c r="CR289" s="43"/>
      <c r="CS289" s="43"/>
      <c r="CT289" s="43"/>
      <c r="CU289" s="43"/>
      <c r="CV289" s="43"/>
      <c r="CW289" s="43"/>
      <c r="CX289" s="43"/>
      <c r="CY289" s="43"/>
      <c r="CZ289" s="43"/>
      <c r="DA289" s="43"/>
      <c r="DB289" s="43"/>
      <c r="DC289" s="43"/>
      <c r="DD289" s="43"/>
      <c r="DE289" s="43"/>
      <c r="DF289" s="43"/>
      <c r="DG289" s="43"/>
      <c r="DH289" s="43"/>
      <c r="DI289" s="43"/>
      <c r="DJ289" s="43"/>
      <c r="DK289" s="43"/>
      <c r="DL289" s="43"/>
      <c r="DM289" s="43"/>
      <c r="DN289" s="43"/>
      <c r="DO289" s="43"/>
      <c r="DP289" s="43"/>
      <c r="DQ289" s="43"/>
      <c r="DR289" s="43"/>
      <c r="DS289" s="43"/>
      <c r="DT289" s="43"/>
      <c r="DU289" s="43"/>
      <c r="DV289" s="43"/>
      <c r="DW289" s="43"/>
      <c r="DX289" s="43"/>
      <c r="DY289" s="43"/>
      <c r="DZ289" s="43"/>
    </row>
    <row r="290" spans="2:130" s="46" customFormat="1" x14ac:dyDescent="0.15">
      <c r="B290" s="75" t="str">
        <f>IF(G290&lt;&gt;"",SUBTOTAL(3,$G$5:G290),"")</f>
        <v/>
      </c>
      <c r="C290" s="75"/>
      <c r="D290" s="75"/>
      <c r="E290" s="76"/>
      <c r="F290" s="76"/>
      <c r="G290" s="76"/>
      <c r="H290" s="61"/>
      <c r="I290" s="70">
        <v>1</v>
      </c>
      <c r="J290" s="96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  <c r="AK290" s="43"/>
      <c r="AL290" s="43"/>
      <c r="AM290" s="43"/>
      <c r="AN290" s="43"/>
      <c r="AO290" s="43"/>
      <c r="AP290" s="43"/>
      <c r="AQ290" s="43"/>
      <c r="AR290" s="78"/>
      <c r="AS290" s="96" t="s">
        <v>331</v>
      </c>
      <c r="AT290" s="43"/>
      <c r="AU290" s="43"/>
      <c r="AV290" s="43"/>
      <c r="AW290" s="43"/>
      <c r="AX290" s="43"/>
      <c r="AY290" s="43"/>
      <c r="AZ290" s="43"/>
      <c r="BA290" s="43"/>
      <c r="BB290" s="43"/>
      <c r="BC290" s="43"/>
      <c r="BD290" s="43"/>
      <c r="BE290" s="43"/>
      <c r="BF290" s="43"/>
      <c r="BG290" s="43"/>
      <c r="BH290" s="43"/>
      <c r="BI290" s="43"/>
      <c r="BJ290" s="43"/>
      <c r="BK290" s="43"/>
      <c r="BL290" s="43"/>
      <c r="BM290" s="43"/>
      <c r="BN290" s="43"/>
      <c r="BO290" s="43"/>
      <c r="BP290" s="43"/>
      <c r="BQ290" s="43"/>
      <c r="BR290" s="43"/>
      <c r="BS290" s="43"/>
      <c r="BT290" s="43"/>
      <c r="BU290" s="43"/>
      <c r="BV290" s="43"/>
      <c r="BW290" s="43"/>
      <c r="BX290" s="43"/>
      <c r="BY290" s="43"/>
      <c r="BZ290" s="43"/>
      <c r="CA290" s="78"/>
      <c r="CB290" s="74"/>
      <c r="CC290" s="43"/>
      <c r="CD290" s="43"/>
      <c r="CE290" s="43"/>
      <c r="CF290" s="43"/>
      <c r="CG290" s="43"/>
      <c r="CH290" s="43"/>
      <c r="CI290" s="43"/>
      <c r="CJ290" s="43"/>
      <c r="CK290" s="43"/>
      <c r="CL290" s="43"/>
      <c r="CM290" s="43"/>
      <c r="CN290" s="43"/>
      <c r="CO290" s="43"/>
      <c r="CP290" s="43"/>
      <c r="CQ290" s="43"/>
      <c r="CR290" s="43"/>
      <c r="CS290" s="43"/>
      <c r="CT290" s="43"/>
      <c r="CU290" s="43"/>
      <c r="CV290" s="43"/>
      <c r="CW290" s="43"/>
      <c r="CX290" s="43"/>
      <c r="CY290" s="43"/>
      <c r="CZ290" s="43"/>
      <c r="DA290" s="43"/>
      <c r="DB290" s="43"/>
      <c r="DC290" s="43"/>
      <c r="DD290" s="43"/>
      <c r="DE290" s="43"/>
      <c r="DF290" s="43"/>
      <c r="DG290" s="43"/>
      <c r="DH290" s="43"/>
      <c r="DI290" s="43"/>
      <c r="DJ290" s="43"/>
      <c r="DK290" s="43"/>
      <c r="DL290" s="43"/>
      <c r="DM290" s="43"/>
      <c r="DN290" s="43"/>
      <c r="DO290" s="43"/>
      <c r="DP290" s="43"/>
      <c r="DQ290" s="43"/>
      <c r="DR290" s="43"/>
      <c r="DS290" s="43"/>
      <c r="DT290" s="43"/>
      <c r="DU290" s="43"/>
      <c r="DV290" s="43"/>
      <c r="DW290" s="43"/>
      <c r="DX290" s="43"/>
      <c r="DY290" s="43"/>
      <c r="DZ290" s="43"/>
    </row>
    <row r="291" spans="2:130" s="46" customFormat="1" x14ac:dyDescent="0.15">
      <c r="B291" s="75" t="str">
        <f>IF(G291&lt;&gt;"",SUBTOTAL(3,$G$5:G291),"")</f>
        <v/>
      </c>
      <c r="C291" s="75"/>
      <c r="D291" s="75"/>
      <c r="E291" s="76"/>
      <c r="F291" s="76"/>
      <c r="G291" s="76"/>
      <c r="H291" s="61"/>
      <c r="I291" s="70">
        <v>1</v>
      </c>
      <c r="J291" s="96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78"/>
      <c r="AS291" s="96" t="s">
        <v>332</v>
      </c>
      <c r="AT291" s="43"/>
      <c r="AU291" s="43"/>
      <c r="AV291" s="43"/>
      <c r="AW291" s="43"/>
      <c r="AX291" s="43"/>
      <c r="AY291" s="43"/>
      <c r="AZ291" s="43"/>
      <c r="BA291" s="43"/>
      <c r="BB291" s="43"/>
      <c r="BC291" s="43"/>
      <c r="BD291" s="43"/>
      <c r="BE291" s="43"/>
      <c r="BF291" s="43"/>
      <c r="BG291" s="43"/>
      <c r="BH291" s="43"/>
      <c r="BI291" s="43"/>
      <c r="BJ291" s="43"/>
      <c r="BK291" s="43"/>
      <c r="BL291" s="43"/>
      <c r="BM291" s="43"/>
      <c r="BN291" s="43"/>
      <c r="BO291" s="43"/>
      <c r="BP291" s="43"/>
      <c r="BQ291" s="43"/>
      <c r="BR291" s="43"/>
      <c r="BS291" s="43"/>
      <c r="BT291" s="43"/>
      <c r="BU291" s="43"/>
      <c r="BV291" s="43"/>
      <c r="BW291" s="43"/>
      <c r="BX291" s="43"/>
      <c r="BY291" s="43"/>
      <c r="BZ291" s="43"/>
      <c r="CA291" s="78"/>
      <c r="CB291" s="74"/>
      <c r="CC291" s="43"/>
      <c r="CD291" s="43"/>
      <c r="CE291" s="43"/>
      <c r="CF291" s="43"/>
      <c r="CG291" s="43"/>
      <c r="CH291" s="43"/>
      <c r="CI291" s="43"/>
      <c r="CJ291" s="43"/>
      <c r="CK291" s="43"/>
      <c r="CL291" s="43"/>
      <c r="CM291" s="43"/>
      <c r="CN291" s="43"/>
      <c r="CO291" s="43"/>
      <c r="CP291" s="43"/>
      <c r="CQ291" s="43"/>
      <c r="CR291" s="43"/>
      <c r="CS291" s="43"/>
      <c r="CT291" s="43"/>
      <c r="CU291" s="43"/>
      <c r="CV291" s="43"/>
      <c r="CW291" s="43"/>
      <c r="CX291" s="43"/>
      <c r="CY291" s="43"/>
      <c r="CZ291" s="43"/>
      <c r="DA291" s="43"/>
      <c r="DB291" s="43"/>
      <c r="DC291" s="43"/>
      <c r="DD291" s="43"/>
      <c r="DE291" s="43"/>
      <c r="DF291" s="43"/>
      <c r="DG291" s="43"/>
      <c r="DH291" s="43"/>
      <c r="DI291" s="43"/>
      <c r="DJ291" s="43"/>
      <c r="DK291" s="43"/>
      <c r="DL291" s="43"/>
      <c r="DM291" s="43"/>
      <c r="DN291" s="43"/>
      <c r="DO291" s="43"/>
      <c r="DP291" s="43"/>
      <c r="DQ291" s="43"/>
      <c r="DR291" s="43"/>
      <c r="DS291" s="43"/>
      <c r="DT291" s="43"/>
      <c r="DU291" s="43"/>
      <c r="DV291" s="43"/>
      <c r="DW291" s="43"/>
      <c r="DX291" s="43"/>
      <c r="DY291" s="43"/>
      <c r="DZ291" s="43"/>
    </row>
    <row r="292" spans="2:130" s="46" customFormat="1" x14ac:dyDescent="0.15">
      <c r="B292" s="75" t="str">
        <f>IF(G292&lt;&gt;"",SUBTOTAL(3,$G$5:G292),"")</f>
        <v/>
      </c>
      <c r="C292" s="75"/>
      <c r="D292" s="75"/>
      <c r="E292" s="76"/>
      <c r="F292" s="76"/>
      <c r="G292" s="76"/>
      <c r="H292" s="61"/>
      <c r="I292" s="70">
        <v>1</v>
      </c>
      <c r="J292" s="95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78"/>
      <c r="AS292" s="95" t="s">
        <v>337</v>
      </c>
      <c r="AT292" s="43" t="s">
        <v>339</v>
      </c>
      <c r="AU292" s="43"/>
      <c r="AV292" s="43"/>
      <c r="AW292" s="43"/>
      <c r="AX292" s="43"/>
      <c r="AY292" s="43"/>
      <c r="AZ292" s="43"/>
      <c r="BA292" s="43"/>
      <c r="BB292" s="43"/>
      <c r="BC292" s="43"/>
      <c r="BD292" s="43"/>
      <c r="BE292" s="43"/>
      <c r="BF292" s="43"/>
      <c r="BG292" s="43"/>
      <c r="BH292" s="43"/>
      <c r="BI292" s="43"/>
      <c r="BJ292" s="43"/>
      <c r="BK292" s="43"/>
      <c r="BL292" s="43"/>
      <c r="BM292" s="43"/>
      <c r="BN292" s="43"/>
      <c r="BO292" s="43"/>
      <c r="BP292" s="43"/>
      <c r="BQ292" s="43"/>
      <c r="BR292" s="43"/>
      <c r="BS292" s="43"/>
      <c r="BT292" s="43"/>
      <c r="BU292" s="43"/>
      <c r="BV292" s="43"/>
      <c r="BW292" s="43"/>
      <c r="BX292" s="43"/>
      <c r="BY292" s="43"/>
      <c r="BZ292" s="43"/>
      <c r="CA292" s="78"/>
      <c r="CB292" s="74"/>
      <c r="CC292" s="43"/>
      <c r="CD292" s="43"/>
      <c r="CE292" s="43"/>
      <c r="CF292" s="43"/>
      <c r="CG292" s="43"/>
      <c r="CH292" s="43"/>
      <c r="CI292" s="43"/>
      <c r="CJ292" s="43"/>
      <c r="CK292" s="43"/>
      <c r="CL292" s="43"/>
      <c r="CM292" s="43"/>
      <c r="CN292" s="43"/>
      <c r="CO292" s="43"/>
      <c r="CP292" s="43"/>
      <c r="CQ292" s="43"/>
      <c r="CR292" s="43"/>
      <c r="CS292" s="43"/>
      <c r="CT292" s="43"/>
      <c r="CU292" s="43"/>
      <c r="CV292" s="43"/>
      <c r="CW292" s="43"/>
      <c r="CX292" s="43"/>
      <c r="CY292" s="43"/>
      <c r="CZ292" s="43"/>
      <c r="DA292" s="43"/>
      <c r="DB292" s="43"/>
      <c r="DC292" s="43"/>
      <c r="DD292" s="43"/>
      <c r="DE292" s="43"/>
      <c r="DF292" s="43"/>
      <c r="DG292" s="43"/>
      <c r="DH292" s="43"/>
      <c r="DI292" s="43"/>
      <c r="DJ292" s="43"/>
      <c r="DK292" s="43"/>
      <c r="DL292" s="43"/>
      <c r="DM292" s="43"/>
      <c r="DN292" s="43"/>
      <c r="DO292" s="43"/>
      <c r="DP292" s="43"/>
      <c r="DQ292" s="43"/>
      <c r="DR292" s="43"/>
      <c r="DS292" s="43"/>
      <c r="DT292" s="43"/>
      <c r="DU292" s="43"/>
      <c r="DV292" s="43"/>
      <c r="DW292" s="43"/>
      <c r="DX292" s="43"/>
      <c r="DY292" s="43"/>
      <c r="DZ292" s="43"/>
    </row>
    <row r="293" spans="2:130" s="46" customFormat="1" x14ac:dyDescent="0.15">
      <c r="B293" s="75" t="str">
        <f>IF(G293&lt;&gt;"",SUBTOTAL(3,$G$5:G293),"")</f>
        <v/>
      </c>
      <c r="C293" s="75"/>
      <c r="D293" s="75"/>
      <c r="E293" s="76"/>
      <c r="F293" s="76"/>
      <c r="G293" s="76"/>
      <c r="H293" s="61"/>
      <c r="I293" s="70">
        <v>1</v>
      </c>
      <c r="J293" s="77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R293" s="78"/>
      <c r="AS293" s="77" t="s">
        <v>343</v>
      </c>
      <c r="AT293" s="43"/>
      <c r="AU293" s="43"/>
      <c r="AV293" s="43"/>
      <c r="AW293" s="43"/>
      <c r="AX293" s="43"/>
      <c r="AY293" s="43"/>
      <c r="AZ293" s="43"/>
      <c r="BA293" s="43"/>
      <c r="BB293" s="43"/>
      <c r="BC293" s="43"/>
      <c r="BD293" s="43"/>
      <c r="BE293" s="43"/>
      <c r="BF293" s="43"/>
      <c r="BG293" s="43"/>
      <c r="BH293" s="43"/>
      <c r="BI293" s="43"/>
      <c r="BJ293" s="43"/>
      <c r="BK293" s="43"/>
      <c r="BL293" s="43"/>
      <c r="BM293" s="43"/>
      <c r="BN293" s="43"/>
      <c r="BO293" s="43"/>
      <c r="BP293" s="43"/>
      <c r="BQ293" s="43"/>
      <c r="BR293" s="43"/>
      <c r="BS293" s="43"/>
      <c r="BT293" s="43"/>
      <c r="BU293" s="43"/>
      <c r="BV293" s="43"/>
      <c r="BW293" s="43"/>
      <c r="BX293" s="43"/>
      <c r="BY293" s="43"/>
      <c r="BZ293" s="43"/>
      <c r="CA293" s="78"/>
      <c r="CB293" s="74"/>
      <c r="CC293" s="43"/>
      <c r="CD293" s="43"/>
      <c r="CE293" s="43"/>
      <c r="CF293" s="43"/>
      <c r="CG293" s="43"/>
      <c r="CH293" s="43"/>
      <c r="CI293" s="43"/>
      <c r="CJ293" s="43"/>
      <c r="CK293" s="43"/>
      <c r="CL293" s="43"/>
      <c r="CM293" s="43"/>
      <c r="CN293" s="43"/>
      <c r="CO293" s="43"/>
      <c r="CP293" s="43"/>
      <c r="CQ293" s="43"/>
      <c r="CR293" s="43"/>
      <c r="CS293" s="43"/>
      <c r="CT293" s="43"/>
      <c r="CU293" s="43"/>
      <c r="CV293" s="43"/>
      <c r="CW293" s="43"/>
      <c r="CX293" s="43"/>
      <c r="CY293" s="43"/>
      <c r="CZ293" s="43"/>
      <c r="DA293" s="43"/>
      <c r="DB293" s="43"/>
      <c r="DC293" s="43"/>
      <c r="DD293" s="43"/>
      <c r="DE293" s="43"/>
      <c r="DF293" s="43"/>
      <c r="DG293" s="43"/>
      <c r="DH293" s="43"/>
      <c r="DI293" s="43"/>
      <c r="DJ293" s="43"/>
      <c r="DK293" s="43"/>
      <c r="DL293" s="43"/>
      <c r="DM293" s="43"/>
      <c r="DN293" s="43"/>
      <c r="DO293" s="43"/>
      <c r="DP293" s="43"/>
      <c r="DQ293" s="43"/>
      <c r="DR293" s="43"/>
      <c r="DS293" s="43"/>
      <c r="DT293" s="43"/>
      <c r="DU293" s="43"/>
      <c r="DV293" s="43"/>
      <c r="DW293" s="43"/>
      <c r="DX293" s="43"/>
      <c r="DY293" s="43"/>
      <c r="DZ293" s="43"/>
    </row>
    <row r="294" spans="2:130" s="46" customFormat="1" x14ac:dyDescent="0.15">
      <c r="B294" s="75" t="str">
        <f>IF(G294&lt;&gt;"",SUBTOTAL(3,$G$5:G294),"")</f>
        <v/>
      </c>
      <c r="C294" s="75"/>
      <c r="D294" s="75"/>
      <c r="E294" s="76"/>
      <c r="F294" s="76"/>
      <c r="G294" s="76"/>
      <c r="H294" s="61"/>
      <c r="I294" s="70">
        <v>1</v>
      </c>
      <c r="J294" s="77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78"/>
      <c r="AS294" s="77" t="s">
        <v>344</v>
      </c>
      <c r="AT294" s="43"/>
      <c r="AU294" s="43"/>
      <c r="AV294" s="43"/>
      <c r="AW294" s="43"/>
      <c r="AX294" s="43"/>
      <c r="AY294" s="43"/>
      <c r="AZ294" s="43"/>
      <c r="BA294" s="43"/>
      <c r="BB294" s="43"/>
      <c r="BC294" s="43"/>
      <c r="BD294" s="43"/>
      <c r="BE294" s="43"/>
      <c r="BF294" s="43"/>
      <c r="BG294" s="43"/>
      <c r="BH294" s="43"/>
      <c r="BI294" s="43"/>
      <c r="BJ294" s="43"/>
      <c r="BK294" s="43"/>
      <c r="BL294" s="43"/>
      <c r="BM294" s="43"/>
      <c r="BN294" s="43"/>
      <c r="BO294" s="43"/>
      <c r="BP294" s="43"/>
      <c r="BQ294" s="43"/>
      <c r="BR294" s="43"/>
      <c r="BS294" s="43"/>
      <c r="BT294" s="43"/>
      <c r="BU294" s="43"/>
      <c r="BV294" s="43"/>
      <c r="BW294" s="43"/>
      <c r="BX294" s="43"/>
      <c r="BY294" s="43"/>
      <c r="BZ294" s="43"/>
      <c r="CA294" s="78"/>
      <c r="CB294" s="74"/>
      <c r="CC294" s="43"/>
      <c r="CD294" s="43"/>
      <c r="CE294" s="43"/>
      <c r="CF294" s="43"/>
      <c r="CG294" s="43"/>
      <c r="CH294" s="43"/>
      <c r="CI294" s="43"/>
      <c r="CJ294" s="43"/>
      <c r="CK294" s="43"/>
      <c r="CL294" s="43"/>
      <c r="CM294" s="43"/>
      <c r="CN294" s="43"/>
      <c r="CO294" s="43"/>
      <c r="CP294" s="43"/>
      <c r="CQ294" s="43"/>
      <c r="CR294" s="43"/>
      <c r="CS294" s="43"/>
      <c r="CT294" s="43"/>
      <c r="CU294" s="43"/>
      <c r="CV294" s="43"/>
      <c r="CW294" s="43"/>
      <c r="CX294" s="43"/>
      <c r="CY294" s="43"/>
      <c r="CZ294" s="43"/>
      <c r="DA294" s="43"/>
      <c r="DB294" s="43"/>
      <c r="DC294" s="43"/>
      <c r="DD294" s="43"/>
      <c r="DE294" s="43"/>
      <c r="DF294" s="43"/>
      <c r="DG294" s="43"/>
      <c r="DH294" s="43"/>
      <c r="DI294" s="43"/>
      <c r="DJ294" s="43"/>
      <c r="DK294" s="43"/>
      <c r="DL294" s="43"/>
      <c r="DM294" s="43"/>
      <c r="DN294" s="43"/>
      <c r="DO294" s="43"/>
      <c r="DP294" s="43"/>
      <c r="DQ294" s="43"/>
      <c r="DR294" s="43"/>
      <c r="DS294" s="43"/>
      <c r="DT294" s="43"/>
      <c r="DU294" s="43"/>
      <c r="DV294" s="43"/>
      <c r="DW294" s="43"/>
      <c r="DX294" s="43"/>
      <c r="DY294" s="43"/>
      <c r="DZ294" s="43"/>
    </row>
    <row r="295" spans="2:130" s="46" customFormat="1" x14ac:dyDescent="0.15">
      <c r="B295" s="75" t="str">
        <f>IF(G295&lt;&gt;"",SUBTOTAL(3,$G$5:G295),"")</f>
        <v/>
      </c>
      <c r="C295" s="75"/>
      <c r="D295" s="75"/>
      <c r="E295" s="76"/>
      <c r="F295" s="76"/>
      <c r="G295" s="76"/>
      <c r="H295" s="61"/>
      <c r="I295" s="70">
        <v>1</v>
      </c>
      <c r="J295" s="96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R295" s="78"/>
      <c r="AS295" s="96" t="s">
        <v>327</v>
      </c>
      <c r="AT295" s="43"/>
      <c r="AU295" s="43"/>
      <c r="AV295" s="43"/>
      <c r="AW295" s="43"/>
      <c r="AX295" s="43"/>
      <c r="AY295" s="43"/>
      <c r="AZ295" s="43"/>
      <c r="BA295" s="43"/>
      <c r="BB295" s="43"/>
      <c r="BC295" s="43"/>
      <c r="BD295" s="43"/>
      <c r="BE295" s="43"/>
      <c r="BF295" s="43"/>
      <c r="BG295" s="43"/>
      <c r="BH295" s="43"/>
      <c r="BI295" s="43"/>
      <c r="BJ295" s="43"/>
      <c r="BK295" s="43"/>
      <c r="BL295" s="43"/>
      <c r="BM295" s="43"/>
      <c r="BN295" s="43"/>
      <c r="BO295" s="43"/>
      <c r="BP295" s="43"/>
      <c r="BQ295" s="43"/>
      <c r="BR295" s="43"/>
      <c r="BS295" s="43"/>
      <c r="BT295" s="43"/>
      <c r="BU295" s="43"/>
      <c r="BV295" s="43"/>
      <c r="BW295" s="43"/>
      <c r="BX295" s="43"/>
      <c r="BY295" s="43"/>
      <c r="BZ295" s="43"/>
      <c r="CA295" s="78"/>
      <c r="CB295" s="74"/>
      <c r="CC295" s="43"/>
      <c r="CD295" s="43"/>
      <c r="CE295" s="43"/>
      <c r="CF295" s="43"/>
      <c r="CG295" s="43"/>
      <c r="CH295" s="43"/>
      <c r="CI295" s="43"/>
      <c r="CJ295" s="43"/>
      <c r="CK295" s="43"/>
      <c r="CL295" s="43"/>
      <c r="CM295" s="43"/>
      <c r="CN295" s="43"/>
      <c r="CO295" s="43"/>
      <c r="CP295" s="43"/>
      <c r="CQ295" s="43"/>
      <c r="CR295" s="43"/>
      <c r="CS295" s="43"/>
      <c r="CT295" s="43"/>
      <c r="CU295" s="43"/>
      <c r="CV295" s="43"/>
      <c r="CW295" s="43"/>
      <c r="CX295" s="43"/>
      <c r="CY295" s="43"/>
      <c r="CZ295" s="43"/>
      <c r="DA295" s="43"/>
      <c r="DB295" s="43"/>
      <c r="DC295" s="43"/>
      <c r="DD295" s="43"/>
      <c r="DE295" s="43"/>
      <c r="DF295" s="43"/>
      <c r="DG295" s="43"/>
      <c r="DH295" s="43"/>
      <c r="DI295" s="43"/>
      <c r="DJ295" s="43"/>
      <c r="DK295" s="43"/>
      <c r="DL295" s="43"/>
      <c r="DM295" s="43"/>
      <c r="DN295" s="43"/>
      <c r="DO295" s="43"/>
      <c r="DP295" s="43"/>
      <c r="DQ295" s="43"/>
      <c r="DR295" s="43"/>
      <c r="DS295" s="43"/>
      <c r="DT295" s="43"/>
      <c r="DU295" s="43"/>
      <c r="DV295" s="43"/>
      <c r="DW295" s="43"/>
      <c r="DX295" s="43"/>
      <c r="DY295" s="43"/>
      <c r="DZ295" s="43"/>
    </row>
    <row r="296" spans="2:130" s="46" customFormat="1" x14ac:dyDescent="0.15">
      <c r="B296" s="75" t="str">
        <f>IF(G296&lt;&gt;"",SUBTOTAL(3,$G$5:G296),"")</f>
        <v/>
      </c>
      <c r="C296" s="75"/>
      <c r="D296" s="75"/>
      <c r="E296" s="76"/>
      <c r="F296" s="76"/>
      <c r="G296" s="76"/>
      <c r="H296" s="61"/>
      <c r="I296" s="70">
        <v>1</v>
      </c>
      <c r="J296" s="96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R296" s="78"/>
      <c r="AS296" s="96" t="s">
        <v>328</v>
      </c>
      <c r="AT296" s="43"/>
      <c r="AU296" s="43"/>
      <c r="AV296" s="43"/>
      <c r="AW296" s="43"/>
      <c r="AX296" s="43"/>
      <c r="AY296" s="43"/>
      <c r="AZ296" s="43"/>
      <c r="BA296" s="43"/>
      <c r="BB296" s="43"/>
      <c r="BC296" s="43"/>
      <c r="BD296" s="43"/>
      <c r="BE296" s="43"/>
      <c r="BF296" s="43"/>
      <c r="BG296" s="43"/>
      <c r="BH296" s="43"/>
      <c r="BI296" s="43"/>
      <c r="BJ296" s="43"/>
      <c r="BK296" s="43"/>
      <c r="BL296" s="43"/>
      <c r="BM296" s="43"/>
      <c r="BN296" s="43"/>
      <c r="BO296" s="43"/>
      <c r="BP296" s="43"/>
      <c r="BQ296" s="43"/>
      <c r="BR296" s="43"/>
      <c r="BS296" s="43"/>
      <c r="BT296" s="43"/>
      <c r="BU296" s="43"/>
      <c r="BV296" s="43"/>
      <c r="BW296" s="43"/>
      <c r="BX296" s="43"/>
      <c r="BY296" s="43"/>
      <c r="BZ296" s="43"/>
      <c r="CA296" s="78"/>
      <c r="CB296" s="74"/>
      <c r="CC296" s="43"/>
      <c r="CD296" s="43"/>
      <c r="CE296" s="43"/>
      <c r="CF296" s="43"/>
      <c r="CG296" s="43"/>
      <c r="CH296" s="43"/>
      <c r="CI296" s="43"/>
      <c r="CJ296" s="43"/>
      <c r="CK296" s="43"/>
      <c r="CL296" s="43"/>
      <c r="CM296" s="43"/>
      <c r="CN296" s="43"/>
      <c r="CO296" s="43"/>
      <c r="CP296" s="43"/>
      <c r="CQ296" s="43"/>
      <c r="CR296" s="43"/>
      <c r="CS296" s="43"/>
      <c r="CT296" s="43"/>
      <c r="CU296" s="43"/>
      <c r="CV296" s="43"/>
      <c r="CW296" s="43"/>
      <c r="CX296" s="43"/>
      <c r="CY296" s="43"/>
      <c r="CZ296" s="43"/>
      <c r="DA296" s="43"/>
      <c r="DB296" s="43"/>
      <c r="DC296" s="43"/>
      <c r="DD296" s="43"/>
      <c r="DE296" s="43"/>
      <c r="DF296" s="43"/>
      <c r="DG296" s="43"/>
      <c r="DH296" s="43"/>
      <c r="DI296" s="43"/>
      <c r="DJ296" s="43"/>
      <c r="DK296" s="43"/>
      <c r="DL296" s="43"/>
      <c r="DM296" s="43"/>
      <c r="DN296" s="43"/>
      <c r="DO296" s="43"/>
      <c r="DP296" s="43"/>
      <c r="DQ296" s="43"/>
      <c r="DR296" s="43"/>
      <c r="DS296" s="43"/>
      <c r="DT296" s="43"/>
      <c r="DU296" s="43"/>
      <c r="DV296" s="43"/>
      <c r="DW296" s="43"/>
      <c r="DX296" s="43"/>
      <c r="DY296" s="43"/>
      <c r="DZ296" s="43"/>
    </row>
    <row r="297" spans="2:130" s="46" customFormat="1" x14ac:dyDescent="0.15">
      <c r="B297" s="75" t="str">
        <f>IF(G297&lt;&gt;"",SUBTOTAL(3,$G$5:G297),"")</f>
        <v/>
      </c>
      <c r="C297" s="75"/>
      <c r="D297" s="75"/>
      <c r="E297" s="76"/>
      <c r="F297" s="76"/>
      <c r="G297" s="76"/>
      <c r="H297" s="61"/>
      <c r="I297" s="70">
        <v>1</v>
      </c>
      <c r="J297" s="96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R297" s="78"/>
      <c r="AS297" s="96" t="s">
        <v>329</v>
      </c>
      <c r="AT297" s="43"/>
      <c r="AU297" s="43"/>
      <c r="AV297" s="43"/>
      <c r="AW297" s="43"/>
      <c r="AX297" s="43"/>
      <c r="AY297" s="43"/>
      <c r="AZ297" s="43"/>
      <c r="BA297" s="43"/>
      <c r="BB297" s="43"/>
      <c r="BC297" s="43"/>
      <c r="BD297" s="43"/>
      <c r="BE297" s="43"/>
      <c r="BF297" s="43"/>
      <c r="BG297" s="43"/>
      <c r="BH297" s="43"/>
      <c r="BI297" s="43"/>
      <c r="BJ297" s="43"/>
      <c r="BK297" s="43"/>
      <c r="BL297" s="43"/>
      <c r="BM297" s="43"/>
      <c r="BN297" s="43"/>
      <c r="BO297" s="43"/>
      <c r="BP297" s="43"/>
      <c r="BQ297" s="43"/>
      <c r="BR297" s="43"/>
      <c r="BS297" s="43"/>
      <c r="BT297" s="43"/>
      <c r="BU297" s="43"/>
      <c r="BV297" s="43"/>
      <c r="BW297" s="43"/>
      <c r="BX297" s="43"/>
      <c r="BY297" s="43"/>
      <c r="BZ297" s="43"/>
      <c r="CA297" s="78"/>
      <c r="CB297" s="74"/>
      <c r="CC297" s="43"/>
      <c r="CD297" s="43"/>
      <c r="CE297" s="43"/>
      <c r="CF297" s="43"/>
      <c r="CG297" s="43"/>
      <c r="CH297" s="43"/>
      <c r="CI297" s="43"/>
      <c r="CJ297" s="43"/>
      <c r="CK297" s="43"/>
      <c r="CL297" s="43"/>
      <c r="CM297" s="43"/>
      <c r="CN297" s="43"/>
      <c r="CO297" s="43"/>
      <c r="CP297" s="43"/>
      <c r="CQ297" s="43"/>
      <c r="CR297" s="43"/>
      <c r="CS297" s="43"/>
      <c r="CT297" s="43"/>
      <c r="CU297" s="43"/>
      <c r="CV297" s="43"/>
      <c r="CW297" s="43"/>
      <c r="CX297" s="43"/>
      <c r="CY297" s="43"/>
      <c r="CZ297" s="43"/>
      <c r="DA297" s="43"/>
      <c r="DB297" s="43"/>
      <c r="DC297" s="43"/>
      <c r="DD297" s="43"/>
      <c r="DE297" s="43"/>
      <c r="DF297" s="43"/>
      <c r="DG297" s="43"/>
      <c r="DH297" s="43"/>
      <c r="DI297" s="43"/>
      <c r="DJ297" s="43"/>
      <c r="DK297" s="43"/>
      <c r="DL297" s="43"/>
      <c r="DM297" s="43"/>
      <c r="DN297" s="43"/>
      <c r="DO297" s="43"/>
      <c r="DP297" s="43"/>
      <c r="DQ297" s="43"/>
      <c r="DR297" s="43"/>
      <c r="DS297" s="43"/>
      <c r="DT297" s="43"/>
      <c r="DU297" s="43"/>
      <c r="DV297" s="43"/>
      <c r="DW297" s="43"/>
      <c r="DX297" s="43"/>
      <c r="DY297" s="43"/>
      <c r="DZ297" s="43"/>
    </row>
    <row r="298" spans="2:130" s="46" customFormat="1" x14ac:dyDescent="0.15">
      <c r="B298" s="75" t="str">
        <f>IF(G298&lt;&gt;"",SUBTOTAL(3,$G$5:G298),"")</f>
        <v/>
      </c>
      <c r="C298" s="75"/>
      <c r="D298" s="75"/>
      <c r="E298" s="76"/>
      <c r="F298" s="76"/>
      <c r="G298" s="76"/>
      <c r="H298" s="61"/>
      <c r="I298" s="70">
        <v>1</v>
      </c>
      <c r="J298" s="96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  <c r="AK298" s="43"/>
      <c r="AL298" s="43"/>
      <c r="AM298" s="43"/>
      <c r="AN298" s="43"/>
      <c r="AO298" s="43"/>
      <c r="AP298" s="43"/>
      <c r="AQ298" s="43"/>
      <c r="AR298" s="78"/>
      <c r="AS298" s="96" t="s">
        <v>330</v>
      </c>
      <c r="AT298" s="43"/>
      <c r="AU298" s="43"/>
      <c r="AV298" s="43"/>
      <c r="AW298" s="43"/>
      <c r="AX298" s="43"/>
      <c r="AY298" s="43"/>
      <c r="AZ298" s="43"/>
      <c r="BA298" s="43"/>
      <c r="BB298" s="43"/>
      <c r="BC298" s="43"/>
      <c r="BD298" s="43"/>
      <c r="BE298" s="43"/>
      <c r="BF298" s="43"/>
      <c r="BG298" s="43"/>
      <c r="BH298" s="43"/>
      <c r="BI298" s="43"/>
      <c r="BJ298" s="43"/>
      <c r="BK298" s="43"/>
      <c r="BL298" s="43"/>
      <c r="BM298" s="43"/>
      <c r="BN298" s="43"/>
      <c r="BO298" s="43"/>
      <c r="BP298" s="43"/>
      <c r="BQ298" s="43"/>
      <c r="BR298" s="43"/>
      <c r="BS298" s="43"/>
      <c r="BT298" s="43"/>
      <c r="BU298" s="43"/>
      <c r="BV298" s="43"/>
      <c r="BW298" s="43"/>
      <c r="BX298" s="43"/>
      <c r="BY298" s="43"/>
      <c r="BZ298" s="43"/>
      <c r="CA298" s="78"/>
      <c r="CB298" s="74"/>
      <c r="CC298" s="43"/>
      <c r="CD298" s="43"/>
      <c r="CE298" s="43"/>
      <c r="CF298" s="43"/>
      <c r="CG298" s="43"/>
      <c r="CH298" s="43"/>
      <c r="CI298" s="43"/>
      <c r="CJ298" s="43"/>
      <c r="CK298" s="43"/>
      <c r="CL298" s="43"/>
      <c r="CM298" s="43"/>
      <c r="CN298" s="43"/>
      <c r="CO298" s="43"/>
      <c r="CP298" s="43"/>
      <c r="CQ298" s="43"/>
      <c r="CR298" s="43"/>
      <c r="CS298" s="43"/>
      <c r="CT298" s="43"/>
      <c r="CU298" s="43"/>
      <c r="CV298" s="43"/>
      <c r="CW298" s="43"/>
      <c r="CX298" s="43"/>
      <c r="CY298" s="43"/>
      <c r="CZ298" s="43"/>
      <c r="DA298" s="43"/>
      <c r="DB298" s="43"/>
      <c r="DC298" s="43"/>
      <c r="DD298" s="43"/>
      <c r="DE298" s="43"/>
      <c r="DF298" s="43"/>
      <c r="DG298" s="43"/>
      <c r="DH298" s="43"/>
      <c r="DI298" s="43"/>
      <c r="DJ298" s="43"/>
      <c r="DK298" s="43"/>
      <c r="DL298" s="43"/>
      <c r="DM298" s="43"/>
      <c r="DN298" s="43"/>
      <c r="DO298" s="43"/>
      <c r="DP298" s="43"/>
      <c r="DQ298" s="43"/>
      <c r="DR298" s="43"/>
      <c r="DS298" s="43"/>
      <c r="DT298" s="43"/>
      <c r="DU298" s="43"/>
      <c r="DV298" s="43"/>
      <c r="DW298" s="43"/>
      <c r="DX298" s="43"/>
      <c r="DY298" s="43"/>
      <c r="DZ298" s="43"/>
    </row>
    <row r="299" spans="2:130" s="46" customFormat="1" x14ac:dyDescent="0.15">
      <c r="B299" s="75" t="str">
        <f>IF(G299&lt;&gt;"",SUBTOTAL(3,$G$5:G299),"")</f>
        <v/>
      </c>
      <c r="C299" s="75"/>
      <c r="D299" s="75"/>
      <c r="E299" s="76"/>
      <c r="F299" s="76"/>
      <c r="G299" s="76"/>
      <c r="H299" s="61"/>
      <c r="I299" s="70">
        <v>1</v>
      </c>
      <c r="J299" s="96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  <c r="AH299" s="43"/>
      <c r="AI299" s="43"/>
      <c r="AJ299" s="43"/>
      <c r="AK299" s="43"/>
      <c r="AL299" s="43"/>
      <c r="AM299" s="43"/>
      <c r="AN299" s="43"/>
      <c r="AO299" s="43"/>
      <c r="AP299" s="43"/>
      <c r="AQ299" s="43"/>
      <c r="AR299" s="78"/>
      <c r="AS299" s="96" t="s">
        <v>345</v>
      </c>
      <c r="AT299" s="43"/>
      <c r="AU299" s="43"/>
      <c r="AV299" s="43"/>
      <c r="AW299" s="43"/>
      <c r="AX299" s="43"/>
      <c r="AY299" s="43"/>
      <c r="AZ299" s="43"/>
      <c r="BA299" s="43"/>
      <c r="BB299" s="43"/>
      <c r="BC299" s="43"/>
      <c r="BD299" s="43"/>
      <c r="BE299" s="43"/>
      <c r="BF299" s="43"/>
      <c r="BG299" s="43"/>
      <c r="BH299" s="43"/>
      <c r="BI299" s="43"/>
      <c r="BJ299" s="43"/>
      <c r="BK299" s="43"/>
      <c r="BL299" s="43"/>
      <c r="BM299" s="43"/>
      <c r="BN299" s="43"/>
      <c r="BO299" s="43"/>
      <c r="BP299" s="43"/>
      <c r="BQ299" s="43"/>
      <c r="BR299" s="43"/>
      <c r="BS299" s="43"/>
      <c r="BT299" s="43"/>
      <c r="BU299" s="43"/>
      <c r="BV299" s="43"/>
      <c r="BW299" s="43"/>
      <c r="BX299" s="43"/>
      <c r="BY299" s="43"/>
      <c r="BZ299" s="43"/>
      <c r="CA299" s="78"/>
      <c r="CB299" s="74"/>
      <c r="CC299" s="43"/>
      <c r="CD299" s="43"/>
      <c r="CE299" s="43"/>
      <c r="CF299" s="43"/>
      <c r="CG299" s="43"/>
      <c r="CH299" s="43"/>
      <c r="CI299" s="43"/>
      <c r="CJ299" s="43"/>
      <c r="CK299" s="43"/>
      <c r="CL299" s="43"/>
      <c r="CM299" s="43"/>
      <c r="CN299" s="43"/>
      <c r="CO299" s="43"/>
      <c r="CP299" s="43"/>
      <c r="CQ299" s="43"/>
      <c r="CR299" s="43"/>
      <c r="CS299" s="43"/>
      <c r="CT299" s="43"/>
      <c r="CU299" s="43"/>
      <c r="CV299" s="43"/>
      <c r="CW299" s="43"/>
      <c r="CX299" s="43"/>
      <c r="CY299" s="43"/>
      <c r="CZ299" s="43"/>
      <c r="DA299" s="43"/>
      <c r="DB299" s="43"/>
      <c r="DC299" s="43"/>
      <c r="DD299" s="43"/>
      <c r="DE299" s="43"/>
      <c r="DF299" s="43"/>
      <c r="DG299" s="43"/>
      <c r="DH299" s="43"/>
      <c r="DI299" s="43"/>
      <c r="DJ299" s="43"/>
      <c r="DK299" s="43"/>
      <c r="DL299" s="43"/>
      <c r="DM299" s="43"/>
      <c r="DN299" s="43"/>
      <c r="DO299" s="43"/>
      <c r="DP299" s="43"/>
      <c r="DQ299" s="43"/>
      <c r="DR299" s="43"/>
      <c r="DS299" s="43"/>
      <c r="DT299" s="43"/>
      <c r="DU299" s="43"/>
      <c r="DV299" s="43"/>
      <c r="DW299" s="43"/>
      <c r="DX299" s="43"/>
      <c r="DY299" s="43"/>
      <c r="DZ299" s="43"/>
    </row>
    <row r="300" spans="2:130" s="46" customFormat="1" x14ac:dyDescent="0.15">
      <c r="B300" s="75" t="str">
        <f>IF(G300&lt;&gt;"",SUBTOTAL(3,$G$5:G300),"")</f>
        <v/>
      </c>
      <c r="C300" s="75"/>
      <c r="D300" s="75"/>
      <c r="E300" s="76"/>
      <c r="F300" s="76"/>
      <c r="G300" s="76"/>
      <c r="H300" s="61"/>
      <c r="I300" s="70">
        <v>1</v>
      </c>
      <c r="J300" s="96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  <c r="AK300" s="43"/>
      <c r="AL300" s="43"/>
      <c r="AM300" s="43"/>
      <c r="AN300" s="43"/>
      <c r="AO300" s="43"/>
      <c r="AP300" s="43"/>
      <c r="AQ300" s="43"/>
      <c r="AR300" s="78"/>
      <c r="AS300" s="96" t="s">
        <v>333</v>
      </c>
      <c r="AT300" s="43"/>
      <c r="AU300" s="43"/>
      <c r="AV300" s="43"/>
      <c r="AW300" s="43"/>
      <c r="AX300" s="43"/>
      <c r="AY300" s="43"/>
      <c r="AZ300" s="43"/>
      <c r="BA300" s="43"/>
      <c r="BB300" s="43"/>
      <c r="BC300" s="43"/>
      <c r="BD300" s="43"/>
      <c r="BE300" s="43"/>
      <c r="BF300" s="43"/>
      <c r="BG300" s="43"/>
      <c r="BH300" s="43"/>
      <c r="BI300" s="43"/>
      <c r="BJ300" s="43"/>
      <c r="BK300" s="43"/>
      <c r="BL300" s="43"/>
      <c r="BM300" s="43"/>
      <c r="BN300" s="43"/>
      <c r="BO300" s="43"/>
      <c r="BP300" s="43"/>
      <c r="BQ300" s="43"/>
      <c r="BR300" s="43"/>
      <c r="BS300" s="43"/>
      <c r="BT300" s="43"/>
      <c r="BU300" s="43"/>
      <c r="BV300" s="43"/>
      <c r="BW300" s="43"/>
      <c r="BX300" s="43"/>
      <c r="BY300" s="43"/>
      <c r="BZ300" s="43"/>
      <c r="CA300" s="78"/>
      <c r="CB300" s="74"/>
      <c r="CC300" s="43"/>
      <c r="CD300" s="43"/>
      <c r="CE300" s="43"/>
      <c r="CF300" s="43"/>
      <c r="CG300" s="43"/>
      <c r="CH300" s="43"/>
      <c r="CI300" s="43"/>
      <c r="CJ300" s="43"/>
      <c r="CK300" s="43"/>
      <c r="CL300" s="43"/>
      <c r="CM300" s="43"/>
      <c r="CN300" s="43"/>
      <c r="CO300" s="43"/>
      <c r="CP300" s="43"/>
      <c r="CQ300" s="43"/>
      <c r="CR300" s="43"/>
      <c r="CS300" s="43"/>
      <c r="CT300" s="43"/>
      <c r="CU300" s="43"/>
      <c r="CV300" s="43"/>
      <c r="CW300" s="43"/>
      <c r="CX300" s="43"/>
      <c r="CY300" s="43"/>
      <c r="CZ300" s="43"/>
      <c r="DA300" s="43"/>
      <c r="DB300" s="43"/>
      <c r="DC300" s="43"/>
      <c r="DD300" s="43"/>
      <c r="DE300" s="43"/>
      <c r="DF300" s="43"/>
      <c r="DG300" s="43"/>
      <c r="DH300" s="43"/>
      <c r="DI300" s="43"/>
      <c r="DJ300" s="43"/>
      <c r="DK300" s="43"/>
      <c r="DL300" s="43"/>
      <c r="DM300" s="43"/>
      <c r="DN300" s="43"/>
      <c r="DO300" s="43"/>
      <c r="DP300" s="43"/>
      <c r="DQ300" s="43"/>
      <c r="DR300" s="43"/>
      <c r="DS300" s="43"/>
      <c r="DT300" s="43"/>
      <c r="DU300" s="43"/>
      <c r="DV300" s="43"/>
      <c r="DW300" s="43"/>
      <c r="DX300" s="43"/>
      <c r="DY300" s="43"/>
      <c r="DZ300" s="43"/>
    </row>
    <row r="301" spans="2:130" s="46" customFormat="1" x14ac:dyDescent="0.15">
      <c r="B301" s="75" t="str">
        <f>IF(G301&lt;&gt;"",SUBTOTAL(3,$G$5:G301),"")</f>
        <v/>
      </c>
      <c r="C301" s="75"/>
      <c r="D301" s="75"/>
      <c r="E301" s="76"/>
      <c r="F301" s="76"/>
      <c r="G301" s="76"/>
      <c r="H301" s="61"/>
      <c r="I301" s="70">
        <v>1</v>
      </c>
      <c r="J301" s="96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  <c r="AQ301" s="43"/>
      <c r="AR301" s="78"/>
      <c r="AS301" s="96" t="s">
        <v>331</v>
      </c>
      <c r="AT301" s="43"/>
      <c r="AU301" s="43"/>
      <c r="AV301" s="43"/>
      <c r="AW301" s="43"/>
      <c r="AX301" s="43"/>
      <c r="AY301" s="43"/>
      <c r="AZ301" s="43"/>
      <c r="BA301" s="43"/>
      <c r="BB301" s="43"/>
      <c r="BC301" s="43"/>
      <c r="BD301" s="43"/>
      <c r="BE301" s="43"/>
      <c r="BF301" s="43"/>
      <c r="BG301" s="43"/>
      <c r="BH301" s="43"/>
      <c r="BI301" s="43"/>
      <c r="BJ301" s="43"/>
      <c r="BK301" s="43"/>
      <c r="BL301" s="43"/>
      <c r="BM301" s="43"/>
      <c r="BN301" s="43"/>
      <c r="BO301" s="43"/>
      <c r="BP301" s="43"/>
      <c r="BQ301" s="43"/>
      <c r="BR301" s="43"/>
      <c r="BS301" s="43"/>
      <c r="BT301" s="43"/>
      <c r="BU301" s="43"/>
      <c r="BV301" s="43"/>
      <c r="BW301" s="43"/>
      <c r="BX301" s="43"/>
      <c r="BY301" s="43"/>
      <c r="BZ301" s="43"/>
      <c r="CA301" s="78"/>
      <c r="CB301" s="74"/>
      <c r="CC301" s="43"/>
      <c r="CD301" s="43"/>
      <c r="CE301" s="43"/>
      <c r="CF301" s="43"/>
      <c r="CG301" s="43"/>
      <c r="CH301" s="43"/>
      <c r="CI301" s="43"/>
      <c r="CJ301" s="43"/>
      <c r="CK301" s="43"/>
      <c r="CL301" s="43"/>
      <c r="CM301" s="43"/>
      <c r="CN301" s="43"/>
      <c r="CO301" s="43"/>
      <c r="CP301" s="43"/>
      <c r="CQ301" s="43"/>
      <c r="CR301" s="43"/>
      <c r="CS301" s="43"/>
      <c r="CT301" s="43"/>
      <c r="CU301" s="43"/>
      <c r="CV301" s="43"/>
      <c r="CW301" s="43"/>
      <c r="CX301" s="43"/>
      <c r="CY301" s="43"/>
      <c r="CZ301" s="43"/>
      <c r="DA301" s="43"/>
      <c r="DB301" s="43"/>
      <c r="DC301" s="43"/>
      <c r="DD301" s="43"/>
      <c r="DE301" s="43"/>
      <c r="DF301" s="43"/>
      <c r="DG301" s="43"/>
      <c r="DH301" s="43"/>
      <c r="DI301" s="43"/>
      <c r="DJ301" s="43"/>
      <c r="DK301" s="43"/>
      <c r="DL301" s="43"/>
      <c r="DM301" s="43"/>
      <c r="DN301" s="43"/>
      <c r="DO301" s="43"/>
      <c r="DP301" s="43"/>
      <c r="DQ301" s="43"/>
      <c r="DR301" s="43"/>
      <c r="DS301" s="43"/>
      <c r="DT301" s="43"/>
      <c r="DU301" s="43"/>
      <c r="DV301" s="43"/>
      <c r="DW301" s="43"/>
      <c r="DX301" s="43"/>
      <c r="DY301" s="43"/>
      <c r="DZ301" s="43"/>
    </row>
    <row r="302" spans="2:130" s="46" customFormat="1" x14ac:dyDescent="0.15">
      <c r="B302" s="75" t="str">
        <f>IF(G302&lt;&gt;"",SUBTOTAL(3,$G$5:G302),"")</f>
        <v/>
      </c>
      <c r="C302" s="75"/>
      <c r="D302" s="75"/>
      <c r="E302" s="76"/>
      <c r="F302" s="76"/>
      <c r="G302" s="76"/>
      <c r="H302" s="61"/>
      <c r="I302" s="70">
        <v>1</v>
      </c>
      <c r="J302" s="96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  <c r="AK302" s="43"/>
      <c r="AL302" s="43"/>
      <c r="AM302" s="43"/>
      <c r="AN302" s="43"/>
      <c r="AO302" s="43"/>
      <c r="AP302" s="43"/>
      <c r="AQ302" s="43"/>
      <c r="AR302" s="78"/>
      <c r="AS302" s="96" t="s">
        <v>332</v>
      </c>
      <c r="AT302" s="43"/>
      <c r="AU302" s="43"/>
      <c r="AV302" s="43"/>
      <c r="AW302" s="43"/>
      <c r="AX302" s="43"/>
      <c r="AY302" s="43"/>
      <c r="AZ302" s="43"/>
      <c r="BA302" s="43"/>
      <c r="BB302" s="43"/>
      <c r="BC302" s="43"/>
      <c r="BD302" s="43"/>
      <c r="BE302" s="43"/>
      <c r="BF302" s="43"/>
      <c r="BG302" s="43"/>
      <c r="BH302" s="43"/>
      <c r="BI302" s="43"/>
      <c r="BJ302" s="43"/>
      <c r="BK302" s="43"/>
      <c r="BL302" s="43"/>
      <c r="BM302" s="43"/>
      <c r="BN302" s="43"/>
      <c r="BO302" s="43"/>
      <c r="BP302" s="43"/>
      <c r="BQ302" s="43"/>
      <c r="BR302" s="43"/>
      <c r="BS302" s="43"/>
      <c r="BT302" s="43"/>
      <c r="BU302" s="43"/>
      <c r="BV302" s="43"/>
      <c r="BW302" s="43"/>
      <c r="BX302" s="43"/>
      <c r="BY302" s="43"/>
      <c r="BZ302" s="43"/>
      <c r="CA302" s="78"/>
      <c r="CB302" s="74"/>
      <c r="CC302" s="43"/>
      <c r="CD302" s="43"/>
      <c r="CE302" s="43"/>
      <c r="CF302" s="43"/>
      <c r="CG302" s="43"/>
      <c r="CH302" s="43"/>
      <c r="CI302" s="43"/>
      <c r="CJ302" s="43"/>
      <c r="CK302" s="43"/>
      <c r="CL302" s="43"/>
      <c r="CM302" s="43"/>
      <c r="CN302" s="43"/>
      <c r="CO302" s="43"/>
      <c r="CP302" s="43"/>
      <c r="CQ302" s="43"/>
      <c r="CR302" s="43"/>
      <c r="CS302" s="43"/>
      <c r="CT302" s="43"/>
      <c r="CU302" s="43"/>
      <c r="CV302" s="43"/>
      <c r="CW302" s="43"/>
      <c r="CX302" s="43"/>
      <c r="CY302" s="43"/>
      <c r="CZ302" s="43"/>
      <c r="DA302" s="43"/>
      <c r="DB302" s="43"/>
      <c r="DC302" s="43"/>
      <c r="DD302" s="43"/>
      <c r="DE302" s="43"/>
      <c r="DF302" s="43"/>
      <c r="DG302" s="43"/>
      <c r="DH302" s="43"/>
      <c r="DI302" s="43"/>
      <c r="DJ302" s="43"/>
      <c r="DK302" s="43"/>
      <c r="DL302" s="43"/>
      <c r="DM302" s="43"/>
      <c r="DN302" s="43"/>
      <c r="DO302" s="43"/>
      <c r="DP302" s="43"/>
      <c r="DQ302" s="43"/>
      <c r="DR302" s="43"/>
      <c r="DS302" s="43"/>
      <c r="DT302" s="43"/>
      <c r="DU302" s="43"/>
      <c r="DV302" s="43"/>
      <c r="DW302" s="43"/>
      <c r="DX302" s="43"/>
      <c r="DY302" s="43"/>
      <c r="DZ302" s="43"/>
    </row>
    <row r="303" spans="2:130" s="46" customFormat="1" x14ac:dyDescent="0.15">
      <c r="B303" s="75" t="str">
        <f>IF(G303&lt;&gt;"",SUBTOTAL(3,$G$5:G303),"")</f>
        <v/>
      </c>
      <c r="C303" s="75"/>
      <c r="D303" s="75"/>
      <c r="E303" s="76"/>
      <c r="F303" s="76"/>
      <c r="G303" s="76"/>
      <c r="H303" s="61"/>
      <c r="I303" s="70">
        <v>1</v>
      </c>
      <c r="J303" s="95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  <c r="AH303" s="43"/>
      <c r="AI303" s="43"/>
      <c r="AJ303" s="43"/>
      <c r="AK303" s="43"/>
      <c r="AL303" s="43"/>
      <c r="AM303" s="43"/>
      <c r="AN303" s="43"/>
      <c r="AO303" s="43"/>
      <c r="AP303" s="43"/>
      <c r="AQ303" s="43"/>
      <c r="AR303" s="78"/>
      <c r="AS303" s="95" t="s">
        <v>340</v>
      </c>
      <c r="AT303" s="43" t="s">
        <v>341</v>
      </c>
      <c r="AU303" s="43"/>
      <c r="AV303" s="43"/>
      <c r="AW303" s="43"/>
      <c r="AX303" s="43"/>
      <c r="AY303" s="43"/>
      <c r="AZ303" s="43"/>
      <c r="BA303" s="43"/>
      <c r="BB303" s="43"/>
      <c r="BC303" s="43"/>
      <c r="BD303" s="43"/>
      <c r="BE303" s="43"/>
      <c r="BF303" s="43"/>
      <c r="BG303" s="43"/>
      <c r="BH303" s="43"/>
      <c r="BI303" s="43"/>
      <c r="BJ303" s="43"/>
      <c r="BK303" s="43"/>
      <c r="BL303" s="43"/>
      <c r="BM303" s="43"/>
      <c r="BN303" s="43"/>
      <c r="BO303" s="43"/>
      <c r="BP303" s="43"/>
      <c r="BQ303" s="43"/>
      <c r="BR303" s="43"/>
      <c r="BS303" s="43"/>
      <c r="BT303" s="43"/>
      <c r="BU303" s="43"/>
      <c r="BV303" s="43"/>
      <c r="BW303" s="43"/>
      <c r="BX303" s="43"/>
      <c r="BY303" s="43"/>
      <c r="BZ303" s="43"/>
      <c r="CA303" s="78"/>
      <c r="CB303" s="74"/>
      <c r="CC303" s="43"/>
      <c r="CD303" s="43"/>
      <c r="CE303" s="43"/>
      <c r="CF303" s="43"/>
      <c r="CG303" s="43"/>
      <c r="CH303" s="43"/>
      <c r="CI303" s="43"/>
      <c r="CJ303" s="43"/>
      <c r="CK303" s="43"/>
      <c r="CL303" s="43"/>
      <c r="CM303" s="43"/>
      <c r="CN303" s="43"/>
      <c r="CO303" s="43"/>
      <c r="CP303" s="43"/>
      <c r="CQ303" s="43"/>
      <c r="CR303" s="43"/>
      <c r="CS303" s="43"/>
      <c r="CT303" s="43"/>
      <c r="CU303" s="43"/>
      <c r="CV303" s="43"/>
      <c r="CW303" s="43"/>
      <c r="CX303" s="43"/>
      <c r="CY303" s="43"/>
      <c r="CZ303" s="43"/>
      <c r="DA303" s="43"/>
      <c r="DB303" s="43"/>
      <c r="DC303" s="43"/>
      <c r="DD303" s="43"/>
      <c r="DE303" s="43"/>
      <c r="DF303" s="43"/>
      <c r="DG303" s="43"/>
      <c r="DH303" s="43"/>
      <c r="DI303" s="43"/>
      <c r="DJ303" s="43"/>
      <c r="DK303" s="43"/>
      <c r="DL303" s="43"/>
      <c r="DM303" s="43"/>
      <c r="DN303" s="43"/>
      <c r="DO303" s="43"/>
      <c r="DP303" s="43"/>
      <c r="DQ303" s="43"/>
      <c r="DR303" s="43"/>
      <c r="DS303" s="43"/>
      <c r="DT303" s="43"/>
      <c r="DU303" s="43"/>
      <c r="DV303" s="43"/>
      <c r="DW303" s="43"/>
      <c r="DX303" s="43"/>
      <c r="DY303" s="43"/>
      <c r="DZ303" s="43"/>
    </row>
    <row r="304" spans="2:130" s="46" customFormat="1" x14ac:dyDescent="0.15">
      <c r="B304" s="75" t="str">
        <f>IF(G304&lt;&gt;"",SUBTOTAL(3,$G$5:G304),"")</f>
        <v/>
      </c>
      <c r="C304" s="75"/>
      <c r="D304" s="75"/>
      <c r="E304" s="76"/>
      <c r="F304" s="76"/>
      <c r="G304" s="76"/>
      <c r="H304" s="61"/>
      <c r="I304" s="70">
        <v>1</v>
      </c>
      <c r="J304" s="77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  <c r="AH304" s="43"/>
      <c r="AI304" s="43"/>
      <c r="AJ304" s="43"/>
      <c r="AK304" s="43"/>
      <c r="AL304" s="43"/>
      <c r="AM304" s="43"/>
      <c r="AN304" s="43"/>
      <c r="AO304" s="43"/>
      <c r="AP304" s="43"/>
      <c r="AQ304" s="43"/>
      <c r="AR304" s="78"/>
      <c r="AS304" s="77" t="s">
        <v>346</v>
      </c>
      <c r="AT304" s="43"/>
      <c r="AU304" s="43"/>
      <c r="AV304" s="43"/>
      <c r="AW304" s="43"/>
      <c r="AX304" s="43"/>
      <c r="AY304" s="43"/>
      <c r="AZ304" s="43"/>
      <c r="BA304" s="43"/>
      <c r="BB304" s="43"/>
      <c r="BC304" s="43"/>
      <c r="BD304" s="43"/>
      <c r="BE304" s="43"/>
      <c r="BF304" s="43"/>
      <c r="BG304" s="43"/>
      <c r="BH304" s="43"/>
      <c r="BI304" s="43"/>
      <c r="BJ304" s="43"/>
      <c r="BK304" s="43"/>
      <c r="BL304" s="43"/>
      <c r="BM304" s="43"/>
      <c r="BN304" s="43"/>
      <c r="BO304" s="43"/>
      <c r="BP304" s="43"/>
      <c r="BQ304" s="43"/>
      <c r="BR304" s="43"/>
      <c r="BS304" s="43"/>
      <c r="BT304" s="43"/>
      <c r="BU304" s="43"/>
      <c r="BV304" s="43"/>
      <c r="BW304" s="43"/>
      <c r="BX304" s="43"/>
      <c r="BY304" s="43"/>
      <c r="BZ304" s="43"/>
      <c r="CA304" s="78"/>
      <c r="CB304" s="74"/>
      <c r="CC304" s="43"/>
      <c r="CD304" s="43"/>
      <c r="CE304" s="43"/>
      <c r="CF304" s="43"/>
      <c r="CG304" s="43"/>
      <c r="CH304" s="43"/>
      <c r="CI304" s="43"/>
      <c r="CJ304" s="43"/>
      <c r="CK304" s="43"/>
      <c r="CL304" s="43"/>
      <c r="CM304" s="43"/>
      <c r="CN304" s="43"/>
      <c r="CO304" s="43"/>
      <c r="CP304" s="43"/>
      <c r="CQ304" s="43"/>
      <c r="CR304" s="43"/>
      <c r="CS304" s="43"/>
      <c r="CT304" s="43"/>
      <c r="CU304" s="43"/>
      <c r="CV304" s="43"/>
      <c r="CW304" s="43"/>
      <c r="CX304" s="43"/>
      <c r="CY304" s="43"/>
      <c r="CZ304" s="43"/>
      <c r="DA304" s="43"/>
      <c r="DB304" s="43"/>
      <c r="DC304" s="43"/>
      <c r="DD304" s="43"/>
      <c r="DE304" s="43"/>
      <c r="DF304" s="43"/>
      <c r="DG304" s="43"/>
      <c r="DH304" s="43"/>
      <c r="DI304" s="43"/>
      <c r="DJ304" s="43"/>
      <c r="DK304" s="43"/>
      <c r="DL304" s="43"/>
      <c r="DM304" s="43"/>
      <c r="DN304" s="43"/>
      <c r="DO304" s="43"/>
      <c r="DP304" s="43"/>
      <c r="DQ304" s="43"/>
      <c r="DR304" s="43"/>
      <c r="DS304" s="43"/>
      <c r="DT304" s="43"/>
      <c r="DU304" s="43"/>
      <c r="DV304" s="43"/>
      <c r="DW304" s="43"/>
      <c r="DX304" s="43"/>
      <c r="DY304" s="43"/>
      <c r="DZ304" s="43"/>
    </row>
    <row r="305" spans="2:130" s="46" customFormat="1" x14ac:dyDescent="0.15">
      <c r="B305" s="75" t="str">
        <f>IF(G305&lt;&gt;"",SUBTOTAL(3,$G$5:G305),"")</f>
        <v/>
      </c>
      <c r="C305" s="75"/>
      <c r="D305" s="75"/>
      <c r="E305" s="76"/>
      <c r="F305" s="76"/>
      <c r="G305" s="76"/>
      <c r="H305" s="61"/>
      <c r="I305" s="70">
        <v>1</v>
      </c>
      <c r="J305" s="96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  <c r="AH305" s="43"/>
      <c r="AI305" s="43"/>
      <c r="AJ305" s="43"/>
      <c r="AK305" s="43"/>
      <c r="AL305" s="43"/>
      <c r="AM305" s="43"/>
      <c r="AN305" s="43"/>
      <c r="AO305" s="43"/>
      <c r="AP305" s="43"/>
      <c r="AQ305" s="43"/>
      <c r="AR305" s="78"/>
      <c r="AS305" s="96" t="s">
        <v>327</v>
      </c>
      <c r="AT305" s="43"/>
      <c r="AU305" s="43"/>
      <c r="AV305" s="43"/>
      <c r="AW305" s="43"/>
      <c r="AX305" s="43"/>
      <c r="AY305" s="43"/>
      <c r="AZ305" s="43"/>
      <c r="BA305" s="43"/>
      <c r="BB305" s="43"/>
      <c r="BC305" s="43"/>
      <c r="BD305" s="43"/>
      <c r="BE305" s="43"/>
      <c r="BF305" s="43"/>
      <c r="BG305" s="43"/>
      <c r="BH305" s="43"/>
      <c r="BI305" s="43"/>
      <c r="BJ305" s="43"/>
      <c r="BK305" s="43"/>
      <c r="BL305" s="43"/>
      <c r="BM305" s="43"/>
      <c r="BN305" s="43"/>
      <c r="BO305" s="43"/>
      <c r="BP305" s="43"/>
      <c r="BQ305" s="43"/>
      <c r="BR305" s="43"/>
      <c r="BS305" s="43"/>
      <c r="BT305" s="43"/>
      <c r="BU305" s="43"/>
      <c r="BV305" s="43"/>
      <c r="BW305" s="43"/>
      <c r="BX305" s="43"/>
      <c r="BY305" s="43"/>
      <c r="BZ305" s="43"/>
      <c r="CA305" s="78"/>
      <c r="CB305" s="74"/>
      <c r="CC305" s="43"/>
      <c r="CD305" s="43"/>
      <c r="CE305" s="43"/>
      <c r="CF305" s="43"/>
      <c r="CG305" s="43"/>
      <c r="CH305" s="43"/>
      <c r="CI305" s="43"/>
      <c r="CJ305" s="43"/>
      <c r="CK305" s="43"/>
      <c r="CL305" s="43"/>
      <c r="CM305" s="43"/>
      <c r="CN305" s="43"/>
      <c r="CO305" s="43"/>
      <c r="CP305" s="43"/>
      <c r="CQ305" s="43"/>
      <c r="CR305" s="43"/>
      <c r="CS305" s="43"/>
      <c r="CT305" s="43"/>
      <c r="CU305" s="43"/>
      <c r="CV305" s="43"/>
      <c r="CW305" s="43"/>
      <c r="CX305" s="43"/>
      <c r="CY305" s="43"/>
      <c r="CZ305" s="43"/>
      <c r="DA305" s="43"/>
      <c r="DB305" s="43"/>
      <c r="DC305" s="43"/>
      <c r="DD305" s="43"/>
      <c r="DE305" s="43"/>
      <c r="DF305" s="43"/>
      <c r="DG305" s="43"/>
      <c r="DH305" s="43"/>
      <c r="DI305" s="43"/>
      <c r="DJ305" s="43"/>
      <c r="DK305" s="43"/>
      <c r="DL305" s="43"/>
      <c r="DM305" s="43"/>
      <c r="DN305" s="43"/>
      <c r="DO305" s="43"/>
      <c r="DP305" s="43"/>
      <c r="DQ305" s="43"/>
      <c r="DR305" s="43"/>
      <c r="DS305" s="43"/>
      <c r="DT305" s="43"/>
      <c r="DU305" s="43"/>
      <c r="DV305" s="43"/>
      <c r="DW305" s="43"/>
      <c r="DX305" s="43"/>
      <c r="DY305" s="43"/>
      <c r="DZ305" s="43"/>
    </row>
    <row r="306" spans="2:130" s="46" customFormat="1" x14ac:dyDescent="0.15">
      <c r="B306" s="75" t="str">
        <f>IF(G306&lt;&gt;"",SUBTOTAL(3,$G$5:G306),"")</f>
        <v/>
      </c>
      <c r="C306" s="75"/>
      <c r="D306" s="75"/>
      <c r="E306" s="76"/>
      <c r="F306" s="76"/>
      <c r="G306" s="76"/>
      <c r="H306" s="61"/>
      <c r="I306" s="70">
        <v>1</v>
      </c>
      <c r="J306" s="96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  <c r="AF306" s="43"/>
      <c r="AG306" s="43"/>
      <c r="AH306" s="43"/>
      <c r="AI306" s="43"/>
      <c r="AJ306" s="43"/>
      <c r="AK306" s="43"/>
      <c r="AL306" s="43"/>
      <c r="AM306" s="43"/>
      <c r="AN306" s="43"/>
      <c r="AO306" s="43"/>
      <c r="AP306" s="43"/>
      <c r="AQ306" s="43"/>
      <c r="AR306" s="78"/>
      <c r="AS306" s="96" t="s">
        <v>328</v>
      </c>
      <c r="AT306" s="43"/>
      <c r="AU306" s="43"/>
      <c r="AV306" s="43"/>
      <c r="AW306" s="43"/>
      <c r="AX306" s="43"/>
      <c r="AY306" s="43"/>
      <c r="AZ306" s="43"/>
      <c r="BA306" s="43"/>
      <c r="BB306" s="43"/>
      <c r="BC306" s="43"/>
      <c r="BD306" s="43"/>
      <c r="BE306" s="43"/>
      <c r="BF306" s="43"/>
      <c r="BG306" s="43"/>
      <c r="BH306" s="43"/>
      <c r="BI306" s="43"/>
      <c r="BJ306" s="43"/>
      <c r="BK306" s="43"/>
      <c r="BL306" s="43"/>
      <c r="BM306" s="43"/>
      <c r="BN306" s="43"/>
      <c r="BO306" s="43"/>
      <c r="BP306" s="43"/>
      <c r="BQ306" s="43"/>
      <c r="BR306" s="43"/>
      <c r="BS306" s="43"/>
      <c r="BT306" s="43"/>
      <c r="BU306" s="43"/>
      <c r="BV306" s="43"/>
      <c r="BW306" s="43"/>
      <c r="BX306" s="43"/>
      <c r="BY306" s="43"/>
      <c r="BZ306" s="43"/>
      <c r="CA306" s="78"/>
      <c r="CB306" s="74"/>
      <c r="CC306" s="43"/>
      <c r="CD306" s="43"/>
      <c r="CE306" s="43"/>
      <c r="CF306" s="43"/>
      <c r="CG306" s="43"/>
      <c r="CH306" s="43"/>
      <c r="CI306" s="43"/>
      <c r="CJ306" s="43"/>
      <c r="CK306" s="43"/>
      <c r="CL306" s="43"/>
      <c r="CM306" s="43"/>
      <c r="CN306" s="43"/>
      <c r="CO306" s="43"/>
      <c r="CP306" s="43"/>
      <c r="CQ306" s="43"/>
      <c r="CR306" s="43"/>
      <c r="CS306" s="43"/>
      <c r="CT306" s="43"/>
      <c r="CU306" s="43"/>
      <c r="CV306" s="43"/>
      <c r="CW306" s="43"/>
      <c r="CX306" s="43"/>
      <c r="CY306" s="43"/>
      <c r="CZ306" s="43"/>
      <c r="DA306" s="43"/>
      <c r="DB306" s="43"/>
      <c r="DC306" s="43"/>
      <c r="DD306" s="43"/>
      <c r="DE306" s="43"/>
      <c r="DF306" s="43"/>
      <c r="DG306" s="43"/>
      <c r="DH306" s="43"/>
      <c r="DI306" s="43"/>
      <c r="DJ306" s="43"/>
      <c r="DK306" s="43"/>
      <c r="DL306" s="43"/>
      <c r="DM306" s="43"/>
      <c r="DN306" s="43"/>
      <c r="DO306" s="43"/>
      <c r="DP306" s="43"/>
      <c r="DQ306" s="43"/>
      <c r="DR306" s="43"/>
      <c r="DS306" s="43"/>
      <c r="DT306" s="43"/>
      <c r="DU306" s="43"/>
      <c r="DV306" s="43"/>
      <c r="DW306" s="43"/>
      <c r="DX306" s="43"/>
      <c r="DY306" s="43"/>
      <c r="DZ306" s="43"/>
    </row>
    <row r="307" spans="2:130" s="46" customFormat="1" x14ac:dyDescent="0.15">
      <c r="B307" s="75" t="str">
        <f>IF(G307&lt;&gt;"",SUBTOTAL(3,$G$5:G307),"")</f>
        <v/>
      </c>
      <c r="C307" s="75"/>
      <c r="D307" s="75"/>
      <c r="E307" s="76"/>
      <c r="F307" s="76"/>
      <c r="G307" s="76"/>
      <c r="H307" s="61"/>
      <c r="I307" s="70">
        <v>1</v>
      </c>
      <c r="J307" s="96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  <c r="AF307" s="43"/>
      <c r="AG307" s="43"/>
      <c r="AH307" s="43"/>
      <c r="AI307" s="43"/>
      <c r="AJ307" s="43"/>
      <c r="AK307" s="43"/>
      <c r="AL307" s="43"/>
      <c r="AM307" s="43"/>
      <c r="AN307" s="43"/>
      <c r="AO307" s="43"/>
      <c r="AP307" s="43"/>
      <c r="AQ307" s="43"/>
      <c r="AR307" s="78"/>
      <c r="AS307" s="96" t="s">
        <v>329</v>
      </c>
      <c r="AT307" s="43"/>
      <c r="AU307" s="43"/>
      <c r="AV307" s="43"/>
      <c r="AW307" s="43"/>
      <c r="AX307" s="43"/>
      <c r="AY307" s="43"/>
      <c r="AZ307" s="43"/>
      <c r="BA307" s="43"/>
      <c r="BB307" s="43"/>
      <c r="BC307" s="43"/>
      <c r="BD307" s="43"/>
      <c r="BE307" s="43"/>
      <c r="BF307" s="43"/>
      <c r="BG307" s="43"/>
      <c r="BH307" s="43"/>
      <c r="BI307" s="43"/>
      <c r="BJ307" s="43"/>
      <c r="BK307" s="43"/>
      <c r="BL307" s="43"/>
      <c r="BM307" s="43"/>
      <c r="BN307" s="43"/>
      <c r="BO307" s="43"/>
      <c r="BP307" s="43"/>
      <c r="BQ307" s="43"/>
      <c r="BR307" s="43"/>
      <c r="BS307" s="43"/>
      <c r="BT307" s="43"/>
      <c r="BU307" s="43"/>
      <c r="BV307" s="43"/>
      <c r="BW307" s="43"/>
      <c r="BX307" s="43"/>
      <c r="BY307" s="43"/>
      <c r="BZ307" s="43"/>
      <c r="CA307" s="78"/>
      <c r="CB307" s="74"/>
      <c r="CC307" s="43"/>
      <c r="CD307" s="43"/>
      <c r="CE307" s="43"/>
      <c r="CF307" s="43"/>
      <c r="CG307" s="43"/>
      <c r="CH307" s="43"/>
      <c r="CI307" s="43"/>
      <c r="CJ307" s="43"/>
      <c r="CK307" s="43"/>
      <c r="CL307" s="43"/>
      <c r="CM307" s="43"/>
      <c r="CN307" s="43"/>
      <c r="CO307" s="43"/>
      <c r="CP307" s="43"/>
      <c r="CQ307" s="43"/>
      <c r="CR307" s="43"/>
      <c r="CS307" s="43"/>
      <c r="CT307" s="43"/>
      <c r="CU307" s="43"/>
      <c r="CV307" s="43"/>
      <c r="CW307" s="43"/>
      <c r="CX307" s="43"/>
      <c r="CY307" s="43"/>
      <c r="CZ307" s="43"/>
      <c r="DA307" s="43"/>
      <c r="DB307" s="43"/>
      <c r="DC307" s="43"/>
      <c r="DD307" s="43"/>
      <c r="DE307" s="43"/>
      <c r="DF307" s="43"/>
      <c r="DG307" s="43"/>
      <c r="DH307" s="43"/>
      <c r="DI307" s="43"/>
      <c r="DJ307" s="43"/>
      <c r="DK307" s="43"/>
      <c r="DL307" s="43"/>
      <c r="DM307" s="43"/>
      <c r="DN307" s="43"/>
      <c r="DO307" s="43"/>
      <c r="DP307" s="43"/>
      <c r="DQ307" s="43"/>
      <c r="DR307" s="43"/>
      <c r="DS307" s="43"/>
      <c r="DT307" s="43"/>
      <c r="DU307" s="43"/>
      <c r="DV307" s="43"/>
      <c r="DW307" s="43"/>
      <c r="DX307" s="43"/>
      <c r="DY307" s="43"/>
      <c r="DZ307" s="43"/>
    </row>
    <row r="308" spans="2:130" s="46" customFormat="1" x14ac:dyDescent="0.15">
      <c r="B308" s="75" t="str">
        <f>IF(G308&lt;&gt;"",SUBTOTAL(3,$G$5:G308),"")</f>
        <v/>
      </c>
      <c r="C308" s="75"/>
      <c r="D308" s="75"/>
      <c r="E308" s="76"/>
      <c r="F308" s="76"/>
      <c r="G308" s="76"/>
      <c r="H308" s="61"/>
      <c r="I308" s="70">
        <v>1</v>
      </c>
      <c r="J308" s="96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  <c r="AF308" s="43"/>
      <c r="AG308" s="43"/>
      <c r="AH308" s="43"/>
      <c r="AI308" s="43"/>
      <c r="AJ308" s="43"/>
      <c r="AK308" s="43"/>
      <c r="AL308" s="43"/>
      <c r="AM308" s="43"/>
      <c r="AN308" s="43"/>
      <c r="AO308" s="43"/>
      <c r="AP308" s="43"/>
      <c r="AQ308" s="43"/>
      <c r="AR308" s="78"/>
      <c r="AS308" s="96" t="s">
        <v>330</v>
      </c>
      <c r="AT308" s="43"/>
      <c r="AU308" s="43"/>
      <c r="AV308" s="43"/>
      <c r="AW308" s="43"/>
      <c r="AX308" s="43"/>
      <c r="AY308" s="43"/>
      <c r="AZ308" s="43"/>
      <c r="BA308" s="43"/>
      <c r="BB308" s="43"/>
      <c r="BC308" s="43"/>
      <c r="BD308" s="43"/>
      <c r="BE308" s="43"/>
      <c r="BF308" s="43"/>
      <c r="BG308" s="43"/>
      <c r="BH308" s="43"/>
      <c r="BI308" s="43"/>
      <c r="BJ308" s="43"/>
      <c r="BK308" s="43"/>
      <c r="BL308" s="43"/>
      <c r="BM308" s="43"/>
      <c r="BN308" s="43"/>
      <c r="BO308" s="43"/>
      <c r="BP308" s="43"/>
      <c r="BQ308" s="43"/>
      <c r="BR308" s="43"/>
      <c r="BS308" s="43"/>
      <c r="BT308" s="43"/>
      <c r="BU308" s="43"/>
      <c r="BV308" s="43"/>
      <c r="BW308" s="43"/>
      <c r="BX308" s="43"/>
      <c r="BY308" s="43"/>
      <c r="BZ308" s="43"/>
      <c r="CA308" s="78"/>
      <c r="CB308" s="74"/>
      <c r="CC308" s="43"/>
      <c r="CD308" s="43"/>
      <c r="CE308" s="43"/>
      <c r="CF308" s="43"/>
      <c r="CG308" s="43"/>
      <c r="CH308" s="43"/>
      <c r="CI308" s="43"/>
      <c r="CJ308" s="43"/>
      <c r="CK308" s="43"/>
      <c r="CL308" s="43"/>
      <c r="CM308" s="43"/>
      <c r="CN308" s="43"/>
      <c r="CO308" s="43"/>
      <c r="CP308" s="43"/>
      <c r="CQ308" s="43"/>
      <c r="CR308" s="43"/>
      <c r="CS308" s="43"/>
      <c r="CT308" s="43"/>
      <c r="CU308" s="43"/>
      <c r="CV308" s="43"/>
      <c r="CW308" s="43"/>
      <c r="CX308" s="43"/>
      <c r="CY308" s="43"/>
      <c r="CZ308" s="43"/>
      <c r="DA308" s="43"/>
      <c r="DB308" s="43"/>
      <c r="DC308" s="43"/>
      <c r="DD308" s="43"/>
      <c r="DE308" s="43"/>
      <c r="DF308" s="43"/>
      <c r="DG308" s="43"/>
      <c r="DH308" s="43"/>
      <c r="DI308" s="43"/>
      <c r="DJ308" s="43"/>
      <c r="DK308" s="43"/>
      <c r="DL308" s="43"/>
      <c r="DM308" s="43"/>
      <c r="DN308" s="43"/>
      <c r="DO308" s="43"/>
      <c r="DP308" s="43"/>
      <c r="DQ308" s="43"/>
      <c r="DR308" s="43"/>
      <c r="DS308" s="43"/>
      <c r="DT308" s="43"/>
      <c r="DU308" s="43"/>
      <c r="DV308" s="43"/>
      <c r="DW308" s="43"/>
      <c r="DX308" s="43"/>
      <c r="DY308" s="43"/>
      <c r="DZ308" s="43"/>
    </row>
    <row r="309" spans="2:130" s="46" customFormat="1" x14ac:dyDescent="0.15">
      <c r="B309" s="75" t="str">
        <f>IF(G309&lt;&gt;"",SUBTOTAL(3,$G$5:G309),"")</f>
        <v/>
      </c>
      <c r="C309" s="75"/>
      <c r="D309" s="75"/>
      <c r="E309" s="76"/>
      <c r="F309" s="76"/>
      <c r="G309" s="76"/>
      <c r="H309" s="61"/>
      <c r="I309" s="70">
        <v>1</v>
      </c>
      <c r="J309" s="96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  <c r="AF309" s="43"/>
      <c r="AG309" s="43"/>
      <c r="AH309" s="43"/>
      <c r="AI309" s="43"/>
      <c r="AJ309" s="43"/>
      <c r="AK309" s="43"/>
      <c r="AL309" s="43"/>
      <c r="AM309" s="43"/>
      <c r="AN309" s="43"/>
      <c r="AO309" s="43"/>
      <c r="AP309" s="43"/>
      <c r="AQ309" s="43"/>
      <c r="AR309" s="78"/>
      <c r="AS309" s="96" t="s">
        <v>334</v>
      </c>
      <c r="AT309" s="43"/>
      <c r="AU309" s="43"/>
      <c r="AV309" s="43"/>
      <c r="AW309" s="43"/>
      <c r="AX309" s="43"/>
      <c r="AY309" s="43"/>
      <c r="AZ309" s="43"/>
      <c r="BA309" s="43"/>
      <c r="BB309" s="43"/>
      <c r="BC309" s="43"/>
      <c r="BD309" s="43"/>
      <c r="BE309" s="43"/>
      <c r="BF309" s="43"/>
      <c r="BG309" s="43"/>
      <c r="BH309" s="43"/>
      <c r="BI309" s="43"/>
      <c r="BJ309" s="43"/>
      <c r="BK309" s="43"/>
      <c r="BL309" s="43"/>
      <c r="BM309" s="43"/>
      <c r="BN309" s="43"/>
      <c r="BO309" s="43"/>
      <c r="BP309" s="43"/>
      <c r="BQ309" s="43"/>
      <c r="BR309" s="43"/>
      <c r="BS309" s="43"/>
      <c r="BT309" s="43"/>
      <c r="BU309" s="43"/>
      <c r="BV309" s="43"/>
      <c r="BW309" s="43"/>
      <c r="BX309" s="43"/>
      <c r="BY309" s="43"/>
      <c r="BZ309" s="43"/>
      <c r="CA309" s="78"/>
      <c r="CB309" s="74"/>
      <c r="CC309" s="43"/>
      <c r="CD309" s="43"/>
      <c r="CE309" s="43"/>
      <c r="CF309" s="43"/>
      <c r="CG309" s="43"/>
      <c r="CH309" s="43"/>
      <c r="CI309" s="43"/>
      <c r="CJ309" s="43"/>
      <c r="CK309" s="43"/>
      <c r="CL309" s="43"/>
      <c r="CM309" s="43"/>
      <c r="CN309" s="43"/>
      <c r="CO309" s="43"/>
      <c r="CP309" s="43"/>
      <c r="CQ309" s="43"/>
      <c r="CR309" s="43"/>
      <c r="CS309" s="43"/>
      <c r="CT309" s="43"/>
      <c r="CU309" s="43"/>
      <c r="CV309" s="43"/>
      <c r="CW309" s="43"/>
      <c r="CX309" s="43"/>
      <c r="CY309" s="43"/>
      <c r="CZ309" s="43"/>
      <c r="DA309" s="43"/>
      <c r="DB309" s="43"/>
      <c r="DC309" s="43"/>
      <c r="DD309" s="43"/>
      <c r="DE309" s="43"/>
      <c r="DF309" s="43"/>
      <c r="DG309" s="43"/>
      <c r="DH309" s="43"/>
      <c r="DI309" s="43"/>
      <c r="DJ309" s="43"/>
      <c r="DK309" s="43"/>
      <c r="DL309" s="43"/>
      <c r="DM309" s="43"/>
      <c r="DN309" s="43"/>
      <c r="DO309" s="43"/>
      <c r="DP309" s="43"/>
      <c r="DQ309" s="43"/>
      <c r="DR309" s="43"/>
      <c r="DS309" s="43"/>
      <c r="DT309" s="43"/>
      <c r="DU309" s="43"/>
      <c r="DV309" s="43"/>
      <c r="DW309" s="43"/>
      <c r="DX309" s="43"/>
      <c r="DY309" s="43"/>
      <c r="DZ309" s="43"/>
    </row>
    <row r="310" spans="2:130" s="46" customFormat="1" x14ac:dyDescent="0.15">
      <c r="B310" s="75" t="str">
        <f>IF(G310&lt;&gt;"",SUBTOTAL(3,$G$5:G310),"")</f>
        <v/>
      </c>
      <c r="C310" s="75"/>
      <c r="D310" s="75"/>
      <c r="E310" s="76"/>
      <c r="F310" s="76"/>
      <c r="G310" s="76"/>
      <c r="H310" s="61"/>
      <c r="I310" s="70">
        <v>1</v>
      </c>
      <c r="J310" s="96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  <c r="AF310" s="43"/>
      <c r="AG310" s="43"/>
      <c r="AH310" s="43"/>
      <c r="AI310" s="43"/>
      <c r="AJ310" s="43"/>
      <c r="AK310" s="43"/>
      <c r="AL310" s="43"/>
      <c r="AM310" s="43"/>
      <c r="AN310" s="43"/>
      <c r="AO310" s="43"/>
      <c r="AP310" s="43"/>
      <c r="AQ310" s="43"/>
      <c r="AR310" s="78"/>
      <c r="AS310" s="96" t="s">
        <v>331</v>
      </c>
      <c r="AT310" s="43"/>
      <c r="AU310" s="43"/>
      <c r="AV310" s="43"/>
      <c r="AW310" s="43"/>
      <c r="AX310" s="43"/>
      <c r="AY310" s="43"/>
      <c r="AZ310" s="43"/>
      <c r="BA310" s="43"/>
      <c r="BB310" s="43"/>
      <c r="BC310" s="43"/>
      <c r="BD310" s="43"/>
      <c r="BE310" s="43"/>
      <c r="BF310" s="43"/>
      <c r="BG310" s="43"/>
      <c r="BH310" s="43"/>
      <c r="BI310" s="43"/>
      <c r="BJ310" s="43"/>
      <c r="BK310" s="43"/>
      <c r="BL310" s="43"/>
      <c r="BM310" s="43"/>
      <c r="BN310" s="43"/>
      <c r="BO310" s="43"/>
      <c r="BP310" s="43"/>
      <c r="BQ310" s="43"/>
      <c r="BR310" s="43"/>
      <c r="BS310" s="43"/>
      <c r="BT310" s="43"/>
      <c r="BU310" s="43"/>
      <c r="BV310" s="43"/>
      <c r="BW310" s="43"/>
      <c r="BX310" s="43"/>
      <c r="BY310" s="43"/>
      <c r="BZ310" s="43"/>
      <c r="CA310" s="78"/>
      <c r="CB310" s="74"/>
      <c r="CC310" s="43"/>
      <c r="CD310" s="43"/>
      <c r="CE310" s="43"/>
      <c r="CF310" s="43"/>
      <c r="CG310" s="43"/>
      <c r="CH310" s="43"/>
      <c r="CI310" s="43"/>
      <c r="CJ310" s="43"/>
      <c r="CK310" s="43"/>
      <c r="CL310" s="43"/>
      <c r="CM310" s="43"/>
      <c r="CN310" s="43"/>
      <c r="CO310" s="43"/>
      <c r="CP310" s="43"/>
      <c r="CQ310" s="43"/>
      <c r="CR310" s="43"/>
      <c r="CS310" s="43"/>
      <c r="CT310" s="43"/>
      <c r="CU310" s="43"/>
      <c r="CV310" s="43"/>
      <c r="CW310" s="43"/>
      <c r="CX310" s="43"/>
      <c r="CY310" s="43"/>
      <c r="CZ310" s="43"/>
      <c r="DA310" s="43"/>
      <c r="DB310" s="43"/>
      <c r="DC310" s="43"/>
      <c r="DD310" s="43"/>
      <c r="DE310" s="43"/>
      <c r="DF310" s="43"/>
      <c r="DG310" s="43"/>
      <c r="DH310" s="43"/>
      <c r="DI310" s="43"/>
      <c r="DJ310" s="43"/>
      <c r="DK310" s="43"/>
      <c r="DL310" s="43"/>
      <c r="DM310" s="43"/>
      <c r="DN310" s="43"/>
      <c r="DO310" s="43"/>
      <c r="DP310" s="43"/>
      <c r="DQ310" s="43"/>
      <c r="DR310" s="43"/>
      <c r="DS310" s="43"/>
      <c r="DT310" s="43"/>
      <c r="DU310" s="43"/>
      <c r="DV310" s="43"/>
      <c r="DW310" s="43"/>
      <c r="DX310" s="43"/>
      <c r="DY310" s="43"/>
      <c r="DZ310" s="43"/>
    </row>
    <row r="311" spans="2:130" s="46" customFormat="1" x14ac:dyDescent="0.15">
      <c r="B311" s="75" t="str">
        <f>IF(G311&lt;&gt;"",SUBTOTAL(3,$G$5:G311),"")</f>
        <v/>
      </c>
      <c r="C311" s="75"/>
      <c r="D311" s="75"/>
      <c r="E311" s="76"/>
      <c r="F311" s="76"/>
      <c r="G311" s="76"/>
      <c r="H311" s="61"/>
      <c r="I311" s="70">
        <v>1</v>
      </c>
      <c r="J311" s="96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  <c r="AF311" s="43"/>
      <c r="AG311" s="43"/>
      <c r="AH311" s="43"/>
      <c r="AI311" s="43"/>
      <c r="AJ311" s="43"/>
      <c r="AK311" s="43"/>
      <c r="AL311" s="43"/>
      <c r="AM311" s="43"/>
      <c r="AN311" s="43"/>
      <c r="AO311" s="43"/>
      <c r="AP311" s="43"/>
      <c r="AQ311" s="43"/>
      <c r="AR311" s="78"/>
      <c r="AS311" s="96" t="s">
        <v>332</v>
      </c>
      <c r="AT311" s="43"/>
      <c r="AU311" s="43"/>
      <c r="AV311" s="43"/>
      <c r="AW311" s="43"/>
      <c r="AX311" s="43"/>
      <c r="AY311" s="43"/>
      <c r="AZ311" s="43"/>
      <c r="BA311" s="43"/>
      <c r="BB311" s="43"/>
      <c r="BC311" s="43"/>
      <c r="BD311" s="43"/>
      <c r="BE311" s="43"/>
      <c r="BF311" s="43"/>
      <c r="BG311" s="43"/>
      <c r="BH311" s="43"/>
      <c r="BI311" s="43"/>
      <c r="BJ311" s="43"/>
      <c r="BK311" s="43"/>
      <c r="BL311" s="43"/>
      <c r="BM311" s="43"/>
      <c r="BN311" s="43"/>
      <c r="BO311" s="43"/>
      <c r="BP311" s="43"/>
      <c r="BQ311" s="43"/>
      <c r="BR311" s="43"/>
      <c r="BS311" s="43"/>
      <c r="BT311" s="43"/>
      <c r="BU311" s="43"/>
      <c r="BV311" s="43"/>
      <c r="BW311" s="43"/>
      <c r="BX311" s="43"/>
      <c r="BY311" s="43"/>
      <c r="BZ311" s="43"/>
      <c r="CA311" s="78"/>
      <c r="CB311" s="74"/>
      <c r="CC311" s="43"/>
      <c r="CD311" s="43"/>
      <c r="CE311" s="43"/>
      <c r="CF311" s="43"/>
      <c r="CG311" s="43"/>
      <c r="CH311" s="43"/>
      <c r="CI311" s="43"/>
      <c r="CJ311" s="43"/>
      <c r="CK311" s="43"/>
      <c r="CL311" s="43"/>
      <c r="CM311" s="43"/>
      <c r="CN311" s="43"/>
      <c r="CO311" s="43"/>
      <c r="CP311" s="43"/>
      <c r="CQ311" s="43"/>
      <c r="CR311" s="43"/>
      <c r="CS311" s="43"/>
      <c r="CT311" s="43"/>
      <c r="CU311" s="43"/>
      <c r="CV311" s="43"/>
      <c r="CW311" s="43"/>
      <c r="CX311" s="43"/>
      <c r="CY311" s="43"/>
      <c r="CZ311" s="43"/>
      <c r="DA311" s="43"/>
      <c r="DB311" s="43"/>
      <c r="DC311" s="43"/>
      <c r="DD311" s="43"/>
      <c r="DE311" s="43"/>
      <c r="DF311" s="43"/>
      <c r="DG311" s="43"/>
      <c r="DH311" s="43"/>
      <c r="DI311" s="43"/>
      <c r="DJ311" s="43"/>
      <c r="DK311" s="43"/>
      <c r="DL311" s="43"/>
      <c r="DM311" s="43"/>
      <c r="DN311" s="43"/>
      <c r="DO311" s="43"/>
      <c r="DP311" s="43"/>
      <c r="DQ311" s="43"/>
      <c r="DR311" s="43"/>
      <c r="DS311" s="43"/>
      <c r="DT311" s="43"/>
      <c r="DU311" s="43"/>
      <c r="DV311" s="43"/>
      <c r="DW311" s="43"/>
      <c r="DX311" s="43"/>
      <c r="DY311" s="43"/>
      <c r="DZ311" s="43"/>
    </row>
    <row r="312" spans="2:130" s="46" customFormat="1" x14ac:dyDescent="0.15">
      <c r="B312" s="75" t="str">
        <f>IF(G312&lt;&gt;"",SUBTOTAL(3,$G$5:G312),"")</f>
        <v/>
      </c>
      <c r="C312" s="75"/>
      <c r="D312" s="75"/>
      <c r="E312" s="76"/>
      <c r="F312" s="76"/>
      <c r="G312" s="76"/>
      <c r="H312" s="61"/>
      <c r="I312" s="70">
        <v>1</v>
      </c>
      <c r="J312" s="77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  <c r="AF312" s="43"/>
      <c r="AG312" s="43"/>
      <c r="AH312" s="43"/>
      <c r="AI312" s="43"/>
      <c r="AJ312" s="43"/>
      <c r="AK312" s="43"/>
      <c r="AL312" s="43"/>
      <c r="AM312" s="43"/>
      <c r="AN312" s="43"/>
      <c r="AO312" s="43"/>
      <c r="AP312" s="43"/>
      <c r="AQ312" s="43"/>
      <c r="AR312" s="78"/>
      <c r="AS312" s="77"/>
      <c r="AT312" s="43"/>
      <c r="AU312" s="43"/>
      <c r="AV312" s="43"/>
      <c r="AW312" s="43"/>
      <c r="AX312" s="43"/>
      <c r="AY312" s="43"/>
      <c r="AZ312" s="43"/>
      <c r="BA312" s="43"/>
      <c r="BB312" s="43"/>
      <c r="BC312" s="43"/>
      <c r="BD312" s="43"/>
      <c r="BE312" s="43"/>
      <c r="BF312" s="43"/>
      <c r="BG312" s="43"/>
      <c r="BH312" s="43"/>
      <c r="BI312" s="43"/>
      <c r="BJ312" s="43"/>
      <c r="BK312" s="43"/>
      <c r="BL312" s="43"/>
      <c r="BM312" s="43"/>
      <c r="BN312" s="43"/>
      <c r="BO312" s="43"/>
      <c r="BP312" s="43"/>
      <c r="BQ312" s="43"/>
      <c r="BR312" s="43"/>
      <c r="BS312" s="43"/>
      <c r="BT312" s="43"/>
      <c r="BU312" s="43"/>
      <c r="BV312" s="43"/>
      <c r="BW312" s="43"/>
      <c r="BX312" s="43"/>
      <c r="BY312" s="43"/>
      <c r="BZ312" s="43"/>
      <c r="CA312" s="78"/>
      <c r="CB312" s="74"/>
      <c r="CC312" s="43"/>
      <c r="CD312" s="43"/>
      <c r="CE312" s="43"/>
      <c r="CF312" s="43"/>
      <c r="CG312" s="43"/>
      <c r="CH312" s="43"/>
      <c r="CI312" s="43"/>
      <c r="CJ312" s="43"/>
      <c r="CK312" s="43"/>
      <c r="CL312" s="43"/>
      <c r="CM312" s="43"/>
      <c r="CN312" s="43"/>
      <c r="CO312" s="43"/>
      <c r="CP312" s="43"/>
      <c r="CQ312" s="43"/>
      <c r="CR312" s="43"/>
      <c r="CS312" s="43"/>
      <c r="CT312" s="43"/>
      <c r="CU312" s="43"/>
      <c r="CV312" s="43"/>
      <c r="CW312" s="43"/>
      <c r="CX312" s="43"/>
      <c r="CY312" s="43"/>
      <c r="CZ312" s="43"/>
      <c r="DA312" s="43"/>
      <c r="DB312" s="43"/>
      <c r="DC312" s="43"/>
      <c r="DD312" s="43"/>
      <c r="DE312" s="43"/>
      <c r="DF312" s="43"/>
      <c r="DG312" s="43"/>
      <c r="DH312" s="43"/>
      <c r="DI312" s="43"/>
      <c r="DJ312" s="43"/>
      <c r="DK312" s="43"/>
      <c r="DL312" s="43"/>
      <c r="DM312" s="43"/>
      <c r="DN312" s="43"/>
      <c r="DO312" s="43"/>
      <c r="DP312" s="43"/>
      <c r="DQ312" s="43"/>
      <c r="DR312" s="43"/>
      <c r="DS312" s="43"/>
      <c r="DT312" s="43"/>
      <c r="DU312" s="43"/>
      <c r="DV312" s="43"/>
      <c r="DW312" s="43"/>
      <c r="DX312" s="43"/>
      <c r="DY312" s="43"/>
      <c r="DZ312" s="43"/>
    </row>
    <row r="313" spans="2:130" s="46" customFormat="1" ht="14.25" customHeight="1" x14ac:dyDescent="0.15">
      <c r="B313" s="75">
        <f>IF(G313&lt;&gt;"",SUBTOTAL(3,$G$5:G313),"")</f>
        <v>89</v>
      </c>
      <c r="C313" s="75"/>
      <c r="D313" s="75"/>
      <c r="E313" s="76" t="s">
        <v>139</v>
      </c>
      <c r="F313" s="76" t="s">
        <v>142</v>
      </c>
      <c r="G313" s="76" t="s">
        <v>236</v>
      </c>
      <c r="H313" s="61">
        <v>44108</v>
      </c>
      <c r="I313" s="62">
        <v>0.5</v>
      </c>
      <c r="J313" s="77" t="s">
        <v>1</v>
      </c>
      <c r="K313" s="43" t="s">
        <v>336</v>
      </c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  <c r="AF313" s="43"/>
      <c r="AG313" s="43"/>
      <c r="AH313" s="43"/>
      <c r="AI313" s="43"/>
      <c r="AJ313" s="43"/>
      <c r="AK313" s="43"/>
      <c r="AL313" s="43"/>
      <c r="AM313" s="43"/>
      <c r="AN313" s="43"/>
      <c r="AO313" s="43"/>
      <c r="AP313" s="43"/>
      <c r="AQ313" s="43"/>
      <c r="AR313" s="78"/>
      <c r="AS313" s="77"/>
      <c r="AT313" s="43"/>
      <c r="AU313" s="43"/>
      <c r="AV313" s="43"/>
      <c r="AW313" s="43"/>
      <c r="AX313" s="43"/>
      <c r="AY313" s="43"/>
      <c r="AZ313" s="43"/>
      <c r="BA313" s="43"/>
      <c r="BB313" s="43"/>
      <c r="BC313" s="43"/>
      <c r="BD313" s="43"/>
      <c r="BE313" s="43"/>
      <c r="BF313" s="43"/>
      <c r="BG313" s="43"/>
      <c r="BH313" s="43"/>
      <c r="BI313" s="43"/>
      <c r="BJ313" s="43"/>
      <c r="BK313" s="43"/>
      <c r="BL313" s="43"/>
      <c r="BM313" s="43"/>
      <c r="BN313" s="43"/>
      <c r="BO313" s="43"/>
      <c r="BP313" s="43"/>
      <c r="BQ313" s="43"/>
      <c r="BR313" s="43"/>
      <c r="BS313" s="43"/>
      <c r="BT313" s="43"/>
      <c r="BU313" s="43"/>
      <c r="BV313" s="43"/>
      <c r="BW313" s="43"/>
      <c r="BX313" s="43"/>
      <c r="BY313" s="43"/>
      <c r="BZ313" s="43"/>
      <c r="CA313" s="78"/>
      <c r="CB313" s="74"/>
      <c r="CC313" s="43"/>
      <c r="CD313" s="43"/>
      <c r="CE313" s="43"/>
      <c r="CF313" s="43"/>
      <c r="CG313" s="43"/>
      <c r="CH313" s="43"/>
      <c r="CI313" s="43"/>
      <c r="CJ313" s="43"/>
      <c r="CK313" s="43"/>
      <c r="CL313" s="43"/>
      <c r="CM313" s="43"/>
      <c r="CN313" s="43"/>
      <c r="CO313" s="43"/>
      <c r="CP313" s="43"/>
      <c r="CQ313" s="43"/>
      <c r="CR313" s="43"/>
      <c r="CS313" s="43"/>
      <c r="CT313" s="43"/>
      <c r="CU313" s="43"/>
      <c r="CV313" s="43"/>
      <c r="CW313" s="43"/>
      <c r="CX313" s="43"/>
      <c r="CY313" s="43"/>
      <c r="CZ313" s="43"/>
      <c r="DA313" s="43"/>
      <c r="DB313" s="43"/>
      <c r="DC313" s="43"/>
      <c r="DD313" s="43"/>
      <c r="DE313" s="43"/>
      <c r="DF313" s="43"/>
      <c r="DG313" s="43"/>
      <c r="DH313" s="43"/>
      <c r="DI313" s="43"/>
      <c r="DJ313" s="43"/>
      <c r="DK313" s="43"/>
      <c r="DL313" s="43"/>
      <c r="DM313" s="43"/>
      <c r="DN313" s="43"/>
      <c r="DO313" s="43"/>
      <c r="DP313" s="43"/>
      <c r="DQ313" s="43"/>
      <c r="DR313" s="43"/>
      <c r="DS313" s="43"/>
      <c r="DT313" s="43"/>
      <c r="DU313" s="43"/>
      <c r="DV313" s="43"/>
      <c r="DW313" s="43"/>
      <c r="DX313" s="43"/>
      <c r="DY313" s="43"/>
      <c r="DZ313" s="43"/>
    </row>
    <row r="314" spans="2:130" s="46" customFormat="1" ht="14.25" customHeight="1" x14ac:dyDescent="0.15">
      <c r="B314" s="75" t="str">
        <f>IF(G314&lt;&gt;"",SUBTOTAL(3,$G$5:G314),"")</f>
        <v/>
      </c>
      <c r="C314" s="75"/>
      <c r="D314" s="75"/>
      <c r="E314" s="76"/>
      <c r="F314" s="76"/>
      <c r="G314" s="76"/>
      <c r="H314" s="61"/>
      <c r="I314" s="68">
        <v>0.5</v>
      </c>
      <c r="J314" s="80"/>
      <c r="K314" s="81"/>
      <c r="L314" s="81"/>
      <c r="M314" s="81"/>
      <c r="N314" s="81"/>
      <c r="O314" s="81"/>
      <c r="P314" s="81"/>
      <c r="Q314" s="81"/>
      <c r="R314" s="82" t="s">
        <v>335</v>
      </c>
      <c r="S314" s="81"/>
      <c r="T314" s="81"/>
      <c r="U314" s="81"/>
      <c r="V314" s="81"/>
      <c r="W314" s="81"/>
      <c r="X314" s="81"/>
      <c r="Y314" s="81"/>
      <c r="Z314" s="81"/>
      <c r="AA314" s="81"/>
      <c r="AB314" s="81"/>
      <c r="AC314" s="81"/>
      <c r="AD314" s="81"/>
      <c r="AE314" s="81"/>
      <c r="AF314" s="81"/>
      <c r="AG314" s="81"/>
      <c r="AH314" s="81"/>
      <c r="AI314" s="81"/>
      <c r="AJ314" s="81"/>
      <c r="AK314" s="81"/>
      <c r="AL314" s="81"/>
      <c r="AM314" s="81"/>
      <c r="AN314" s="81"/>
      <c r="AO314" s="81"/>
      <c r="AP314" s="81"/>
      <c r="AQ314" s="81"/>
      <c r="AR314" s="83"/>
      <c r="AS314" s="77"/>
      <c r="AT314" s="43"/>
      <c r="AU314" s="43"/>
      <c r="AV314" s="43"/>
      <c r="AW314" s="43"/>
      <c r="AX314" s="43"/>
      <c r="AY314" s="43"/>
      <c r="AZ314" s="43"/>
      <c r="BA314" s="43"/>
      <c r="BB314" s="43"/>
      <c r="BC314" s="43"/>
      <c r="BD314" s="43"/>
      <c r="BE314" s="43"/>
      <c r="BF314" s="43"/>
      <c r="BG314" s="43"/>
      <c r="BH314" s="43"/>
      <c r="BI314" s="43"/>
      <c r="BJ314" s="43"/>
      <c r="BK314" s="43"/>
      <c r="BL314" s="43"/>
      <c r="BM314" s="43"/>
      <c r="BN314" s="43"/>
      <c r="BO314" s="43"/>
      <c r="BP314" s="43"/>
      <c r="BQ314" s="43"/>
      <c r="BR314" s="43"/>
      <c r="BS314" s="43"/>
      <c r="BT314" s="43"/>
      <c r="BU314" s="43"/>
      <c r="BV314" s="43"/>
      <c r="BW314" s="43"/>
      <c r="BX314" s="43"/>
      <c r="BY314" s="43"/>
      <c r="BZ314" s="43"/>
      <c r="CA314" s="78"/>
      <c r="CB314" s="74"/>
      <c r="CC314" s="43"/>
      <c r="CD314" s="43"/>
      <c r="CE314" s="43"/>
      <c r="CF314" s="43"/>
      <c r="CG314" s="43"/>
      <c r="CH314" s="43"/>
      <c r="CI314" s="43"/>
      <c r="CJ314" s="43"/>
      <c r="CK314" s="43"/>
      <c r="CL314" s="43"/>
      <c r="CM314" s="43"/>
      <c r="CN314" s="43"/>
      <c r="CO314" s="43"/>
      <c r="CP314" s="43"/>
      <c r="CQ314" s="43"/>
      <c r="CR314" s="43"/>
      <c r="CS314" s="43"/>
      <c r="CT314" s="43"/>
      <c r="CU314" s="43"/>
      <c r="CV314" s="43"/>
      <c r="CW314" s="43"/>
      <c r="CX314" s="43"/>
      <c r="CY314" s="43"/>
      <c r="CZ314" s="43"/>
      <c r="DA314" s="43"/>
      <c r="DB314" s="43"/>
      <c r="DC314" s="43"/>
      <c r="DD314" s="43"/>
      <c r="DE314" s="43"/>
      <c r="DF314" s="43"/>
      <c r="DG314" s="43"/>
      <c r="DH314" s="43"/>
      <c r="DI314" s="43"/>
      <c r="DJ314" s="43"/>
      <c r="DK314" s="43"/>
      <c r="DL314" s="43"/>
      <c r="DM314" s="43"/>
      <c r="DN314" s="43"/>
      <c r="DO314" s="43"/>
      <c r="DP314" s="43"/>
      <c r="DQ314" s="43"/>
      <c r="DR314" s="43"/>
      <c r="DS314" s="43"/>
      <c r="DT314" s="43"/>
      <c r="DU314" s="43"/>
      <c r="DV314" s="43"/>
      <c r="DW314" s="43"/>
      <c r="DX314" s="43"/>
      <c r="DY314" s="43"/>
      <c r="DZ314" s="43"/>
    </row>
    <row r="315" spans="2:130" s="46" customFormat="1" ht="14.25" customHeight="1" x14ac:dyDescent="0.15">
      <c r="B315" s="75" t="str">
        <f>IF(G315&lt;&gt;"",SUBTOTAL(3,$G$5:G315),"")</f>
        <v/>
      </c>
      <c r="C315" s="75"/>
      <c r="D315" s="75"/>
      <c r="E315" s="76"/>
      <c r="F315" s="76"/>
      <c r="G315" s="76"/>
      <c r="H315" s="61"/>
      <c r="I315" s="68">
        <v>0.5</v>
      </c>
      <c r="J315" s="84"/>
      <c r="K315" s="81"/>
      <c r="L315" s="81"/>
      <c r="M315" s="81"/>
      <c r="N315" s="81"/>
      <c r="O315" s="81"/>
      <c r="P315" s="81"/>
      <c r="Q315" s="81"/>
      <c r="R315" s="81"/>
      <c r="S315" s="81"/>
      <c r="T315" s="81"/>
      <c r="U315" s="81"/>
      <c r="V315" s="81"/>
      <c r="W315" s="81"/>
      <c r="X315" s="81"/>
      <c r="Y315" s="81"/>
      <c r="Z315" s="81"/>
      <c r="AA315" s="81"/>
      <c r="AB315" s="81"/>
      <c r="AC315" s="81"/>
      <c r="AD315" s="81"/>
      <c r="AE315" s="81"/>
      <c r="AF315" s="81"/>
      <c r="AG315" s="81"/>
      <c r="AH315" s="81"/>
      <c r="AI315" s="81"/>
      <c r="AJ315" s="81"/>
      <c r="AK315" s="81"/>
      <c r="AL315" s="81"/>
      <c r="AM315" s="81"/>
      <c r="AN315" s="81"/>
      <c r="AO315" s="81"/>
      <c r="AP315" s="81"/>
      <c r="AQ315" s="81"/>
      <c r="AR315" s="83"/>
      <c r="AS315" s="77"/>
      <c r="AT315" s="43"/>
      <c r="AU315" s="43"/>
      <c r="AV315" s="43"/>
      <c r="AW315" s="43"/>
      <c r="AX315" s="43"/>
      <c r="AY315" s="43"/>
      <c r="AZ315" s="43"/>
      <c r="BA315" s="43"/>
      <c r="BB315" s="43"/>
      <c r="BC315" s="43"/>
      <c r="BD315" s="43"/>
      <c r="BE315" s="43"/>
      <c r="BF315" s="43"/>
      <c r="BG315" s="43"/>
      <c r="BH315" s="43"/>
      <c r="BI315" s="43"/>
      <c r="BJ315" s="43"/>
      <c r="BK315" s="43"/>
      <c r="BL315" s="43"/>
      <c r="BM315" s="43"/>
      <c r="BN315" s="43"/>
      <c r="BO315" s="43"/>
      <c r="BP315" s="43"/>
      <c r="BQ315" s="43"/>
      <c r="BR315" s="43"/>
      <c r="BS315" s="43"/>
      <c r="BT315" s="43"/>
      <c r="BU315" s="43"/>
      <c r="BV315" s="43"/>
      <c r="BW315" s="43"/>
      <c r="BX315" s="43"/>
      <c r="BY315" s="43"/>
      <c r="BZ315" s="43"/>
      <c r="CA315" s="78"/>
      <c r="CB315" s="74"/>
      <c r="CC315" s="43"/>
      <c r="CD315" s="43"/>
      <c r="CE315" s="43"/>
      <c r="CF315" s="43"/>
      <c r="CG315" s="43"/>
      <c r="CH315" s="43"/>
      <c r="CI315" s="43"/>
      <c r="CJ315" s="43"/>
      <c r="CK315" s="43"/>
      <c r="CL315" s="43"/>
      <c r="CM315" s="43"/>
      <c r="CN315" s="43"/>
      <c r="CO315" s="43"/>
      <c r="CP315" s="43"/>
      <c r="CQ315" s="43"/>
      <c r="CR315" s="43"/>
      <c r="CS315" s="43"/>
      <c r="CT315" s="43"/>
      <c r="CU315" s="43"/>
      <c r="CV315" s="43"/>
      <c r="CW315" s="43"/>
      <c r="CX315" s="43"/>
      <c r="CY315" s="43"/>
      <c r="CZ315" s="43"/>
      <c r="DA315" s="43"/>
      <c r="DB315" s="43"/>
      <c r="DC315" s="43"/>
      <c r="DD315" s="43"/>
      <c r="DE315" s="43"/>
      <c r="DF315" s="43"/>
      <c r="DG315" s="43"/>
      <c r="DH315" s="43"/>
      <c r="DI315" s="43"/>
      <c r="DJ315" s="43"/>
      <c r="DK315" s="43"/>
      <c r="DL315" s="43"/>
      <c r="DM315" s="43"/>
      <c r="DN315" s="43"/>
      <c r="DO315" s="43"/>
      <c r="DP315" s="43"/>
      <c r="DQ315" s="43"/>
      <c r="DR315" s="43"/>
      <c r="DS315" s="43"/>
      <c r="DT315" s="43"/>
      <c r="DU315" s="43"/>
      <c r="DV315" s="43"/>
      <c r="DW315" s="43"/>
      <c r="DX315" s="43"/>
      <c r="DY315" s="43"/>
      <c r="DZ315" s="43"/>
    </row>
    <row r="316" spans="2:130" s="46" customFormat="1" ht="14.25" customHeight="1" x14ac:dyDescent="0.15">
      <c r="B316" s="75" t="str">
        <f>IF(G316&lt;&gt;"",SUBTOTAL(3,$G$5:G316),"")</f>
        <v/>
      </c>
      <c r="C316" s="75"/>
      <c r="D316" s="75"/>
      <c r="E316" s="76"/>
      <c r="F316" s="76"/>
      <c r="G316" s="76"/>
      <c r="H316" s="61"/>
      <c r="I316" s="68">
        <v>0.5</v>
      </c>
      <c r="J316" s="80"/>
      <c r="K316" s="81"/>
      <c r="L316" s="81"/>
      <c r="M316" s="81"/>
      <c r="N316" s="81"/>
      <c r="O316" s="81"/>
      <c r="P316" s="81"/>
      <c r="Q316" s="81"/>
      <c r="R316" s="81"/>
      <c r="S316" s="81"/>
      <c r="T316" s="81"/>
      <c r="U316" s="81"/>
      <c r="V316" s="81"/>
      <c r="W316" s="81"/>
      <c r="X316" s="81"/>
      <c r="Y316" s="81"/>
      <c r="Z316" s="81"/>
      <c r="AA316" s="81"/>
      <c r="AB316" s="81"/>
      <c r="AC316" s="81"/>
      <c r="AD316" s="81"/>
      <c r="AE316" s="81"/>
      <c r="AF316" s="81"/>
      <c r="AG316" s="81"/>
      <c r="AH316" s="81"/>
      <c r="AI316" s="81"/>
      <c r="AJ316" s="81"/>
      <c r="AK316" s="81"/>
      <c r="AL316" s="81"/>
      <c r="AM316" s="81"/>
      <c r="AN316" s="81"/>
      <c r="AO316" s="81"/>
      <c r="AP316" s="81"/>
      <c r="AQ316" s="81"/>
      <c r="AR316" s="83"/>
      <c r="AS316" s="77"/>
      <c r="AT316" s="43"/>
      <c r="AU316" s="43"/>
      <c r="AV316" s="43"/>
      <c r="AW316" s="43"/>
      <c r="AX316" s="43"/>
      <c r="AY316" s="43"/>
      <c r="AZ316" s="43"/>
      <c r="BA316" s="43"/>
      <c r="BB316" s="43"/>
      <c r="BC316" s="43"/>
      <c r="BD316" s="43"/>
      <c r="BE316" s="43"/>
      <c r="BF316" s="43"/>
      <c r="BG316" s="43"/>
      <c r="BH316" s="43"/>
      <c r="BI316" s="43"/>
      <c r="BJ316" s="43"/>
      <c r="BK316" s="43"/>
      <c r="BL316" s="43"/>
      <c r="BM316" s="43"/>
      <c r="BN316" s="43"/>
      <c r="BO316" s="43"/>
      <c r="BP316" s="43"/>
      <c r="BQ316" s="43"/>
      <c r="BR316" s="43"/>
      <c r="BS316" s="43"/>
      <c r="BT316" s="43"/>
      <c r="BU316" s="43"/>
      <c r="BV316" s="43"/>
      <c r="BW316" s="43"/>
      <c r="BX316" s="43"/>
      <c r="BY316" s="43"/>
      <c r="BZ316" s="43"/>
      <c r="CA316" s="78"/>
      <c r="CB316" s="74"/>
      <c r="CC316" s="43"/>
      <c r="CD316" s="43"/>
      <c r="CE316" s="43"/>
      <c r="CF316" s="43"/>
      <c r="CG316" s="43"/>
      <c r="CH316" s="43"/>
      <c r="CI316" s="43"/>
      <c r="CJ316" s="43"/>
      <c r="CK316" s="43"/>
      <c r="CL316" s="43"/>
      <c r="CM316" s="43"/>
      <c r="CN316" s="43"/>
      <c r="CO316" s="43"/>
      <c r="CP316" s="43"/>
      <c r="CQ316" s="43"/>
      <c r="CR316" s="43"/>
      <c r="CS316" s="43"/>
      <c r="CT316" s="43"/>
      <c r="CU316" s="43"/>
      <c r="CV316" s="43"/>
      <c r="CW316" s="43"/>
      <c r="CX316" s="43"/>
      <c r="CY316" s="43"/>
      <c r="CZ316" s="43"/>
      <c r="DA316" s="43"/>
      <c r="DB316" s="43"/>
      <c r="DC316" s="43"/>
      <c r="DD316" s="43"/>
      <c r="DE316" s="43"/>
      <c r="DF316" s="43"/>
      <c r="DG316" s="43"/>
      <c r="DH316" s="43"/>
      <c r="DI316" s="43"/>
      <c r="DJ316" s="43"/>
      <c r="DK316" s="43"/>
      <c r="DL316" s="43"/>
      <c r="DM316" s="43"/>
      <c r="DN316" s="43"/>
      <c r="DO316" s="43"/>
      <c r="DP316" s="43"/>
      <c r="DQ316" s="43"/>
      <c r="DR316" s="43"/>
      <c r="DS316" s="43"/>
      <c r="DT316" s="43"/>
      <c r="DU316" s="43"/>
      <c r="DV316" s="43"/>
      <c r="DW316" s="43"/>
      <c r="DX316" s="43"/>
      <c r="DY316" s="43"/>
      <c r="DZ316" s="43"/>
    </row>
    <row r="317" spans="2:130" s="46" customFormat="1" ht="14.25" customHeight="1" x14ac:dyDescent="0.15">
      <c r="B317" s="75" t="str">
        <f>IF(G317&lt;&gt;"",SUBTOTAL(3,$G$5:G317),"")</f>
        <v/>
      </c>
      <c r="C317" s="75"/>
      <c r="D317" s="75"/>
      <c r="E317" s="76"/>
      <c r="F317" s="76"/>
      <c r="G317" s="76"/>
      <c r="H317" s="61"/>
      <c r="I317" s="68">
        <v>0.5</v>
      </c>
      <c r="J317" s="80" t="s">
        <v>237</v>
      </c>
      <c r="K317" s="81"/>
      <c r="L317" s="81"/>
      <c r="M317" s="81"/>
      <c r="N317" s="81"/>
      <c r="O317" s="81"/>
      <c r="P317" s="81"/>
      <c r="Q317" s="81"/>
      <c r="R317" s="81"/>
      <c r="S317" s="81"/>
      <c r="T317" s="81"/>
      <c r="U317" s="81"/>
      <c r="V317" s="81"/>
      <c r="W317" s="81"/>
      <c r="X317" s="81"/>
      <c r="Y317" s="81"/>
      <c r="Z317" s="81"/>
      <c r="AA317" s="81"/>
      <c r="AB317" s="81"/>
      <c r="AC317" s="81"/>
      <c r="AD317" s="81"/>
      <c r="AE317" s="81"/>
      <c r="AF317" s="81"/>
      <c r="AG317" s="81"/>
      <c r="AH317" s="81"/>
      <c r="AI317" s="81"/>
      <c r="AJ317" s="81"/>
      <c r="AK317" s="81"/>
      <c r="AL317" s="81"/>
      <c r="AM317" s="81"/>
      <c r="AN317" s="81"/>
      <c r="AO317" s="81"/>
      <c r="AP317" s="81"/>
      <c r="AQ317" s="81"/>
      <c r="AR317" s="83"/>
      <c r="AS317" s="77"/>
      <c r="AT317" s="43"/>
      <c r="AU317" s="43"/>
      <c r="AV317" s="43"/>
      <c r="AW317" s="43"/>
      <c r="AX317" s="43"/>
      <c r="AY317" s="43"/>
      <c r="AZ317" s="43"/>
      <c r="BA317" s="43"/>
      <c r="BB317" s="43"/>
      <c r="BC317" s="43"/>
      <c r="BD317" s="43"/>
      <c r="BE317" s="43"/>
      <c r="BF317" s="43"/>
      <c r="BG317" s="43"/>
      <c r="BH317" s="43"/>
      <c r="BI317" s="43"/>
      <c r="BJ317" s="43"/>
      <c r="BK317" s="43"/>
      <c r="BL317" s="43"/>
      <c r="BM317" s="43"/>
      <c r="BN317" s="43"/>
      <c r="BO317" s="43"/>
      <c r="BP317" s="43"/>
      <c r="BQ317" s="43"/>
      <c r="BR317" s="43"/>
      <c r="BS317" s="43"/>
      <c r="BT317" s="43"/>
      <c r="BU317" s="43"/>
      <c r="BV317" s="43"/>
      <c r="BW317" s="43"/>
      <c r="BX317" s="43"/>
      <c r="BY317" s="43"/>
      <c r="BZ317" s="43"/>
      <c r="CA317" s="78"/>
      <c r="CB317" s="74"/>
      <c r="CC317" s="43"/>
      <c r="CD317" s="43"/>
      <c r="CE317" s="43"/>
      <c r="CF317" s="43"/>
      <c r="CG317" s="43"/>
      <c r="CH317" s="43"/>
      <c r="CI317" s="43"/>
      <c r="CJ317" s="43"/>
      <c r="CK317" s="43"/>
      <c r="CL317" s="43"/>
      <c r="CM317" s="43"/>
      <c r="CN317" s="43"/>
      <c r="CO317" s="43"/>
      <c r="CP317" s="43"/>
      <c r="CQ317" s="43"/>
      <c r="CR317" s="43"/>
      <c r="CS317" s="43"/>
      <c r="CT317" s="43"/>
      <c r="CU317" s="43"/>
      <c r="CV317" s="43"/>
      <c r="CW317" s="43"/>
      <c r="CX317" s="43"/>
      <c r="CY317" s="43"/>
      <c r="CZ317" s="43"/>
      <c r="DA317" s="43"/>
      <c r="DB317" s="43"/>
      <c r="DC317" s="43"/>
      <c r="DD317" s="43"/>
      <c r="DE317" s="43"/>
      <c r="DF317" s="43"/>
      <c r="DG317" s="43"/>
      <c r="DH317" s="43"/>
      <c r="DI317" s="43"/>
      <c r="DJ317" s="43"/>
      <c r="DK317" s="43"/>
      <c r="DL317" s="43"/>
      <c r="DM317" s="43"/>
      <c r="DN317" s="43"/>
      <c r="DO317" s="43"/>
      <c r="DP317" s="43"/>
      <c r="DQ317" s="43"/>
      <c r="DR317" s="43"/>
      <c r="DS317" s="43"/>
      <c r="DT317" s="43"/>
      <c r="DU317" s="43"/>
      <c r="DV317" s="43"/>
      <c r="DW317" s="43"/>
      <c r="DX317" s="43"/>
      <c r="DY317" s="43"/>
      <c r="DZ317" s="43"/>
    </row>
    <row r="318" spans="2:130" s="46" customFormat="1" ht="14.25" customHeight="1" x14ac:dyDescent="0.15">
      <c r="B318" s="75" t="str">
        <f>IF(G318&lt;&gt;"",SUBTOTAL(3,$G$5:G318),"")</f>
        <v/>
      </c>
      <c r="C318" s="75"/>
      <c r="D318" s="75"/>
      <c r="E318" s="76"/>
      <c r="F318" s="76"/>
      <c r="G318" s="76"/>
      <c r="H318" s="61"/>
      <c r="I318" s="68">
        <v>0.5</v>
      </c>
      <c r="J318" s="80"/>
      <c r="K318" s="81"/>
      <c r="L318" s="81"/>
      <c r="M318" s="81"/>
      <c r="N318" s="81"/>
      <c r="O318" s="81"/>
      <c r="P318" s="81"/>
      <c r="Q318" s="81"/>
      <c r="R318" s="81"/>
      <c r="S318" s="81"/>
      <c r="T318" s="81"/>
      <c r="U318" s="81"/>
      <c r="V318" s="81"/>
      <c r="W318" s="81"/>
      <c r="X318" s="81"/>
      <c r="Y318" s="81"/>
      <c r="Z318" s="81"/>
      <c r="AA318" s="81"/>
      <c r="AB318" s="81"/>
      <c r="AC318" s="81"/>
      <c r="AD318" s="81"/>
      <c r="AE318" s="81"/>
      <c r="AF318" s="81"/>
      <c r="AG318" s="81"/>
      <c r="AH318" s="81"/>
      <c r="AI318" s="81"/>
      <c r="AJ318" s="81"/>
      <c r="AK318" s="81"/>
      <c r="AL318" s="81"/>
      <c r="AM318" s="81"/>
      <c r="AN318" s="81"/>
      <c r="AO318" s="81"/>
      <c r="AP318" s="81"/>
      <c r="AQ318" s="81"/>
      <c r="AR318" s="83"/>
      <c r="AS318" s="77"/>
      <c r="AT318" s="43"/>
      <c r="AU318" s="43"/>
      <c r="AV318" s="43"/>
      <c r="AW318" s="43"/>
      <c r="AX318" s="43"/>
      <c r="AY318" s="43"/>
      <c r="AZ318" s="43"/>
      <c r="BA318" s="43"/>
      <c r="BB318" s="43"/>
      <c r="BC318" s="43"/>
      <c r="BD318" s="43"/>
      <c r="BE318" s="43"/>
      <c r="BF318" s="43"/>
      <c r="BG318" s="43"/>
      <c r="BH318" s="43"/>
      <c r="BI318" s="43"/>
      <c r="BJ318" s="43"/>
      <c r="BK318" s="43"/>
      <c r="BL318" s="43"/>
      <c r="BM318" s="43"/>
      <c r="BN318" s="43"/>
      <c r="BO318" s="43"/>
      <c r="BP318" s="43"/>
      <c r="BQ318" s="43"/>
      <c r="BR318" s="43"/>
      <c r="BS318" s="43"/>
      <c r="BT318" s="43"/>
      <c r="BU318" s="43"/>
      <c r="BV318" s="43"/>
      <c r="BW318" s="43"/>
      <c r="BX318" s="43"/>
      <c r="BY318" s="43"/>
      <c r="BZ318" s="43"/>
      <c r="CA318" s="78"/>
      <c r="CB318" s="74"/>
      <c r="CC318" s="43"/>
      <c r="CD318" s="43"/>
      <c r="CE318" s="43"/>
      <c r="CF318" s="43"/>
      <c r="CG318" s="43"/>
      <c r="CH318" s="43"/>
      <c r="CI318" s="43"/>
      <c r="CJ318" s="43"/>
      <c r="CK318" s="43"/>
      <c r="CL318" s="43"/>
      <c r="CM318" s="43"/>
      <c r="CN318" s="43"/>
      <c r="CO318" s="43"/>
      <c r="CP318" s="43"/>
      <c r="CQ318" s="43"/>
      <c r="CR318" s="43"/>
      <c r="CS318" s="43"/>
      <c r="CT318" s="43"/>
      <c r="CU318" s="43"/>
      <c r="CV318" s="43"/>
      <c r="CW318" s="43"/>
      <c r="CX318" s="43"/>
      <c r="CY318" s="43"/>
      <c r="CZ318" s="43"/>
      <c r="DA318" s="43"/>
      <c r="DB318" s="43"/>
      <c r="DC318" s="43"/>
      <c r="DD318" s="43"/>
      <c r="DE318" s="43"/>
      <c r="DF318" s="43"/>
      <c r="DG318" s="43"/>
      <c r="DH318" s="43"/>
      <c r="DI318" s="43"/>
      <c r="DJ318" s="43"/>
      <c r="DK318" s="43"/>
      <c r="DL318" s="43"/>
      <c r="DM318" s="43"/>
      <c r="DN318" s="43"/>
      <c r="DO318" s="43"/>
      <c r="DP318" s="43"/>
      <c r="DQ318" s="43"/>
      <c r="DR318" s="43"/>
      <c r="DS318" s="43"/>
      <c r="DT318" s="43"/>
      <c r="DU318" s="43"/>
      <c r="DV318" s="43"/>
      <c r="DW318" s="43"/>
      <c r="DX318" s="43"/>
      <c r="DY318" s="43"/>
      <c r="DZ318" s="43"/>
    </row>
    <row r="319" spans="2:130" s="46" customFormat="1" ht="13.5" customHeight="1" x14ac:dyDescent="0.15">
      <c r="B319" s="75" t="str">
        <f>IF(G319&lt;&gt;"",SUBTOTAL(3,$G$5:G319),"")</f>
        <v/>
      </c>
      <c r="C319" s="75"/>
      <c r="D319" s="75"/>
      <c r="E319" s="76"/>
      <c r="F319" s="76"/>
      <c r="G319" s="76"/>
      <c r="H319" s="61"/>
      <c r="I319" s="62"/>
      <c r="J319" s="77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  <c r="AF319" s="43"/>
      <c r="AG319" s="43"/>
      <c r="AH319" s="43"/>
      <c r="AI319" s="43"/>
      <c r="AJ319" s="43"/>
      <c r="AK319" s="43"/>
      <c r="AL319" s="43"/>
      <c r="AM319" s="43"/>
      <c r="AN319" s="43"/>
      <c r="AO319" s="43"/>
      <c r="AP319" s="43"/>
      <c r="AQ319" s="43"/>
      <c r="AR319" s="78"/>
      <c r="AS319" s="77"/>
      <c r="AT319" s="43"/>
      <c r="AU319" s="43"/>
      <c r="AV319" s="43"/>
      <c r="AW319" s="43"/>
      <c r="AX319" s="43"/>
      <c r="AY319" s="43"/>
      <c r="AZ319" s="43"/>
      <c r="BA319" s="43"/>
      <c r="BB319" s="43"/>
      <c r="BC319" s="43"/>
      <c r="BD319" s="43"/>
      <c r="BE319" s="43"/>
      <c r="BF319" s="43"/>
      <c r="BG319" s="43"/>
      <c r="BH319" s="43"/>
      <c r="BI319" s="43"/>
      <c r="BJ319" s="43"/>
      <c r="BK319" s="43"/>
      <c r="BL319" s="43"/>
      <c r="BM319" s="43"/>
      <c r="BN319" s="43"/>
      <c r="BO319" s="43"/>
      <c r="BP319" s="43"/>
      <c r="BQ319" s="43"/>
      <c r="BR319" s="43"/>
      <c r="BS319" s="43"/>
      <c r="BT319" s="43"/>
      <c r="BU319" s="43"/>
      <c r="BV319" s="43"/>
      <c r="BW319" s="43"/>
      <c r="BX319" s="43"/>
      <c r="BY319" s="43"/>
      <c r="BZ319" s="43"/>
      <c r="CA319" s="78"/>
      <c r="CB319" s="74"/>
      <c r="CC319" s="43"/>
      <c r="CD319" s="43"/>
      <c r="CE319" s="43"/>
      <c r="CF319" s="43"/>
      <c r="CG319" s="43"/>
      <c r="CH319" s="43"/>
      <c r="CI319" s="43"/>
      <c r="CJ319" s="43"/>
      <c r="CK319" s="43"/>
      <c r="CL319" s="43"/>
      <c r="CM319" s="43"/>
      <c r="CN319" s="43"/>
      <c r="CO319" s="43"/>
      <c r="CP319" s="43"/>
      <c r="CQ319" s="43"/>
      <c r="CR319" s="43"/>
      <c r="CS319" s="43"/>
      <c r="CT319" s="43"/>
      <c r="CU319" s="43"/>
      <c r="CV319" s="43"/>
      <c r="CW319" s="43"/>
      <c r="CX319" s="43"/>
      <c r="CY319" s="43"/>
      <c r="CZ319" s="43"/>
      <c r="DA319" s="43"/>
      <c r="DB319" s="43"/>
      <c r="DC319" s="43"/>
      <c r="DD319" s="43"/>
      <c r="DE319" s="43"/>
      <c r="DF319" s="43"/>
      <c r="DG319" s="43"/>
      <c r="DH319" s="43"/>
      <c r="DI319" s="43"/>
      <c r="DJ319" s="43"/>
      <c r="DK319" s="43"/>
      <c r="DL319" s="43"/>
      <c r="DM319" s="43"/>
      <c r="DN319" s="43"/>
      <c r="DO319" s="43"/>
      <c r="DP319" s="43"/>
      <c r="DQ319" s="43"/>
      <c r="DR319" s="43"/>
      <c r="DS319" s="43"/>
      <c r="DT319" s="43"/>
      <c r="DU319" s="43"/>
      <c r="DV319" s="43"/>
      <c r="DW319" s="43"/>
      <c r="DX319" s="43"/>
      <c r="DY319" s="43"/>
      <c r="DZ319" s="43"/>
    </row>
    <row r="320" spans="2:130" ht="13.5" customHeight="1" x14ac:dyDescent="0.15">
      <c r="B320" s="58" t="str">
        <f>IF(G320&lt;&gt;"",SUBTOTAL(3,$G$5:G320),"")</f>
        <v/>
      </c>
      <c r="C320" s="58"/>
      <c r="D320" s="58"/>
      <c r="E320" s="59"/>
      <c r="F320" s="59"/>
      <c r="G320" s="59"/>
      <c r="H320" s="61"/>
      <c r="I320" s="62"/>
      <c r="J320" s="40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2"/>
      <c r="AS320" s="63"/>
      <c r="AT320" s="64"/>
      <c r="AU320" s="64"/>
      <c r="AV320" s="64"/>
      <c r="AW320" s="64"/>
      <c r="AX320" s="64"/>
      <c r="AY320" s="64"/>
      <c r="AZ320" s="64"/>
      <c r="BA320" s="64"/>
      <c r="BB320" s="64"/>
      <c r="BC320" s="64"/>
      <c r="BD320" s="64"/>
      <c r="BE320" s="64"/>
      <c r="BF320" s="64"/>
      <c r="BG320" s="64"/>
      <c r="BH320" s="64"/>
      <c r="BI320" s="64"/>
      <c r="BJ320" s="64"/>
      <c r="BK320" s="64"/>
      <c r="BL320" s="64"/>
      <c r="BM320" s="64"/>
      <c r="BN320" s="64"/>
      <c r="BO320" s="64"/>
      <c r="BP320" s="64"/>
      <c r="BQ320" s="64"/>
      <c r="BR320" s="64"/>
      <c r="BS320" s="64"/>
      <c r="BT320" s="64"/>
      <c r="BU320" s="64"/>
      <c r="BV320" s="64"/>
      <c r="BW320" s="64"/>
      <c r="BX320" s="64"/>
      <c r="BY320" s="64"/>
      <c r="BZ320" s="64"/>
      <c r="CA320" s="65"/>
      <c r="CB320" s="60"/>
      <c r="CH320" s="64"/>
      <c r="CI320" s="64"/>
      <c r="CJ320" s="64"/>
      <c r="CK320" s="64"/>
      <c r="CL320" s="64"/>
      <c r="CM320" s="64"/>
      <c r="CN320" s="64"/>
      <c r="CO320" s="64"/>
      <c r="CP320" s="64"/>
      <c r="CQ320" s="64"/>
      <c r="CR320" s="64"/>
      <c r="CS320" s="64"/>
      <c r="CT320" s="64"/>
      <c r="CU320" s="64"/>
      <c r="CV320" s="64"/>
      <c r="CW320" s="64"/>
      <c r="CX320" s="64"/>
      <c r="CY320" s="64"/>
      <c r="CZ320" s="64"/>
      <c r="DA320" s="64"/>
      <c r="DB320" s="64"/>
      <c r="DC320" s="64"/>
      <c r="DD320" s="64"/>
      <c r="DE320" s="64"/>
      <c r="DF320" s="64"/>
      <c r="DG320" s="64"/>
      <c r="DH320" s="64"/>
      <c r="DI320" s="64"/>
      <c r="DJ320" s="64"/>
      <c r="DK320" s="64"/>
      <c r="DL320" s="64"/>
      <c r="DM320" s="64"/>
      <c r="DN320" s="64"/>
      <c r="DO320" s="64"/>
      <c r="DP320" s="64"/>
      <c r="DQ320" s="64"/>
      <c r="DR320" s="64"/>
      <c r="DS320" s="64"/>
      <c r="DT320" s="64"/>
      <c r="DU320" s="64"/>
      <c r="DV320" s="64"/>
      <c r="DW320" s="64"/>
      <c r="DX320" s="64"/>
      <c r="DY320" s="64"/>
      <c r="DZ320" s="64"/>
    </row>
    <row r="321" spans="2:130" ht="13.5" customHeight="1" x14ac:dyDescent="0.15">
      <c r="B321" s="58" t="str">
        <f>IF(G321&lt;&gt;"",SUBTOTAL(3,$G$5:G321),"")</f>
        <v/>
      </c>
      <c r="C321" s="58"/>
      <c r="D321" s="58"/>
      <c r="E321" s="59"/>
      <c r="F321" s="59"/>
      <c r="G321" s="59"/>
      <c r="H321" s="61"/>
      <c r="I321" s="62"/>
      <c r="J321" s="63"/>
      <c r="K321" s="64"/>
      <c r="L321" s="64"/>
      <c r="M321" s="64"/>
      <c r="N321" s="64"/>
      <c r="O321" s="64"/>
      <c r="P321" s="64"/>
      <c r="Q321" s="64"/>
      <c r="R321" s="64"/>
      <c r="S321" s="64"/>
      <c r="T321" s="64"/>
      <c r="U321" s="64"/>
      <c r="V321" s="64"/>
      <c r="W321" s="64"/>
      <c r="X321" s="64"/>
      <c r="Y321" s="64"/>
      <c r="Z321" s="64"/>
      <c r="AA321" s="64"/>
      <c r="AB321" s="64"/>
      <c r="AC321" s="64"/>
      <c r="AD321" s="64"/>
      <c r="AE321" s="64"/>
      <c r="AF321" s="64"/>
      <c r="AG321" s="64"/>
      <c r="AH321" s="64"/>
      <c r="AI321" s="64"/>
      <c r="AJ321" s="64"/>
      <c r="AK321" s="64"/>
      <c r="AL321" s="64"/>
      <c r="AM321" s="64"/>
      <c r="AN321" s="64"/>
      <c r="AO321" s="64"/>
      <c r="AP321" s="64"/>
      <c r="AQ321" s="64"/>
      <c r="AR321" s="65"/>
      <c r="AS321" s="63"/>
      <c r="AT321" s="64"/>
      <c r="AU321" s="64"/>
      <c r="AV321" s="64"/>
      <c r="AW321" s="64"/>
      <c r="AX321" s="64"/>
      <c r="AY321" s="64"/>
      <c r="AZ321" s="64"/>
      <c r="BA321" s="64"/>
      <c r="BB321" s="64"/>
      <c r="BC321" s="64"/>
      <c r="BD321" s="64"/>
      <c r="BE321" s="64"/>
      <c r="BF321" s="64"/>
      <c r="BG321" s="64"/>
      <c r="BH321" s="64"/>
      <c r="BI321" s="64"/>
      <c r="BJ321" s="64"/>
      <c r="BK321" s="64"/>
      <c r="BL321" s="64"/>
      <c r="BM321" s="64"/>
      <c r="BN321" s="64"/>
      <c r="BO321" s="64"/>
      <c r="BP321" s="64"/>
      <c r="BQ321" s="64"/>
      <c r="BR321" s="64"/>
      <c r="BS321" s="64"/>
      <c r="BT321" s="64"/>
      <c r="BU321" s="64"/>
      <c r="BV321" s="64"/>
      <c r="BW321" s="64"/>
      <c r="BX321" s="64"/>
      <c r="BY321" s="64"/>
      <c r="BZ321" s="64"/>
      <c r="CA321" s="65"/>
      <c r="CB321" s="60"/>
      <c r="CH321" s="64"/>
      <c r="CI321" s="64"/>
      <c r="CJ321" s="64"/>
      <c r="CK321" s="64"/>
      <c r="CL321" s="64"/>
      <c r="CM321" s="64"/>
      <c r="CN321" s="64"/>
      <c r="CO321" s="64"/>
      <c r="CP321" s="64"/>
      <c r="CQ321" s="64"/>
      <c r="CR321" s="64"/>
      <c r="CS321" s="64"/>
      <c r="CT321" s="64"/>
      <c r="CU321" s="64"/>
      <c r="CV321" s="64"/>
      <c r="CW321" s="64"/>
      <c r="CX321" s="64"/>
      <c r="CY321" s="64"/>
      <c r="CZ321" s="64"/>
      <c r="DA321" s="64"/>
      <c r="DB321" s="64"/>
      <c r="DC321" s="64"/>
      <c r="DD321" s="64"/>
      <c r="DE321" s="64"/>
      <c r="DF321" s="64"/>
      <c r="DG321" s="64"/>
      <c r="DH321" s="64"/>
      <c r="DI321" s="64"/>
      <c r="DJ321" s="64"/>
      <c r="DK321" s="64"/>
      <c r="DL321" s="64"/>
      <c r="DM321" s="64"/>
      <c r="DN321" s="64"/>
      <c r="DO321" s="64"/>
      <c r="DP321" s="64"/>
      <c r="DQ321" s="64"/>
      <c r="DR321" s="64"/>
      <c r="DS321" s="64"/>
      <c r="DT321" s="64"/>
      <c r="DU321" s="64"/>
      <c r="DV321" s="64"/>
      <c r="DW321" s="64"/>
      <c r="DX321" s="64"/>
      <c r="DY321" s="64"/>
      <c r="DZ321" s="64"/>
    </row>
    <row r="322" spans="2:130" x14ac:dyDescent="0.15">
      <c r="B322" s="58" t="str">
        <f>IF(G322&lt;&gt;"",SUBTOTAL(3,$G$5:G322),"")</f>
        <v/>
      </c>
      <c r="C322" s="58"/>
      <c r="D322" s="58"/>
      <c r="E322" s="59"/>
      <c r="F322" s="59"/>
      <c r="G322" s="59"/>
      <c r="H322" s="61"/>
      <c r="I322" s="62"/>
      <c r="J322" s="63"/>
      <c r="K322" s="64"/>
      <c r="L322" s="64"/>
      <c r="M322" s="64"/>
      <c r="N322" s="64"/>
      <c r="O322" s="64"/>
      <c r="P322" s="64"/>
      <c r="Q322" s="64"/>
      <c r="R322" s="64"/>
      <c r="S322" s="64"/>
      <c r="T322" s="64"/>
      <c r="U322" s="64"/>
      <c r="V322" s="64"/>
      <c r="W322" s="64"/>
      <c r="X322" s="64"/>
      <c r="Y322" s="64"/>
      <c r="Z322" s="64"/>
      <c r="AA322" s="64"/>
      <c r="AB322" s="64"/>
      <c r="AC322" s="64"/>
      <c r="AD322" s="64"/>
      <c r="AE322" s="64"/>
      <c r="AF322" s="64"/>
      <c r="AG322" s="64"/>
      <c r="AH322" s="64"/>
      <c r="AI322" s="64"/>
      <c r="AJ322" s="64"/>
      <c r="AK322" s="64"/>
      <c r="AL322" s="64"/>
      <c r="AM322" s="64"/>
      <c r="AN322" s="64"/>
      <c r="AO322" s="64"/>
      <c r="AP322" s="64"/>
      <c r="AQ322" s="64"/>
      <c r="AR322" s="65"/>
      <c r="AS322" s="63"/>
      <c r="AT322" s="64"/>
      <c r="AU322" s="64"/>
      <c r="AV322" s="64"/>
      <c r="AW322" s="64"/>
      <c r="AX322" s="64"/>
      <c r="AY322" s="64"/>
      <c r="AZ322" s="64"/>
      <c r="BA322" s="64"/>
      <c r="BB322" s="64"/>
      <c r="BC322" s="64"/>
      <c r="BD322" s="64"/>
      <c r="BE322" s="64"/>
      <c r="BF322" s="64"/>
      <c r="BG322" s="64"/>
      <c r="BH322" s="64"/>
      <c r="BI322" s="64"/>
      <c r="BJ322" s="64"/>
      <c r="BK322" s="64"/>
      <c r="BL322" s="64"/>
      <c r="BM322" s="64"/>
      <c r="BN322" s="64"/>
      <c r="BO322" s="64"/>
      <c r="BP322" s="64"/>
      <c r="BQ322" s="64"/>
      <c r="BR322" s="64"/>
      <c r="BS322" s="64"/>
      <c r="BT322" s="64"/>
      <c r="BU322" s="64"/>
      <c r="BV322" s="64"/>
      <c r="BW322" s="64"/>
      <c r="BX322" s="64"/>
      <c r="BY322" s="64"/>
      <c r="BZ322" s="64"/>
      <c r="CA322" s="65"/>
      <c r="CB322" s="60"/>
      <c r="CH322" s="64"/>
      <c r="CI322" s="64"/>
      <c r="CJ322" s="64"/>
      <c r="CK322" s="64"/>
      <c r="CL322" s="64"/>
      <c r="CM322" s="64"/>
      <c r="CN322" s="64"/>
      <c r="CO322" s="64"/>
      <c r="CP322" s="64"/>
      <c r="CQ322" s="64"/>
      <c r="CR322" s="64"/>
      <c r="CS322" s="64"/>
      <c r="CT322" s="64"/>
      <c r="CU322" s="64"/>
      <c r="CV322" s="64"/>
      <c r="CW322" s="64"/>
      <c r="CX322" s="64"/>
      <c r="CY322" s="64"/>
      <c r="CZ322" s="64"/>
      <c r="DA322" s="64"/>
      <c r="DB322" s="64"/>
      <c r="DC322" s="64"/>
      <c r="DD322" s="64"/>
      <c r="DE322" s="64"/>
      <c r="DF322" s="64"/>
      <c r="DG322" s="64"/>
      <c r="DH322" s="64"/>
      <c r="DI322" s="64"/>
      <c r="DJ322" s="64"/>
      <c r="DK322" s="64"/>
      <c r="DL322" s="64"/>
      <c r="DM322" s="64"/>
      <c r="DN322" s="64"/>
      <c r="DO322" s="64"/>
      <c r="DP322" s="64"/>
      <c r="DQ322" s="64"/>
      <c r="DR322" s="64"/>
      <c r="DS322" s="64"/>
      <c r="DT322" s="64"/>
      <c r="DU322" s="64"/>
      <c r="DV322" s="64"/>
      <c r="DW322" s="64"/>
      <c r="DX322" s="64"/>
      <c r="DY322" s="64"/>
      <c r="DZ322" s="64"/>
    </row>
    <row r="323" spans="2:130" x14ac:dyDescent="0.15">
      <c r="B323" s="58" t="str">
        <f>IF(G323&lt;&gt;"",SUBTOTAL(3,$G$5:G323),"")</f>
        <v/>
      </c>
      <c r="C323" s="58"/>
      <c r="D323" s="58"/>
      <c r="E323" s="59"/>
      <c r="F323" s="59"/>
      <c r="G323" s="59"/>
      <c r="H323" s="61"/>
      <c r="I323" s="62"/>
      <c r="J323" s="63"/>
      <c r="K323" s="64"/>
      <c r="L323" s="64"/>
      <c r="M323" s="64"/>
      <c r="N323" s="64"/>
      <c r="O323" s="64"/>
      <c r="P323" s="64"/>
      <c r="Q323" s="64"/>
      <c r="R323" s="64"/>
      <c r="S323" s="64"/>
      <c r="T323" s="64"/>
      <c r="U323" s="64"/>
      <c r="V323" s="64"/>
      <c r="W323" s="64"/>
      <c r="X323" s="64"/>
      <c r="Y323" s="64"/>
      <c r="Z323" s="64"/>
      <c r="AA323" s="64"/>
      <c r="AB323" s="64"/>
      <c r="AC323" s="64"/>
      <c r="AD323" s="64"/>
      <c r="AE323" s="64"/>
      <c r="AF323" s="64"/>
      <c r="AG323" s="64"/>
      <c r="AH323" s="64"/>
      <c r="AI323" s="64"/>
      <c r="AJ323" s="64"/>
      <c r="AK323" s="64"/>
      <c r="AL323" s="64"/>
      <c r="AM323" s="64"/>
      <c r="AN323" s="64"/>
      <c r="AO323" s="64"/>
      <c r="AP323" s="64"/>
      <c r="AQ323" s="64"/>
      <c r="AR323" s="65"/>
      <c r="AS323" s="63"/>
      <c r="AT323" s="64"/>
      <c r="AU323" s="64"/>
      <c r="AV323" s="64"/>
      <c r="AW323" s="64"/>
      <c r="AX323" s="64"/>
      <c r="AY323" s="64"/>
      <c r="AZ323" s="64"/>
      <c r="BA323" s="64"/>
      <c r="BB323" s="64"/>
      <c r="BC323" s="64"/>
      <c r="BD323" s="64"/>
      <c r="BE323" s="64"/>
      <c r="BF323" s="64"/>
      <c r="BG323" s="64"/>
      <c r="BH323" s="64"/>
      <c r="BI323" s="64"/>
      <c r="BJ323" s="64"/>
      <c r="BK323" s="64"/>
      <c r="BL323" s="64"/>
      <c r="BM323" s="64"/>
      <c r="BN323" s="64"/>
      <c r="BO323" s="64"/>
      <c r="BP323" s="64"/>
      <c r="BQ323" s="64"/>
      <c r="BR323" s="64"/>
      <c r="BS323" s="64"/>
      <c r="BT323" s="64"/>
      <c r="BU323" s="64"/>
      <c r="BV323" s="64"/>
      <c r="BW323" s="64"/>
      <c r="BX323" s="64"/>
      <c r="BY323" s="64"/>
      <c r="BZ323" s="64"/>
      <c r="CA323" s="65"/>
      <c r="CB323" s="60"/>
      <c r="CH323" s="64"/>
      <c r="CI323" s="64"/>
      <c r="CJ323" s="64"/>
      <c r="CK323" s="64"/>
      <c r="CL323" s="64"/>
      <c r="CM323" s="64"/>
      <c r="CN323" s="64"/>
      <c r="CO323" s="64"/>
      <c r="CP323" s="64"/>
      <c r="CQ323" s="64"/>
      <c r="CR323" s="64"/>
      <c r="CS323" s="64"/>
      <c r="CT323" s="64"/>
      <c r="CU323" s="64"/>
      <c r="CV323" s="64"/>
      <c r="CW323" s="64"/>
      <c r="CX323" s="64"/>
      <c r="CY323" s="64"/>
      <c r="CZ323" s="64"/>
      <c r="DA323" s="64"/>
      <c r="DB323" s="64"/>
      <c r="DC323" s="64"/>
      <c r="DD323" s="64"/>
      <c r="DE323" s="64"/>
      <c r="DF323" s="64"/>
      <c r="DG323" s="64"/>
      <c r="DH323" s="64"/>
      <c r="DI323" s="64"/>
      <c r="DJ323" s="64"/>
      <c r="DK323" s="64"/>
      <c r="DL323" s="64"/>
      <c r="DM323" s="64"/>
      <c r="DN323" s="64"/>
      <c r="DO323" s="64"/>
      <c r="DP323" s="64"/>
      <c r="DQ323" s="64"/>
      <c r="DR323" s="64"/>
      <c r="DS323" s="64"/>
      <c r="DT323" s="64"/>
      <c r="DU323" s="64"/>
      <c r="DV323" s="64"/>
      <c r="DW323" s="64"/>
      <c r="DX323" s="64"/>
      <c r="DY323" s="64"/>
      <c r="DZ323" s="64"/>
    </row>
    <row r="324" spans="2:130" x14ac:dyDescent="0.15">
      <c r="B324" s="58" t="str">
        <f>IF(G324&lt;&gt;"",SUBTOTAL(3,$G$5:G324),"")</f>
        <v/>
      </c>
      <c r="C324" s="58"/>
      <c r="D324" s="58"/>
      <c r="E324" s="59"/>
      <c r="F324" s="59"/>
      <c r="G324" s="59"/>
      <c r="H324" s="61"/>
      <c r="I324" s="62"/>
      <c r="J324" s="63"/>
      <c r="K324" s="64"/>
      <c r="L324" s="64"/>
      <c r="M324" s="64"/>
      <c r="N324" s="64"/>
      <c r="O324" s="64"/>
      <c r="P324" s="64"/>
      <c r="Q324" s="64"/>
      <c r="R324" s="64"/>
      <c r="S324" s="64"/>
      <c r="T324" s="64"/>
      <c r="U324" s="64"/>
      <c r="V324" s="64"/>
      <c r="W324" s="64"/>
      <c r="X324" s="64"/>
      <c r="Y324" s="64"/>
      <c r="Z324" s="64"/>
      <c r="AA324" s="64"/>
      <c r="AB324" s="64"/>
      <c r="AC324" s="64"/>
      <c r="AD324" s="64"/>
      <c r="AE324" s="64"/>
      <c r="AF324" s="64"/>
      <c r="AG324" s="64"/>
      <c r="AH324" s="64"/>
      <c r="AI324" s="64"/>
      <c r="AJ324" s="64"/>
      <c r="AK324" s="64"/>
      <c r="AL324" s="64"/>
      <c r="AM324" s="64"/>
      <c r="AN324" s="64"/>
      <c r="AO324" s="64"/>
      <c r="AP324" s="64"/>
      <c r="AQ324" s="64"/>
      <c r="AR324" s="65"/>
      <c r="AS324" s="63"/>
      <c r="AT324" s="64"/>
      <c r="AU324" s="64"/>
      <c r="AV324" s="64"/>
      <c r="AW324" s="64"/>
      <c r="AX324" s="64"/>
      <c r="AY324" s="64"/>
      <c r="AZ324" s="64"/>
      <c r="BA324" s="64"/>
      <c r="BB324" s="64"/>
      <c r="BC324" s="64"/>
      <c r="BD324" s="64"/>
      <c r="BE324" s="64"/>
      <c r="BF324" s="64"/>
      <c r="BG324" s="64"/>
      <c r="BH324" s="64"/>
      <c r="BI324" s="64"/>
      <c r="BJ324" s="64"/>
      <c r="BK324" s="64"/>
      <c r="BL324" s="64"/>
      <c r="BM324" s="64"/>
      <c r="BN324" s="64"/>
      <c r="BO324" s="64"/>
      <c r="BP324" s="64"/>
      <c r="BQ324" s="64"/>
      <c r="BR324" s="64"/>
      <c r="BS324" s="64"/>
      <c r="BT324" s="64"/>
      <c r="BU324" s="64"/>
      <c r="BV324" s="64"/>
      <c r="BW324" s="64"/>
      <c r="BX324" s="64"/>
      <c r="BY324" s="64"/>
      <c r="BZ324" s="64"/>
      <c r="CA324" s="65"/>
      <c r="CB324" s="60"/>
      <c r="CH324" s="64"/>
      <c r="CI324" s="64"/>
      <c r="CJ324" s="64"/>
      <c r="CK324" s="64"/>
      <c r="CL324" s="64"/>
      <c r="CM324" s="64"/>
      <c r="CN324" s="64"/>
      <c r="CO324" s="64"/>
      <c r="CP324" s="64"/>
      <c r="CQ324" s="64"/>
      <c r="CR324" s="64"/>
      <c r="CS324" s="64"/>
      <c r="CT324" s="64"/>
      <c r="CU324" s="64"/>
      <c r="CV324" s="64"/>
      <c r="CW324" s="64"/>
      <c r="CX324" s="64"/>
      <c r="CY324" s="64"/>
      <c r="CZ324" s="64"/>
      <c r="DA324" s="64"/>
      <c r="DB324" s="64"/>
      <c r="DC324" s="64"/>
      <c r="DD324" s="64"/>
      <c r="DE324" s="64"/>
      <c r="DF324" s="64"/>
      <c r="DG324" s="64"/>
      <c r="DH324" s="64"/>
      <c r="DI324" s="64"/>
      <c r="DJ324" s="64"/>
      <c r="DK324" s="64"/>
      <c r="DL324" s="64"/>
      <c r="DM324" s="64"/>
      <c r="DN324" s="64"/>
      <c r="DO324" s="64"/>
      <c r="DP324" s="64"/>
      <c r="DQ324" s="64"/>
      <c r="DR324" s="64"/>
      <c r="DS324" s="64"/>
      <c r="DT324" s="64"/>
      <c r="DU324" s="64"/>
      <c r="DV324" s="64"/>
      <c r="DW324" s="64"/>
      <c r="DX324" s="64"/>
      <c r="DY324" s="64"/>
      <c r="DZ324" s="64"/>
    </row>
    <row r="325" spans="2:130" x14ac:dyDescent="0.15">
      <c r="B325" s="58" t="str">
        <f>IF(G325&lt;&gt;"",SUBTOTAL(3,$G$5:G325),"")</f>
        <v/>
      </c>
      <c r="C325" s="58"/>
      <c r="D325" s="58"/>
      <c r="E325" s="59"/>
      <c r="F325" s="59"/>
      <c r="G325" s="59"/>
      <c r="H325" s="61"/>
      <c r="I325" s="62"/>
      <c r="J325" s="63"/>
      <c r="K325" s="64"/>
      <c r="L325" s="64"/>
      <c r="M325" s="64"/>
      <c r="N325" s="64"/>
      <c r="O325" s="64"/>
      <c r="P325" s="64"/>
      <c r="Q325" s="64"/>
      <c r="R325" s="64"/>
      <c r="S325" s="64"/>
      <c r="T325" s="64"/>
      <c r="U325" s="64"/>
      <c r="V325" s="64"/>
      <c r="W325" s="64"/>
      <c r="X325" s="64"/>
      <c r="Y325" s="64"/>
      <c r="Z325" s="64"/>
      <c r="AA325" s="64"/>
      <c r="AB325" s="64"/>
      <c r="AC325" s="64"/>
      <c r="AD325" s="64"/>
      <c r="AE325" s="64"/>
      <c r="AF325" s="64"/>
      <c r="AG325" s="64"/>
      <c r="AH325" s="64"/>
      <c r="AI325" s="64"/>
      <c r="AJ325" s="64"/>
      <c r="AK325" s="64"/>
      <c r="AL325" s="64"/>
      <c r="AM325" s="64"/>
      <c r="AN325" s="64"/>
      <c r="AO325" s="64"/>
      <c r="AP325" s="64"/>
      <c r="AQ325" s="64"/>
      <c r="AR325" s="65"/>
      <c r="AS325" s="63"/>
      <c r="AT325" s="64"/>
      <c r="AU325" s="64"/>
      <c r="AV325" s="64"/>
      <c r="AW325" s="64"/>
      <c r="AX325" s="64"/>
      <c r="AY325" s="64"/>
      <c r="AZ325" s="64"/>
      <c r="BA325" s="64"/>
      <c r="BB325" s="64"/>
      <c r="BC325" s="64"/>
      <c r="BD325" s="64"/>
      <c r="BE325" s="64"/>
      <c r="BF325" s="64"/>
      <c r="BG325" s="64"/>
      <c r="BH325" s="64"/>
      <c r="BI325" s="64"/>
      <c r="BJ325" s="64"/>
      <c r="BK325" s="64"/>
      <c r="BL325" s="64"/>
      <c r="BM325" s="64"/>
      <c r="BN325" s="64"/>
      <c r="BO325" s="64"/>
      <c r="BP325" s="64"/>
      <c r="BQ325" s="64"/>
      <c r="BR325" s="64"/>
      <c r="BS325" s="64"/>
      <c r="BT325" s="64"/>
      <c r="BU325" s="64"/>
      <c r="BV325" s="64"/>
      <c r="BW325" s="64"/>
      <c r="BX325" s="64"/>
      <c r="BY325" s="64"/>
      <c r="BZ325" s="64"/>
      <c r="CA325" s="65"/>
      <c r="CB325" s="60"/>
      <c r="CH325" s="64"/>
      <c r="CI325" s="64"/>
      <c r="CJ325" s="64"/>
      <c r="CK325" s="64"/>
      <c r="CL325" s="64"/>
      <c r="CM325" s="64"/>
      <c r="CN325" s="64"/>
      <c r="CO325" s="64"/>
      <c r="CP325" s="64"/>
      <c r="CQ325" s="64"/>
      <c r="CR325" s="64"/>
      <c r="CS325" s="64"/>
      <c r="CT325" s="64"/>
      <c r="CU325" s="64"/>
      <c r="CV325" s="64"/>
      <c r="CW325" s="64"/>
      <c r="CX325" s="64"/>
      <c r="CY325" s="64"/>
      <c r="CZ325" s="64"/>
      <c r="DA325" s="64"/>
      <c r="DB325" s="64"/>
      <c r="DC325" s="64"/>
      <c r="DD325" s="64"/>
      <c r="DE325" s="64"/>
      <c r="DF325" s="64"/>
      <c r="DG325" s="64"/>
      <c r="DH325" s="64"/>
      <c r="DI325" s="64"/>
      <c r="DJ325" s="64"/>
      <c r="DK325" s="64"/>
      <c r="DL325" s="64"/>
      <c r="DM325" s="64"/>
      <c r="DN325" s="64"/>
      <c r="DO325" s="64"/>
      <c r="DP325" s="64"/>
      <c r="DQ325" s="64"/>
      <c r="DR325" s="64"/>
      <c r="DS325" s="64"/>
      <c r="DT325" s="64"/>
      <c r="DU325" s="64"/>
      <c r="DV325" s="64"/>
      <c r="DW325" s="64"/>
      <c r="DX325" s="64"/>
      <c r="DY325" s="64"/>
      <c r="DZ325" s="64"/>
    </row>
    <row r="326" spans="2:130" ht="15.75" x14ac:dyDescent="0.15">
      <c r="B326" s="58" t="str">
        <f>IF(G326&lt;&gt;"",SUBTOTAL(3,$G$5:G326),"")</f>
        <v/>
      </c>
      <c r="C326" s="58"/>
      <c r="D326" s="58"/>
      <c r="E326" s="59"/>
      <c r="F326" s="59"/>
      <c r="G326" s="59"/>
      <c r="H326" s="61"/>
      <c r="I326" s="62"/>
      <c r="J326" s="40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2"/>
      <c r="AS326" s="63"/>
      <c r="AT326" s="64"/>
      <c r="AU326" s="64"/>
      <c r="AV326" s="64"/>
      <c r="AW326" s="64"/>
      <c r="AX326" s="64"/>
      <c r="AY326" s="64"/>
      <c r="AZ326" s="64"/>
      <c r="BA326" s="64"/>
      <c r="BB326" s="64"/>
      <c r="BC326" s="64"/>
      <c r="BD326" s="64"/>
      <c r="BE326" s="64"/>
      <c r="BF326" s="64"/>
      <c r="BG326" s="64"/>
      <c r="BH326" s="64"/>
      <c r="BI326" s="64"/>
      <c r="BJ326" s="64"/>
      <c r="BK326" s="64"/>
      <c r="BL326" s="64"/>
      <c r="BM326" s="64"/>
      <c r="BN326" s="64"/>
      <c r="BO326" s="64"/>
      <c r="BP326" s="64"/>
      <c r="BQ326" s="64"/>
      <c r="BR326" s="64"/>
      <c r="BS326" s="64"/>
      <c r="BT326" s="64"/>
      <c r="BU326" s="64"/>
      <c r="BV326" s="64"/>
      <c r="BW326" s="64"/>
      <c r="BX326" s="64"/>
      <c r="BY326" s="64"/>
      <c r="BZ326" s="64"/>
      <c r="CA326" s="65"/>
      <c r="CB326" s="60"/>
      <c r="CH326" s="64"/>
      <c r="CI326" s="69"/>
      <c r="CJ326" s="69"/>
      <c r="CK326" s="69"/>
      <c r="CL326" s="69"/>
      <c r="CM326" s="69"/>
      <c r="CN326" s="69"/>
      <c r="CO326" s="69"/>
      <c r="CP326" s="69"/>
      <c r="CQ326" s="69"/>
      <c r="CR326" s="69"/>
      <c r="CS326" s="64"/>
      <c r="CT326" s="64"/>
      <c r="CU326" s="64"/>
      <c r="CV326" s="64"/>
      <c r="CW326" s="64"/>
      <c r="CX326" s="64"/>
      <c r="CY326" s="64"/>
      <c r="CZ326" s="64"/>
      <c r="DA326" s="64"/>
      <c r="DB326" s="64"/>
      <c r="DC326" s="64"/>
      <c r="DD326" s="64"/>
      <c r="DE326" s="64"/>
      <c r="DF326" s="64"/>
      <c r="DG326" s="69"/>
      <c r="DH326" s="69"/>
      <c r="DI326" s="69"/>
      <c r="DJ326" s="69"/>
      <c r="DK326" s="69"/>
      <c r="DL326" s="69"/>
      <c r="DM326" s="69"/>
      <c r="DN326" s="69"/>
      <c r="DO326" s="69"/>
      <c r="DP326" s="69"/>
      <c r="DQ326" s="64"/>
      <c r="DR326" s="64"/>
      <c r="DS326" s="64"/>
      <c r="DT326" s="64"/>
      <c r="DU326" s="64"/>
      <c r="DV326" s="64"/>
      <c r="DW326" s="64"/>
      <c r="DX326" s="64"/>
      <c r="DY326" s="64"/>
      <c r="DZ326" s="64"/>
    </row>
    <row r="327" spans="2:130" x14ac:dyDescent="0.15">
      <c r="B327" s="58" t="str">
        <f>IF(G327&lt;&gt;"",SUBTOTAL(3,$G$5:G327),"")</f>
        <v/>
      </c>
      <c r="C327" s="58"/>
      <c r="D327" s="58"/>
      <c r="E327" s="59"/>
      <c r="F327" s="59"/>
      <c r="G327" s="59"/>
      <c r="H327" s="61"/>
      <c r="I327" s="62"/>
      <c r="J327" s="63"/>
      <c r="K327" s="64"/>
      <c r="L327" s="64"/>
      <c r="M327" s="64"/>
      <c r="N327" s="64"/>
      <c r="O327" s="64"/>
      <c r="P327" s="64"/>
      <c r="Q327" s="64"/>
      <c r="R327" s="64"/>
      <c r="S327" s="64"/>
      <c r="T327" s="64"/>
      <c r="U327" s="64"/>
      <c r="V327" s="64"/>
      <c r="W327" s="64"/>
      <c r="X327" s="64"/>
      <c r="Y327" s="64"/>
      <c r="Z327" s="64"/>
      <c r="AA327" s="64"/>
      <c r="AB327" s="64"/>
      <c r="AC327" s="64"/>
      <c r="AD327" s="64"/>
      <c r="AE327" s="64"/>
      <c r="AF327" s="64"/>
      <c r="AG327" s="64"/>
      <c r="AH327" s="64"/>
      <c r="AI327" s="64"/>
      <c r="AJ327" s="64"/>
      <c r="AK327" s="64"/>
      <c r="AL327" s="64"/>
      <c r="AM327" s="64"/>
      <c r="AN327" s="64"/>
      <c r="AO327" s="64"/>
      <c r="AP327" s="64"/>
      <c r="AQ327" s="64"/>
      <c r="AR327" s="65"/>
      <c r="AS327" s="63"/>
      <c r="AT327" s="64"/>
      <c r="AU327" s="64"/>
      <c r="AV327" s="64"/>
      <c r="AW327" s="64"/>
      <c r="AX327" s="64"/>
      <c r="AY327" s="64"/>
      <c r="AZ327" s="64"/>
      <c r="BA327" s="64"/>
      <c r="BB327" s="64"/>
      <c r="BC327" s="64"/>
      <c r="BD327" s="64"/>
      <c r="BE327" s="64"/>
      <c r="BF327" s="64"/>
      <c r="BG327" s="64"/>
      <c r="BH327" s="64"/>
      <c r="BI327" s="64"/>
      <c r="BJ327" s="64"/>
      <c r="BK327" s="64"/>
      <c r="BL327" s="64"/>
      <c r="BM327" s="64"/>
      <c r="BN327" s="64"/>
      <c r="BO327" s="64"/>
      <c r="BP327" s="64"/>
      <c r="BQ327" s="64"/>
      <c r="BR327" s="64"/>
      <c r="BS327" s="64"/>
      <c r="BT327" s="64"/>
      <c r="BU327" s="64"/>
      <c r="BV327" s="64"/>
      <c r="BW327" s="64"/>
      <c r="BX327" s="64"/>
      <c r="BY327" s="64"/>
      <c r="BZ327" s="64"/>
      <c r="CA327" s="65"/>
      <c r="CB327" s="60"/>
      <c r="CH327" s="64"/>
      <c r="CI327" s="64"/>
      <c r="CJ327" s="64"/>
      <c r="CK327" s="64"/>
      <c r="CL327" s="64"/>
      <c r="CM327" s="64"/>
      <c r="CN327" s="64"/>
      <c r="CO327" s="64"/>
      <c r="CP327" s="64"/>
      <c r="CQ327" s="64"/>
      <c r="CR327" s="64"/>
      <c r="CS327" s="64"/>
      <c r="CT327" s="64"/>
      <c r="CU327" s="64"/>
      <c r="CV327" s="64"/>
      <c r="CW327" s="64"/>
      <c r="CX327" s="64"/>
      <c r="CY327" s="64"/>
      <c r="CZ327" s="64"/>
      <c r="DA327" s="64"/>
      <c r="DB327" s="64"/>
      <c r="DC327" s="64"/>
      <c r="DD327" s="64"/>
      <c r="DE327" s="64"/>
      <c r="DF327" s="64"/>
      <c r="DG327" s="64"/>
      <c r="DH327" s="64"/>
      <c r="DI327" s="64"/>
      <c r="DJ327" s="64"/>
      <c r="DK327" s="64"/>
      <c r="DL327" s="64"/>
      <c r="DM327" s="64"/>
      <c r="DN327" s="64"/>
      <c r="DO327" s="64"/>
      <c r="DP327" s="64"/>
      <c r="DQ327" s="64"/>
      <c r="DR327" s="64"/>
      <c r="DS327" s="64"/>
      <c r="DT327" s="64"/>
      <c r="DU327" s="64"/>
      <c r="DV327" s="64"/>
      <c r="DW327" s="64"/>
      <c r="DX327" s="64"/>
      <c r="DY327" s="64"/>
      <c r="DZ327" s="64"/>
    </row>
    <row r="328" spans="2:130" x14ac:dyDescent="0.15">
      <c r="B328" s="58" t="str">
        <f>IF(G328&lt;&gt;"",SUBTOTAL(3,$G$5:G328),"")</f>
        <v/>
      </c>
      <c r="C328" s="58"/>
      <c r="D328" s="58"/>
      <c r="E328" s="59"/>
      <c r="F328" s="59"/>
      <c r="G328" s="59"/>
      <c r="H328" s="61"/>
      <c r="I328" s="62"/>
      <c r="J328" s="63"/>
      <c r="K328" s="64"/>
      <c r="L328" s="64"/>
      <c r="M328" s="64"/>
      <c r="N328" s="64"/>
      <c r="O328" s="64"/>
      <c r="P328" s="64"/>
      <c r="Q328" s="64"/>
      <c r="R328" s="64"/>
      <c r="S328" s="64"/>
      <c r="T328" s="64"/>
      <c r="U328" s="64"/>
      <c r="V328" s="64"/>
      <c r="W328" s="64"/>
      <c r="X328" s="64"/>
      <c r="Y328" s="64"/>
      <c r="Z328" s="64"/>
      <c r="AA328" s="64"/>
      <c r="AB328" s="64"/>
      <c r="AC328" s="64"/>
      <c r="AD328" s="64"/>
      <c r="AE328" s="64"/>
      <c r="AF328" s="64"/>
      <c r="AG328" s="64"/>
      <c r="AH328" s="64"/>
      <c r="AI328" s="64"/>
      <c r="AJ328" s="64"/>
      <c r="AK328" s="64"/>
      <c r="AL328" s="64"/>
      <c r="AM328" s="64"/>
      <c r="AN328" s="64"/>
      <c r="AO328" s="64"/>
      <c r="AP328" s="64"/>
      <c r="AQ328" s="64"/>
      <c r="AR328" s="65"/>
      <c r="AS328" s="63"/>
      <c r="AT328" s="64"/>
      <c r="AU328" s="64"/>
      <c r="AV328" s="64"/>
      <c r="AW328" s="64"/>
      <c r="AX328" s="64"/>
      <c r="AY328" s="64"/>
      <c r="AZ328" s="64"/>
      <c r="BA328" s="64"/>
      <c r="BB328" s="64"/>
      <c r="BC328" s="64"/>
      <c r="BD328" s="64"/>
      <c r="BE328" s="64"/>
      <c r="BF328" s="64"/>
      <c r="BG328" s="64"/>
      <c r="BH328" s="64"/>
      <c r="BI328" s="64"/>
      <c r="BJ328" s="64"/>
      <c r="BK328" s="64"/>
      <c r="BL328" s="64"/>
      <c r="BM328" s="64"/>
      <c r="BN328" s="64"/>
      <c r="BO328" s="64"/>
      <c r="BP328" s="64"/>
      <c r="BQ328" s="64"/>
      <c r="BR328" s="64"/>
      <c r="BS328" s="64"/>
      <c r="BT328" s="64"/>
      <c r="BU328" s="64"/>
      <c r="BV328" s="64"/>
      <c r="BW328" s="64"/>
      <c r="BX328" s="64"/>
      <c r="BY328" s="64"/>
      <c r="BZ328" s="64"/>
      <c r="CA328" s="65"/>
      <c r="CB328" s="60"/>
      <c r="CH328" s="64"/>
      <c r="CI328" s="64"/>
      <c r="CJ328" s="64"/>
      <c r="CK328" s="64"/>
      <c r="CL328" s="64"/>
      <c r="CM328" s="64"/>
      <c r="CN328" s="64"/>
      <c r="CO328" s="64"/>
      <c r="CP328" s="64"/>
      <c r="CQ328" s="64"/>
      <c r="CR328" s="64"/>
      <c r="CS328" s="64"/>
      <c r="CT328" s="64"/>
      <c r="CU328" s="64"/>
      <c r="CV328" s="64"/>
      <c r="CW328" s="64"/>
      <c r="CX328" s="64"/>
      <c r="CY328" s="64"/>
      <c r="CZ328" s="64"/>
      <c r="DA328" s="64"/>
      <c r="DB328" s="64"/>
      <c r="DC328" s="64"/>
      <c r="DD328" s="64"/>
      <c r="DE328" s="64"/>
      <c r="DF328" s="64"/>
      <c r="DG328" s="64"/>
      <c r="DH328" s="64"/>
      <c r="DI328" s="64"/>
      <c r="DJ328" s="64"/>
      <c r="DK328" s="64"/>
      <c r="DL328" s="64"/>
      <c r="DM328" s="64"/>
      <c r="DN328" s="64"/>
      <c r="DO328" s="64"/>
      <c r="DP328" s="64"/>
      <c r="DQ328" s="64"/>
      <c r="DR328" s="64"/>
      <c r="DS328" s="64"/>
      <c r="DT328" s="64"/>
      <c r="DU328" s="64"/>
      <c r="DV328" s="64"/>
      <c r="DW328" s="64"/>
      <c r="DX328" s="64"/>
      <c r="DY328" s="64"/>
      <c r="DZ328" s="64"/>
    </row>
    <row r="329" spans="2:130" x14ac:dyDescent="0.15">
      <c r="B329" s="58" t="str">
        <f>IF(G329&lt;&gt;"",SUBTOTAL(3,$G$5:G329),"")</f>
        <v/>
      </c>
      <c r="C329" s="58"/>
      <c r="D329" s="58"/>
      <c r="E329" s="59"/>
      <c r="F329" s="59"/>
      <c r="G329" s="59"/>
      <c r="H329" s="61"/>
      <c r="I329" s="62"/>
      <c r="J329" s="63"/>
      <c r="K329" s="64"/>
      <c r="L329" s="64"/>
      <c r="M329" s="64"/>
      <c r="N329" s="64"/>
      <c r="O329" s="64"/>
      <c r="P329" s="64"/>
      <c r="Q329" s="64"/>
      <c r="R329" s="64"/>
      <c r="S329" s="64"/>
      <c r="T329" s="64"/>
      <c r="U329" s="64"/>
      <c r="V329" s="64"/>
      <c r="W329" s="64"/>
      <c r="X329" s="64"/>
      <c r="Y329" s="64"/>
      <c r="Z329" s="64"/>
      <c r="AA329" s="64"/>
      <c r="AB329" s="64"/>
      <c r="AC329" s="64"/>
      <c r="AD329" s="64"/>
      <c r="AE329" s="64"/>
      <c r="AF329" s="64"/>
      <c r="AG329" s="64"/>
      <c r="AH329" s="64"/>
      <c r="AI329" s="64"/>
      <c r="AJ329" s="64"/>
      <c r="AK329" s="64"/>
      <c r="AL329" s="64"/>
      <c r="AM329" s="64"/>
      <c r="AN329" s="64"/>
      <c r="AO329" s="64"/>
      <c r="AP329" s="64"/>
      <c r="AQ329" s="64"/>
      <c r="AR329" s="65"/>
      <c r="AS329" s="63"/>
      <c r="AT329" s="64"/>
      <c r="AU329" s="64"/>
      <c r="AV329" s="64"/>
      <c r="AW329" s="64"/>
      <c r="AX329" s="64"/>
      <c r="AY329" s="64"/>
      <c r="AZ329" s="64"/>
      <c r="BA329" s="64"/>
      <c r="BB329" s="64"/>
      <c r="BC329" s="64"/>
      <c r="BD329" s="64"/>
      <c r="BE329" s="64"/>
      <c r="BF329" s="64"/>
      <c r="BG329" s="64"/>
      <c r="BH329" s="64"/>
      <c r="BI329" s="64"/>
      <c r="BJ329" s="64"/>
      <c r="BK329" s="64"/>
      <c r="BL329" s="64"/>
      <c r="BM329" s="64"/>
      <c r="BN329" s="64"/>
      <c r="BO329" s="64"/>
      <c r="BP329" s="64"/>
      <c r="BQ329" s="64"/>
      <c r="BR329" s="64"/>
      <c r="BS329" s="64"/>
      <c r="BT329" s="64"/>
      <c r="BU329" s="64"/>
      <c r="BV329" s="64"/>
      <c r="BW329" s="64"/>
      <c r="BX329" s="64"/>
      <c r="BY329" s="64"/>
      <c r="BZ329" s="64"/>
      <c r="CA329" s="65"/>
      <c r="CB329" s="60"/>
      <c r="CH329" s="64"/>
      <c r="CI329" s="64"/>
      <c r="CJ329" s="64"/>
      <c r="CK329" s="64"/>
      <c r="CL329" s="64"/>
      <c r="CM329" s="64"/>
      <c r="CN329" s="64"/>
      <c r="CO329" s="64"/>
      <c r="CP329" s="64"/>
      <c r="CQ329" s="64"/>
      <c r="CR329" s="64"/>
      <c r="CS329" s="64"/>
      <c r="CT329" s="64"/>
      <c r="CU329" s="64"/>
      <c r="CV329" s="64"/>
      <c r="CW329" s="64"/>
      <c r="CX329" s="64"/>
      <c r="CY329" s="64"/>
      <c r="CZ329" s="64"/>
      <c r="DA329" s="64"/>
      <c r="DB329" s="64"/>
      <c r="DC329" s="64"/>
      <c r="DD329" s="64"/>
      <c r="DE329" s="64"/>
      <c r="DF329" s="64"/>
      <c r="DG329" s="64"/>
      <c r="DH329" s="64"/>
      <c r="DI329" s="64"/>
      <c r="DJ329" s="64"/>
      <c r="DK329" s="64"/>
      <c r="DL329" s="64"/>
      <c r="DM329" s="64"/>
      <c r="DN329" s="64"/>
      <c r="DO329" s="64"/>
      <c r="DP329" s="64"/>
      <c r="DQ329" s="64"/>
      <c r="DR329" s="64"/>
      <c r="DS329" s="64"/>
      <c r="DT329" s="64"/>
      <c r="DU329" s="64"/>
      <c r="DV329" s="64"/>
      <c r="DW329" s="64"/>
      <c r="DX329" s="64"/>
      <c r="DY329" s="64"/>
      <c r="DZ329" s="64"/>
    </row>
    <row r="330" spans="2:130" x14ac:dyDescent="0.15">
      <c r="B330" s="58" t="str">
        <f>IF(G330&lt;&gt;"",SUBTOTAL(3,$G$5:G330),"")</f>
        <v/>
      </c>
      <c r="C330" s="58"/>
      <c r="D330" s="58"/>
      <c r="E330" s="59"/>
      <c r="F330" s="59"/>
      <c r="G330" s="59"/>
      <c r="H330" s="61"/>
      <c r="I330" s="62"/>
      <c r="J330" s="63"/>
      <c r="K330" s="64"/>
      <c r="L330" s="64"/>
      <c r="M330" s="64"/>
      <c r="N330" s="64"/>
      <c r="O330" s="64"/>
      <c r="P330" s="64"/>
      <c r="Q330" s="64"/>
      <c r="R330" s="64"/>
      <c r="S330" s="64"/>
      <c r="T330" s="64"/>
      <c r="U330" s="64"/>
      <c r="V330" s="64"/>
      <c r="W330" s="64"/>
      <c r="X330" s="64"/>
      <c r="Y330" s="64"/>
      <c r="Z330" s="64"/>
      <c r="AA330" s="64"/>
      <c r="AB330" s="64"/>
      <c r="AC330" s="64"/>
      <c r="AD330" s="64"/>
      <c r="AE330" s="64"/>
      <c r="AF330" s="64"/>
      <c r="AG330" s="64"/>
      <c r="AH330" s="64"/>
      <c r="AI330" s="64"/>
      <c r="AJ330" s="64"/>
      <c r="AK330" s="64"/>
      <c r="AL330" s="64"/>
      <c r="AM330" s="64"/>
      <c r="AN330" s="64"/>
      <c r="AO330" s="64"/>
      <c r="AP330" s="64"/>
      <c r="AQ330" s="64"/>
      <c r="AR330" s="65"/>
      <c r="AS330" s="63"/>
      <c r="AT330" s="64"/>
      <c r="AU330" s="64"/>
      <c r="AV330" s="64"/>
      <c r="AW330" s="64"/>
      <c r="AX330" s="64"/>
      <c r="AY330" s="64"/>
      <c r="AZ330" s="64"/>
      <c r="BA330" s="64"/>
      <c r="BB330" s="64"/>
      <c r="BC330" s="64"/>
      <c r="BD330" s="64"/>
      <c r="BE330" s="64"/>
      <c r="BF330" s="64"/>
      <c r="BG330" s="64"/>
      <c r="BH330" s="64"/>
      <c r="BI330" s="64"/>
      <c r="BJ330" s="64"/>
      <c r="BK330" s="64"/>
      <c r="BL330" s="64"/>
      <c r="BM330" s="64"/>
      <c r="BN330" s="64"/>
      <c r="BO330" s="64"/>
      <c r="BP330" s="64"/>
      <c r="BQ330" s="64"/>
      <c r="BR330" s="64"/>
      <c r="BS330" s="64"/>
      <c r="BT330" s="64"/>
      <c r="BU330" s="64"/>
      <c r="BV330" s="64"/>
      <c r="BW330" s="64"/>
      <c r="BX330" s="64"/>
      <c r="BY330" s="64"/>
      <c r="BZ330" s="64"/>
      <c r="CA330" s="65"/>
      <c r="CB330" s="60"/>
      <c r="CH330" s="64"/>
      <c r="CI330" s="64"/>
      <c r="CJ330" s="64"/>
      <c r="CK330" s="64"/>
      <c r="CL330" s="64"/>
      <c r="CM330" s="64"/>
      <c r="CN330" s="64"/>
      <c r="CO330" s="64"/>
      <c r="CP330" s="64"/>
      <c r="CQ330" s="64"/>
      <c r="CR330" s="64"/>
      <c r="CS330" s="64"/>
      <c r="CT330" s="64"/>
      <c r="CU330" s="64"/>
      <c r="CV330" s="64"/>
      <c r="CW330" s="64"/>
      <c r="CX330" s="64"/>
      <c r="CY330" s="64"/>
      <c r="CZ330" s="64"/>
      <c r="DA330" s="64"/>
      <c r="DB330" s="64"/>
      <c r="DC330" s="64"/>
      <c r="DD330" s="64"/>
      <c r="DE330" s="64"/>
      <c r="DF330" s="64"/>
      <c r="DG330" s="64"/>
      <c r="DH330" s="64"/>
      <c r="DI330" s="64"/>
      <c r="DJ330" s="64"/>
      <c r="DK330" s="64"/>
      <c r="DL330" s="64"/>
      <c r="DM330" s="64"/>
      <c r="DN330" s="64"/>
      <c r="DO330" s="64"/>
      <c r="DP330" s="64"/>
      <c r="DQ330" s="64"/>
      <c r="DR330" s="64"/>
      <c r="DS330" s="64"/>
      <c r="DT330" s="64"/>
      <c r="DU330" s="64"/>
      <c r="DV330" s="64"/>
      <c r="DW330" s="64"/>
      <c r="DX330" s="64"/>
      <c r="DY330" s="64"/>
      <c r="DZ330" s="64"/>
    </row>
    <row r="331" spans="2:130" x14ac:dyDescent="0.15">
      <c r="B331" s="58" t="str">
        <f>IF(G331&lt;&gt;"",SUBTOTAL(3,$G$5:G331),"")</f>
        <v/>
      </c>
      <c r="C331" s="58"/>
      <c r="D331" s="58"/>
      <c r="E331" s="59"/>
      <c r="F331" s="59"/>
      <c r="G331" s="59"/>
      <c r="H331" s="61"/>
      <c r="I331" s="62"/>
      <c r="J331" s="63"/>
      <c r="K331" s="64"/>
      <c r="L331" s="64"/>
      <c r="M331" s="64"/>
      <c r="N331" s="64"/>
      <c r="O331" s="64"/>
      <c r="P331" s="64"/>
      <c r="Q331" s="64"/>
      <c r="R331" s="64"/>
      <c r="S331" s="64"/>
      <c r="T331" s="64"/>
      <c r="U331" s="64"/>
      <c r="V331" s="64"/>
      <c r="W331" s="64"/>
      <c r="X331" s="64"/>
      <c r="Y331" s="64"/>
      <c r="Z331" s="64"/>
      <c r="AA331" s="64"/>
      <c r="AB331" s="64"/>
      <c r="AC331" s="64"/>
      <c r="AD331" s="64"/>
      <c r="AE331" s="64"/>
      <c r="AF331" s="64"/>
      <c r="AG331" s="64"/>
      <c r="AH331" s="64"/>
      <c r="AI331" s="64"/>
      <c r="AJ331" s="64"/>
      <c r="AK331" s="64"/>
      <c r="AL331" s="64"/>
      <c r="AM331" s="64"/>
      <c r="AN331" s="64"/>
      <c r="AO331" s="64"/>
      <c r="AP331" s="64"/>
      <c r="AQ331" s="64"/>
      <c r="AR331" s="65"/>
      <c r="AS331" s="63"/>
      <c r="AT331" s="64"/>
      <c r="AU331" s="64"/>
      <c r="AV331" s="64"/>
      <c r="AW331" s="64"/>
      <c r="AX331" s="64"/>
      <c r="AY331" s="64"/>
      <c r="AZ331" s="64"/>
      <c r="BA331" s="64"/>
      <c r="BB331" s="64"/>
      <c r="BC331" s="64"/>
      <c r="BD331" s="64"/>
      <c r="BE331" s="64"/>
      <c r="BF331" s="64"/>
      <c r="BG331" s="64"/>
      <c r="BH331" s="64"/>
      <c r="BI331" s="64"/>
      <c r="BJ331" s="64"/>
      <c r="BK331" s="64"/>
      <c r="BL331" s="64"/>
      <c r="BM331" s="64"/>
      <c r="BN331" s="64"/>
      <c r="BO331" s="64"/>
      <c r="BP331" s="64"/>
      <c r="BQ331" s="64"/>
      <c r="BR331" s="64"/>
      <c r="BS331" s="64"/>
      <c r="BT331" s="64"/>
      <c r="BU331" s="64"/>
      <c r="BV331" s="64"/>
      <c r="BW331" s="64"/>
      <c r="BX331" s="64"/>
      <c r="BY331" s="64"/>
      <c r="BZ331" s="64"/>
      <c r="CA331" s="65"/>
      <c r="CB331" s="60"/>
      <c r="CH331" s="64"/>
      <c r="CI331" s="64"/>
      <c r="CJ331" s="64"/>
      <c r="CK331" s="64"/>
      <c r="CL331" s="64"/>
      <c r="CM331" s="64"/>
      <c r="CN331" s="64"/>
      <c r="CO331" s="64"/>
      <c r="CP331" s="64"/>
      <c r="CQ331" s="64"/>
      <c r="CR331" s="64"/>
      <c r="CS331" s="64"/>
      <c r="CT331" s="64"/>
      <c r="CU331" s="64"/>
      <c r="CV331" s="64"/>
      <c r="CW331" s="64"/>
      <c r="CX331" s="64"/>
      <c r="CY331" s="64"/>
      <c r="CZ331" s="64"/>
      <c r="DA331" s="64"/>
      <c r="DB331" s="64"/>
      <c r="DC331" s="64"/>
      <c r="DD331" s="64"/>
      <c r="DE331" s="64"/>
      <c r="DF331" s="64"/>
      <c r="DG331" s="64"/>
      <c r="DH331" s="64"/>
      <c r="DI331" s="64"/>
      <c r="DJ331" s="64"/>
      <c r="DK331" s="64"/>
      <c r="DL331" s="64"/>
      <c r="DM331" s="64"/>
      <c r="DN331" s="64"/>
      <c r="DO331" s="64"/>
      <c r="DP331" s="64"/>
      <c r="DQ331" s="64"/>
      <c r="DR331" s="64"/>
      <c r="DS331" s="64"/>
      <c r="DT331" s="64"/>
      <c r="DU331" s="64"/>
      <c r="DV331" s="64"/>
      <c r="DW331" s="64"/>
      <c r="DX331" s="64"/>
      <c r="DY331" s="64"/>
      <c r="DZ331" s="64"/>
    </row>
    <row r="332" spans="2:130" x14ac:dyDescent="0.15">
      <c r="B332" s="58" t="str">
        <f>IF(G332&lt;&gt;"",SUBTOTAL(3,$G$5:G332),"")</f>
        <v/>
      </c>
      <c r="C332" s="58"/>
      <c r="D332" s="58"/>
      <c r="E332" s="59"/>
      <c r="F332" s="59"/>
      <c r="G332" s="59"/>
      <c r="H332" s="61"/>
      <c r="I332" s="62"/>
      <c r="J332" s="63"/>
      <c r="K332" s="64"/>
      <c r="L332" s="64"/>
      <c r="M332" s="64"/>
      <c r="N332" s="64"/>
      <c r="O332" s="64"/>
      <c r="P332" s="64"/>
      <c r="Q332" s="64"/>
      <c r="R332" s="64"/>
      <c r="S332" s="64"/>
      <c r="T332" s="64"/>
      <c r="U332" s="64"/>
      <c r="V332" s="64"/>
      <c r="W332" s="64"/>
      <c r="X332" s="64"/>
      <c r="Y332" s="64"/>
      <c r="Z332" s="64"/>
      <c r="AA332" s="64"/>
      <c r="AB332" s="64"/>
      <c r="AC332" s="64"/>
      <c r="AD332" s="64"/>
      <c r="AE332" s="64"/>
      <c r="AF332" s="64"/>
      <c r="AG332" s="64"/>
      <c r="AH332" s="64"/>
      <c r="AI332" s="64"/>
      <c r="AJ332" s="64"/>
      <c r="AK332" s="64"/>
      <c r="AL332" s="64"/>
      <c r="AM332" s="64"/>
      <c r="AN332" s="64"/>
      <c r="AO332" s="64"/>
      <c r="AP332" s="64"/>
      <c r="AQ332" s="64"/>
      <c r="AR332" s="65"/>
      <c r="AS332" s="63"/>
      <c r="AT332" s="64"/>
      <c r="AU332" s="64"/>
      <c r="AV332" s="64"/>
      <c r="AW332" s="64"/>
      <c r="AX332" s="64"/>
      <c r="AY332" s="64"/>
      <c r="AZ332" s="64"/>
      <c r="BA332" s="64"/>
      <c r="BB332" s="64"/>
      <c r="BC332" s="64"/>
      <c r="BD332" s="64"/>
      <c r="BE332" s="64"/>
      <c r="BF332" s="64"/>
      <c r="BG332" s="64"/>
      <c r="BH332" s="64"/>
      <c r="BI332" s="64"/>
      <c r="BJ332" s="64"/>
      <c r="BK332" s="64"/>
      <c r="BL332" s="64"/>
      <c r="BM332" s="64"/>
      <c r="BN332" s="64"/>
      <c r="BO332" s="64"/>
      <c r="BP332" s="64"/>
      <c r="BQ332" s="64"/>
      <c r="BR332" s="64"/>
      <c r="BS332" s="64"/>
      <c r="BT332" s="64"/>
      <c r="BU332" s="64"/>
      <c r="BV332" s="64"/>
      <c r="BW332" s="64"/>
      <c r="BX332" s="64"/>
      <c r="BY332" s="64"/>
      <c r="BZ332" s="64"/>
      <c r="CA332" s="65"/>
      <c r="CB332" s="60"/>
      <c r="CH332" s="64"/>
      <c r="CI332" s="64"/>
      <c r="CJ332" s="64"/>
      <c r="CK332" s="64"/>
      <c r="CL332" s="64"/>
      <c r="CM332" s="64"/>
      <c r="CN332" s="64"/>
      <c r="CO332" s="64"/>
      <c r="CP332" s="64"/>
      <c r="CQ332" s="64"/>
      <c r="CR332" s="64"/>
      <c r="CS332" s="64"/>
      <c r="CT332" s="64"/>
      <c r="CU332" s="64"/>
      <c r="CV332" s="64"/>
      <c r="CW332" s="64"/>
      <c r="CX332" s="64"/>
      <c r="CY332" s="64"/>
      <c r="CZ332" s="64"/>
      <c r="DA332" s="64"/>
      <c r="DB332" s="64"/>
      <c r="DC332" s="64"/>
      <c r="DD332" s="64"/>
      <c r="DE332" s="64"/>
      <c r="DF332" s="64"/>
      <c r="DG332" s="64"/>
      <c r="DH332" s="64"/>
      <c r="DI332" s="64"/>
      <c r="DJ332" s="64"/>
      <c r="DK332" s="64"/>
      <c r="DL332" s="64"/>
      <c r="DM332" s="64"/>
      <c r="DN332" s="64"/>
      <c r="DO332" s="64"/>
      <c r="DP332" s="64"/>
      <c r="DQ332" s="64"/>
      <c r="DR332" s="64"/>
      <c r="DS332" s="64"/>
      <c r="DT332" s="64"/>
      <c r="DU332" s="64"/>
      <c r="DV332" s="64"/>
      <c r="DW332" s="64"/>
      <c r="DX332" s="64"/>
      <c r="DY332" s="64"/>
      <c r="DZ332" s="64"/>
    </row>
    <row r="333" spans="2:130" x14ac:dyDescent="0.15">
      <c r="B333" s="58" t="str">
        <f>IF(G333&lt;&gt;"",SUBTOTAL(3,$G$5:G333),"")</f>
        <v/>
      </c>
      <c r="C333" s="58"/>
      <c r="D333" s="58"/>
      <c r="E333" s="59"/>
      <c r="F333" s="59"/>
      <c r="G333" s="59"/>
      <c r="H333" s="61"/>
      <c r="I333" s="62"/>
      <c r="J333" s="63"/>
      <c r="K333" s="64"/>
      <c r="L333" s="64"/>
      <c r="M333" s="64"/>
      <c r="N333" s="64"/>
      <c r="O333" s="64"/>
      <c r="P333" s="64"/>
      <c r="Q333" s="64"/>
      <c r="R333" s="64"/>
      <c r="S333" s="64"/>
      <c r="T333" s="64"/>
      <c r="U333" s="64"/>
      <c r="V333" s="64"/>
      <c r="W333" s="64"/>
      <c r="X333" s="64"/>
      <c r="Y333" s="64"/>
      <c r="Z333" s="64"/>
      <c r="AA333" s="64"/>
      <c r="AB333" s="64"/>
      <c r="AC333" s="64"/>
      <c r="AD333" s="64"/>
      <c r="AE333" s="64"/>
      <c r="AF333" s="64"/>
      <c r="AG333" s="64"/>
      <c r="AH333" s="64"/>
      <c r="AI333" s="64"/>
      <c r="AJ333" s="64"/>
      <c r="AK333" s="64"/>
      <c r="AL333" s="64"/>
      <c r="AM333" s="64"/>
      <c r="AN333" s="64"/>
      <c r="AO333" s="64"/>
      <c r="AP333" s="64"/>
      <c r="AQ333" s="64"/>
      <c r="AR333" s="65"/>
      <c r="AS333" s="63"/>
      <c r="AT333" s="64"/>
      <c r="AU333" s="64"/>
      <c r="AV333" s="64"/>
      <c r="AW333" s="64"/>
      <c r="AX333" s="64"/>
      <c r="AY333" s="64"/>
      <c r="AZ333" s="64"/>
      <c r="BA333" s="64"/>
      <c r="BB333" s="64"/>
      <c r="BC333" s="64"/>
      <c r="BD333" s="64"/>
      <c r="BE333" s="64"/>
      <c r="BF333" s="64"/>
      <c r="BG333" s="64"/>
      <c r="BH333" s="64"/>
      <c r="BI333" s="64"/>
      <c r="BJ333" s="64"/>
      <c r="BK333" s="64"/>
      <c r="BL333" s="64"/>
      <c r="BM333" s="64"/>
      <c r="BN333" s="64"/>
      <c r="BO333" s="64"/>
      <c r="BP333" s="64"/>
      <c r="BQ333" s="64"/>
      <c r="BR333" s="64"/>
      <c r="BS333" s="64"/>
      <c r="BT333" s="64"/>
      <c r="BU333" s="64"/>
      <c r="BV333" s="64"/>
      <c r="BW333" s="64"/>
      <c r="BX333" s="64"/>
      <c r="BY333" s="64"/>
      <c r="BZ333" s="64"/>
      <c r="CA333" s="65"/>
      <c r="CB333" s="60"/>
      <c r="CH333" s="64"/>
      <c r="CI333" s="64"/>
      <c r="CJ333" s="64"/>
      <c r="CK333" s="64"/>
      <c r="CL333" s="64"/>
      <c r="CM333" s="64"/>
      <c r="CN333" s="64"/>
      <c r="CO333" s="64"/>
      <c r="CP333" s="64"/>
      <c r="CQ333" s="64"/>
      <c r="CR333" s="64"/>
      <c r="CS333" s="64"/>
      <c r="CT333" s="64"/>
      <c r="CU333" s="64"/>
      <c r="CV333" s="64"/>
      <c r="CW333" s="64"/>
      <c r="CX333" s="64"/>
      <c r="CY333" s="64"/>
      <c r="CZ333" s="64"/>
      <c r="DA333" s="64"/>
      <c r="DB333" s="64"/>
      <c r="DC333" s="64"/>
      <c r="DD333" s="64"/>
      <c r="DE333" s="64"/>
      <c r="DF333" s="64"/>
      <c r="DG333" s="64"/>
      <c r="DH333" s="64"/>
      <c r="DI333" s="64"/>
      <c r="DJ333" s="64"/>
      <c r="DK333" s="64"/>
      <c r="DL333" s="64"/>
      <c r="DM333" s="64"/>
      <c r="DN333" s="64"/>
      <c r="DO333" s="64"/>
      <c r="DP333" s="64"/>
      <c r="DQ333" s="64"/>
      <c r="DR333" s="64"/>
      <c r="DS333" s="64"/>
      <c r="DT333" s="64"/>
      <c r="DU333" s="64"/>
      <c r="DV333" s="64"/>
      <c r="DW333" s="64"/>
      <c r="DX333" s="64"/>
      <c r="DY333" s="64"/>
      <c r="DZ333" s="64"/>
    </row>
    <row r="334" spans="2:130" ht="15.75" x14ac:dyDescent="0.15">
      <c r="B334" s="58" t="str">
        <f>IF(G334&lt;&gt;"",SUBTOTAL(3,$G$5:G334),"")</f>
        <v/>
      </c>
      <c r="C334" s="58"/>
      <c r="D334" s="58"/>
      <c r="E334" s="59"/>
      <c r="F334" s="59"/>
      <c r="G334" s="59"/>
      <c r="H334" s="61"/>
      <c r="I334" s="62"/>
      <c r="J334" s="40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2"/>
      <c r="AS334" s="63"/>
      <c r="AT334" s="64"/>
      <c r="AU334" s="64"/>
      <c r="AV334" s="64"/>
      <c r="AW334" s="64"/>
      <c r="AX334" s="64"/>
      <c r="AY334" s="64"/>
      <c r="AZ334" s="64"/>
      <c r="BA334" s="64"/>
      <c r="BB334" s="64"/>
      <c r="BC334" s="64"/>
      <c r="BD334" s="64"/>
      <c r="BE334" s="64"/>
      <c r="BF334" s="64"/>
      <c r="BG334" s="64"/>
      <c r="BH334" s="64"/>
      <c r="BI334" s="64"/>
      <c r="BJ334" s="64"/>
      <c r="BK334" s="64"/>
      <c r="BL334" s="64"/>
      <c r="BM334" s="64"/>
      <c r="BN334" s="64"/>
      <c r="BO334" s="64"/>
      <c r="BP334" s="64"/>
      <c r="BQ334" s="64"/>
      <c r="BR334" s="64"/>
      <c r="BS334" s="64"/>
      <c r="BT334" s="64"/>
      <c r="BU334" s="64"/>
      <c r="BV334" s="64"/>
      <c r="BW334" s="64"/>
      <c r="BX334" s="64"/>
      <c r="BY334" s="64"/>
      <c r="BZ334" s="64"/>
      <c r="CA334" s="65"/>
      <c r="CB334" s="60"/>
      <c r="CH334" s="64"/>
      <c r="CI334" s="64"/>
      <c r="CJ334" s="64"/>
      <c r="CK334" s="64"/>
      <c r="CL334" s="64"/>
      <c r="CM334" s="64"/>
      <c r="CN334" s="64"/>
      <c r="CO334" s="64"/>
      <c r="CP334" s="64"/>
      <c r="CQ334" s="64"/>
      <c r="CR334" s="64"/>
      <c r="CS334" s="64"/>
      <c r="CT334" s="64"/>
      <c r="CU334" s="64"/>
      <c r="CV334" s="64"/>
      <c r="CW334" s="64"/>
      <c r="CX334" s="64"/>
      <c r="CY334" s="64"/>
      <c r="CZ334" s="64"/>
      <c r="DA334" s="64"/>
      <c r="DB334" s="64"/>
      <c r="DC334" s="64"/>
      <c r="DD334" s="64"/>
      <c r="DE334" s="64"/>
      <c r="DF334" s="64"/>
      <c r="DG334" s="64"/>
      <c r="DH334" s="64"/>
      <c r="DI334" s="64"/>
      <c r="DJ334" s="64"/>
      <c r="DK334" s="64"/>
      <c r="DL334" s="64"/>
      <c r="DM334" s="64"/>
      <c r="DN334" s="64"/>
      <c r="DO334" s="64"/>
      <c r="DP334" s="64"/>
      <c r="DQ334" s="64"/>
      <c r="DR334" s="64"/>
      <c r="DS334" s="64"/>
      <c r="DT334" s="64"/>
      <c r="DU334" s="64"/>
      <c r="DV334" s="64"/>
      <c r="DW334" s="64"/>
      <c r="DX334" s="64"/>
      <c r="DY334" s="64"/>
      <c r="DZ334" s="64"/>
    </row>
    <row r="335" spans="2:130" x14ac:dyDescent="0.15">
      <c r="B335" s="58" t="str">
        <f>IF(G335&lt;&gt;"",SUBTOTAL(3,$G$5:G335),"")</f>
        <v/>
      </c>
      <c r="C335" s="58"/>
      <c r="D335" s="58"/>
      <c r="E335" s="59"/>
      <c r="F335" s="59"/>
      <c r="G335" s="59"/>
      <c r="H335" s="61"/>
      <c r="I335" s="62"/>
      <c r="J335" s="63"/>
      <c r="K335" s="64"/>
      <c r="L335" s="64"/>
      <c r="M335" s="64"/>
      <c r="N335" s="64"/>
      <c r="O335" s="64"/>
      <c r="P335" s="64"/>
      <c r="Q335" s="64"/>
      <c r="R335" s="64"/>
      <c r="S335" s="64"/>
      <c r="T335" s="64"/>
      <c r="U335" s="64"/>
      <c r="V335" s="64"/>
      <c r="W335" s="64"/>
      <c r="X335" s="64"/>
      <c r="Y335" s="64"/>
      <c r="Z335" s="64"/>
      <c r="AA335" s="64"/>
      <c r="AB335" s="64"/>
      <c r="AC335" s="64"/>
      <c r="AD335" s="64"/>
      <c r="AE335" s="64"/>
      <c r="AF335" s="64"/>
      <c r="AG335" s="64"/>
      <c r="AH335" s="64"/>
      <c r="AI335" s="64"/>
      <c r="AJ335" s="64"/>
      <c r="AK335" s="64"/>
      <c r="AL335" s="64"/>
      <c r="AM335" s="64"/>
      <c r="AN335" s="64"/>
      <c r="AO335" s="64"/>
      <c r="AP335" s="64"/>
      <c r="AQ335" s="64"/>
      <c r="AR335" s="65"/>
      <c r="AS335" s="63"/>
      <c r="AT335" s="64"/>
      <c r="AU335" s="64"/>
      <c r="AV335" s="64"/>
      <c r="AW335" s="64"/>
      <c r="AX335" s="64"/>
      <c r="AY335" s="64"/>
      <c r="AZ335" s="64"/>
      <c r="BA335" s="64"/>
      <c r="BB335" s="64"/>
      <c r="BC335" s="64"/>
      <c r="BD335" s="64"/>
      <c r="BE335" s="64"/>
      <c r="BF335" s="64"/>
      <c r="BG335" s="64"/>
      <c r="BH335" s="64"/>
      <c r="BI335" s="64"/>
      <c r="BJ335" s="64"/>
      <c r="BK335" s="64"/>
      <c r="BL335" s="64"/>
      <c r="BM335" s="64"/>
      <c r="BN335" s="64"/>
      <c r="BO335" s="64"/>
      <c r="BP335" s="64"/>
      <c r="BQ335" s="64"/>
      <c r="BR335" s="64"/>
      <c r="BS335" s="64"/>
      <c r="BT335" s="64"/>
      <c r="BU335" s="64"/>
      <c r="BV335" s="64"/>
      <c r="BW335" s="64"/>
      <c r="BX335" s="64"/>
      <c r="BY335" s="64"/>
      <c r="BZ335" s="64"/>
      <c r="CA335" s="65"/>
      <c r="CB335" s="60"/>
      <c r="CH335" s="64"/>
      <c r="CI335" s="64"/>
      <c r="CJ335" s="64"/>
      <c r="CK335" s="64"/>
      <c r="CL335" s="64"/>
      <c r="CM335" s="64"/>
      <c r="CN335" s="64"/>
      <c r="CO335" s="64"/>
      <c r="CP335" s="64"/>
      <c r="CQ335" s="64"/>
      <c r="CR335" s="64"/>
      <c r="CS335" s="64"/>
      <c r="CT335" s="64"/>
      <c r="CU335" s="64"/>
      <c r="CV335" s="64"/>
      <c r="CW335" s="64"/>
      <c r="CX335" s="64"/>
      <c r="CY335" s="64"/>
      <c r="CZ335" s="64"/>
      <c r="DA335" s="64"/>
      <c r="DB335" s="64"/>
      <c r="DC335" s="64"/>
      <c r="DD335" s="64"/>
      <c r="DE335" s="64"/>
      <c r="DF335" s="64"/>
      <c r="DG335" s="64"/>
      <c r="DH335" s="64"/>
      <c r="DI335" s="64"/>
      <c r="DJ335" s="64"/>
      <c r="DK335" s="64"/>
      <c r="DL335" s="64"/>
      <c r="DM335" s="64"/>
      <c r="DN335" s="64"/>
      <c r="DO335" s="64"/>
      <c r="DP335" s="64"/>
      <c r="DQ335" s="64"/>
      <c r="DR335" s="64"/>
      <c r="DS335" s="64"/>
      <c r="DT335" s="64"/>
      <c r="DU335" s="64"/>
      <c r="DV335" s="64"/>
      <c r="DW335" s="64"/>
      <c r="DX335" s="64"/>
      <c r="DY335" s="64"/>
      <c r="DZ335" s="64"/>
    </row>
    <row r="336" spans="2:130" x14ac:dyDescent="0.15">
      <c r="B336" s="58" t="str">
        <f>IF(G336&lt;&gt;"",SUBTOTAL(3,$G$5:G336),"")</f>
        <v/>
      </c>
      <c r="C336" s="58"/>
      <c r="D336" s="58"/>
      <c r="E336" s="59"/>
      <c r="F336" s="59"/>
      <c r="G336" s="59"/>
      <c r="H336" s="61"/>
      <c r="I336" s="62"/>
      <c r="J336" s="63"/>
      <c r="K336" s="64"/>
      <c r="L336" s="64"/>
      <c r="M336" s="64"/>
      <c r="N336" s="64"/>
      <c r="O336" s="64"/>
      <c r="P336" s="64"/>
      <c r="Q336" s="64"/>
      <c r="R336" s="64"/>
      <c r="S336" s="64"/>
      <c r="T336" s="64"/>
      <c r="U336" s="64"/>
      <c r="V336" s="64"/>
      <c r="W336" s="64"/>
      <c r="X336" s="64"/>
      <c r="Y336" s="64"/>
      <c r="Z336" s="64"/>
      <c r="AA336" s="64"/>
      <c r="AB336" s="64"/>
      <c r="AC336" s="64"/>
      <c r="AD336" s="64"/>
      <c r="AE336" s="64"/>
      <c r="AF336" s="64"/>
      <c r="AG336" s="64"/>
      <c r="AH336" s="64"/>
      <c r="AI336" s="64"/>
      <c r="AJ336" s="64"/>
      <c r="AK336" s="64"/>
      <c r="AL336" s="64"/>
      <c r="AM336" s="64"/>
      <c r="AN336" s="64"/>
      <c r="AO336" s="64"/>
      <c r="AP336" s="64"/>
      <c r="AQ336" s="64"/>
      <c r="AR336" s="65"/>
      <c r="AS336" s="63"/>
      <c r="AT336" s="64"/>
      <c r="AU336" s="64"/>
      <c r="AV336" s="64"/>
      <c r="AW336" s="64"/>
      <c r="AX336" s="64"/>
      <c r="AY336" s="64"/>
      <c r="AZ336" s="64"/>
      <c r="BA336" s="64"/>
      <c r="BB336" s="64"/>
      <c r="BC336" s="64"/>
      <c r="BD336" s="64"/>
      <c r="BE336" s="64"/>
      <c r="BF336" s="64"/>
      <c r="BG336" s="64"/>
      <c r="BH336" s="64"/>
      <c r="BI336" s="64"/>
      <c r="BJ336" s="64"/>
      <c r="BK336" s="64"/>
      <c r="BL336" s="64"/>
      <c r="BM336" s="64"/>
      <c r="BN336" s="64"/>
      <c r="BO336" s="64"/>
      <c r="BP336" s="64"/>
      <c r="BQ336" s="64"/>
      <c r="BR336" s="64"/>
      <c r="BS336" s="64"/>
      <c r="BT336" s="64"/>
      <c r="BU336" s="64"/>
      <c r="BV336" s="64"/>
      <c r="BW336" s="64"/>
      <c r="BX336" s="64"/>
      <c r="BY336" s="64"/>
      <c r="BZ336" s="64"/>
      <c r="CA336" s="65"/>
      <c r="CB336" s="60"/>
      <c r="CH336" s="64"/>
      <c r="CI336" s="64"/>
      <c r="CJ336" s="64"/>
      <c r="CK336" s="64"/>
      <c r="CL336" s="64"/>
      <c r="CM336" s="64"/>
      <c r="CN336" s="64"/>
      <c r="CO336" s="64"/>
      <c r="CP336" s="64"/>
      <c r="CQ336" s="64"/>
      <c r="CR336" s="64"/>
      <c r="CS336" s="64"/>
      <c r="CT336" s="64"/>
      <c r="CU336" s="64"/>
      <c r="CV336" s="64"/>
      <c r="CW336" s="64"/>
      <c r="CX336" s="64"/>
      <c r="CY336" s="64"/>
      <c r="CZ336" s="64"/>
      <c r="DA336" s="64"/>
      <c r="DB336" s="64"/>
      <c r="DC336" s="64"/>
      <c r="DD336" s="64"/>
      <c r="DE336" s="64"/>
      <c r="DF336" s="64"/>
      <c r="DG336" s="64"/>
      <c r="DH336" s="64"/>
      <c r="DI336" s="64"/>
      <c r="DJ336" s="64"/>
      <c r="DK336" s="64"/>
      <c r="DL336" s="64"/>
      <c r="DM336" s="64"/>
      <c r="DN336" s="64"/>
      <c r="DO336" s="64"/>
      <c r="DP336" s="64"/>
      <c r="DQ336" s="64"/>
      <c r="DR336" s="64"/>
      <c r="DS336" s="64"/>
      <c r="DT336" s="64"/>
      <c r="DU336" s="64"/>
      <c r="DV336" s="64"/>
      <c r="DW336" s="64"/>
      <c r="DX336" s="64"/>
      <c r="DY336" s="64"/>
      <c r="DZ336" s="64"/>
    </row>
    <row r="337" spans="2:130" x14ac:dyDescent="0.15">
      <c r="B337" s="58" t="str">
        <f>IF(G337&lt;&gt;"",SUBTOTAL(3,$G$5:G337),"")</f>
        <v/>
      </c>
      <c r="C337" s="58"/>
      <c r="D337" s="58"/>
      <c r="E337" s="59"/>
      <c r="F337" s="59"/>
      <c r="G337" s="59"/>
      <c r="H337" s="61"/>
      <c r="I337" s="62"/>
      <c r="J337" s="63"/>
      <c r="K337" s="64"/>
      <c r="L337" s="64"/>
      <c r="M337" s="64"/>
      <c r="N337" s="64"/>
      <c r="O337" s="64"/>
      <c r="P337" s="64"/>
      <c r="Q337" s="64"/>
      <c r="R337" s="64"/>
      <c r="S337" s="64"/>
      <c r="T337" s="64"/>
      <c r="U337" s="64"/>
      <c r="V337" s="64"/>
      <c r="W337" s="64"/>
      <c r="X337" s="64"/>
      <c r="Y337" s="64"/>
      <c r="Z337" s="64"/>
      <c r="AA337" s="64"/>
      <c r="AB337" s="64"/>
      <c r="AC337" s="64"/>
      <c r="AD337" s="64"/>
      <c r="AE337" s="64"/>
      <c r="AF337" s="64"/>
      <c r="AG337" s="64"/>
      <c r="AH337" s="64"/>
      <c r="AI337" s="64"/>
      <c r="AJ337" s="64"/>
      <c r="AK337" s="64"/>
      <c r="AL337" s="64"/>
      <c r="AM337" s="64"/>
      <c r="AN337" s="64"/>
      <c r="AO337" s="64"/>
      <c r="AP337" s="64"/>
      <c r="AQ337" s="64"/>
      <c r="AR337" s="65"/>
      <c r="AS337" s="63"/>
      <c r="AT337" s="64"/>
      <c r="AU337" s="64"/>
      <c r="AV337" s="64"/>
      <c r="AW337" s="64"/>
      <c r="AX337" s="64"/>
      <c r="AY337" s="64"/>
      <c r="AZ337" s="64"/>
      <c r="BA337" s="64"/>
      <c r="BB337" s="64"/>
      <c r="BC337" s="64"/>
      <c r="BD337" s="64"/>
      <c r="BE337" s="64"/>
      <c r="BF337" s="64"/>
      <c r="BG337" s="64"/>
      <c r="BH337" s="64"/>
      <c r="BI337" s="64"/>
      <c r="BJ337" s="64"/>
      <c r="BK337" s="64"/>
      <c r="BL337" s="64"/>
      <c r="BM337" s="64"/>
      <c r="BN337" s="64"/>
      <c r="BO337" s="64"/>
      <c r="BP337" s="64"/>
      <c r="BQ337" s="64"/>
      <c r="BR337" s="64"/>
      <c r="BS337" s="64"/>
      <c r="BT337" s="64"/>
      <c r="BU337" s="64"/>
      <c r="BV337" s="64"/>
      <c r="BW337" s="64"/>
      <c r="BX337" s="64"/>
      <c r="BY337" s="64"/>
      <c r="BZ337" s="64"/>
      <c r="CA337" s="65"/>
      <c r="CB337" s="60"/>
      <c r="CH337" s="64"/>
      <c r="CI337" s="64"/>
      <c r="CJ337" s="64"/>
      <c r="CK337" s="64"/>
      <c r="CL337" s="64"/>
      <c r="CM337" s="64"/>
      <c r="CN337" s="64"/>
      <c r="CO337" s="64"/>
      <c r="CP337" s="64"/>
      <c r="CQ337" s="64"/>
      <c r="CR337" s="64"/>
      <c r="CS337" s="64"/>
      <c r="CT337" s="64"/>
      <c r="CU337" s="64"/>
      <c r="CV337" s="64"/>
      <c r="CW337" s="64"/>
      <c r="CX337" s="64"/>
      <c r="CY337" s="64"/>
      <c r="CZ337" s="64"/>
      <c r="DA337" s="64"/>
      <c r="DB337" s="64"/>
      <c r="DC337" s="64"/>
      <c r="DD337" s="64"/>
      <c r="DE337" s="64"/>
      <c r="DF337" s="64"/>
      <c r="DG337" s="64"/>
      <c r="DH337" s="64"/>
      <c r="DI337" s="64"/>
      <c r="DJ337" s="64"/>
      <c r="DK337" s="64"/>
      <c r="DL337" s="64"/>
      <c r="DM337" s="64"/>
      <c r="DN337" s="64"/>
      <c r="DO337" s="64"/>
      <c r="DP337" s="64"/>
      <c r="DQ337" s="64"/>
      <c r="DR337" s="64"/>
      <c r="DS337" s="64"/>
      <c r="DT337" s="64"/>
      <c r="DU337" s="64"/>
      <c r="DV337" s="64"/>
      <c r="DW337" s="64"/>
      <c r="DX337" s="64"/>
      <c r="DY337" s="64"/>
      <c r="DZ337" s="64"/>
    </row>
    <row r="338" spans="2:130" x14ac:dyDescent="0.15">
      <c r="B338" s="58" t="str">
        <f>IF(G338&lt;&gt;"",SUBTOTAL(3,$G$5:G338),"")</f>
        <v/>
      </c>
      <c r="C338" s="58"/>
      <c r="D338" s="58"/>
      <c r="E338" s="59"/>
      <c r="F338" s="59"/>
      <c r="G338" s="59"/>
      <c r="H338" s="61"/>
      <c r="I338" s="62"/>
      <c r="J338" s="63"/>
      <c r="K338" s="64"/>
      <c r="L338" s="64"/>
      <c r="M338" s="64"/>
      <c r="N338" s="64"/>
      <c r="O338" s="64"/>
      <c r="P338" s="64"/>
      <c r="Q338" s="64"/>
      <c r="R338" s="64"/>
      <c r="S338" s="64"/>
      <c r="T338" s="64"/>
      <c r="U338" s="64"/>
      <c r="V338" s="64"/>
      <c r="W338" s="64"/>
      <c r="X338" s="64"/>
      <c r="Y338" s="64"/>
      <c r="Z338" s="64"/>
      <c r="AA338" s="64"/>
      <c r="AB338" s="64"/>
      <c r="AC338" s="64"/>
      <c r="AD338" s="64"/>
      <c r="AE338" s="64"/>
      <c r="AF338" s="64"/>
      <c r="AG338" s="64"/>
      <c r="AH338" s="64"/>
      <c r="AI338" s="64"/>
      <c r="AJ338" s="64"/>
      <c r="AK338" s="64"/>
      <c r="AL338" s="64"/>
      <c r="AM338" s="64"/>
      <c r="AN338" s="64"/>
      <c r="AO338" s="64"/>
      <c r="AP338" s="64"/>
      <c r="AQ338" s="64"/>
      <c r="AR338" s="65"/>
      <c r="AS338" s="63"/>
      <c r="AT338" s="64"/>
      <c r="AU338" s="64"/>
      <c r="AV338" s="64"/>
      <c r="AW338" s="64"/>
      <c r="AX338" s="64"/>
      <c r="AY338" s="64"/>
      <c r="AZ338" s="64"/>
      <c r="BA338" s="64"/>
      <c r="BB338" s="64"/>
      <c r="BC338" s="64"/>
      <c r="BD338" s="64"/>
      <c r="BE338" s="64"/>
      <c r="BF338" s="64"/>
      <c r="BG338" s="64"/>
      <c r="BH338" s="64"/>
      <c r="BI338" s="64"/>
      <c r="BJ338" s="64"/>
      <c r="BK338" s="64"/>
      <c r="BL338" s="64"/>
      <c r="BM338" s="64"/>
      <c r="BN338" s="64"/>
      <c r="BO338" s="64"/>
      <c r="BP338" s="64"/>
      <c r="BQ338" s="64"/>
      <c r="BR338" s="64"/>
      <c r="BS338" s="64"/>
      <c r="BT338" s="64"/>
      <c r="BU338" s="64"/>
      <c r="BV338" s="64"/>
      <c r="BW338" s="64"/>
      <c r="BX338" s="64"/>
      <c r="BY338" s="64"/>
      <c r="BZ338" s="64"/>
      <c r="CA338" s="65"/>
      <c r="CB338" s="60"/>
      <c r="CH338" s="64"/>
      <c r="CI338" s="64"/>
      <c r="CJ338" s="64"/>
      <c r="CK338" s="64"/>
      <c r="CL338" s="64"/>
      <c r="CM338" s="64"/>
      <c r="CN338" s="64"/>
      <c r="CO338" s="64"/>
      <c r="CP338" s="64"/>
      <c r="CQ338" s="64"/>
      <c r="CR338" s="64"/>
      <c r="CS338" s="64"/>
      <c r="CT338" s="64"/>
      <c r="CU338" s="64"/>
      <c r="CV338" s="64"/>
      <c r="CW338" s="64"/>
      <c r="CX338" s="64"/>
      <c r="CY338" s="64"/>
      <c r="CZ338" s="64"/>
      <c r="DA338" s="64"/>
      <c r="DB338" s="64"/>
      <c r="DC338" s="64"/>
      <c r="DD338" s="64"/>
      <c r="DE338" s="64"/>
      <c r="DF338" s="64"/>
      <c r="DG338" s="64"/>
      <c r="DH338" s="64"/>
      <c r="DI338" s="64"/>
      <c r="DJ338" s="64"/>
      <c r="DK338" s="64"/>
      <c r="DL338" s="64"/>
      <c r="DM338" s="64"/>
      <c r="DN338" s="64"/>
      <c r="DO338" s="64"/>
      <c r="DP338" s="64"/>
      <c r="DQ338" s="64"/>
      <c r="DR338" s="64"/>
      <c r="DS338" s="64"/>
      <c r="DT338" s="64"/>
      <c r="DU338" s="64"/>
      <c r="DV338" s="64"/>
      <c r="DW338" s="64"/>
      <c r="DX338" s="64"/>
      <c r="DY338" s="64"/>
      <c r="DZ338" s="64"/>
    </row>
    <row r="339" spans="2:130" x14ac:dyDescent="0.15">
      <c r="B339" s="58" t="str">
        <f>IF(G339&lt;&gt;"",SUBTOTAL(3,$G$5:G339),"")</f>
        <v/>
      </c>
      <c r="C339" s="58"/>
      <c r="D339" s="58"/>
      <c r="E339" s="59"/>
      <c r="F339" s="59"/>
      <c r="G339" s="59"/>
      <c r="H339" s="61"/>
      <c r="I339" s="62"/>
      <c r="J339" s="63"/>
      <c r="K339" s="64"/>
      <c r="L339" s="64"/>
      <c r="M339" s="64"/>
      <c r="N339" s="64"/>
      <c r="O339" s="64"/>
      <c r="P339" s="64"/>
      <c r="Q339" s="64"/>
      <c r="R339" s="64"/>
      <c r="S339" s="64"/>
      <c r="T339" s="64"/>
      <c r="U339" s="64"/>
      <c r="V339" s="64"/>
      <c r="W339" s="64"/>
      <c r="X339" s="64"/>
      <c r="Y339" s="64"/>
      <c r="Z339" s="64"/>
      <c r="AA339" s="64"/>
      <c r="AB339" s="64"/>
      <c r="AC339" s="64"/>
      <c r="AD339" s="64"/>
      <c r="AE339" s="64"/>
      <c r="AF339" s="64"/>
      <c r="AG339" s="64"/>
      <c r="AH339" s="64"/>
      <c r="AI339" s="64"/>
      <c r="AJ339" s="64"/>
      <c r="AK339" s="64"/>
      <c r="AL339" s="64"/>
      <c r="AM339" s="64"/>
      <c r="AN339" s="64"/>
      <c r="AO339" s="64"/>
      <c r="AP339" s="64"/>
      <c r="AQ339" s="64"/>
      <c r="AR339" s="65"/>
      <c r="AS339" s="63"/>
      <c r="AT339" s="64"/>
      <c r="AU339" s="64"/>
      <c r="AV339" s="64"/>
      <c r="AW339" s="64"/>
      <c r="AX339" s="64"/>
      <c r="AY339" s="64"/>
      <c r="AZ339" s="64"/>
      <c r="BA339" s="64"/>
      <c r="BB339" s="64"/>
      <c r="BC339" s="64"/>
      <c r="BD339" s="64"/>
      <c r="BE339" s="64"/>
      <c r="BF339" s="64"/>
      <c r="BG339" s="64"/>
      <c r="BH339" s="64"/>
      <c r="BI339" s="64"/>
      <c r="BJ339" s="64"/>
      <c r="BK339" s="64"/>
      <c r="BL339" s="64"/>
      <c r="BM339" s="64"/>
      <c r="BN339" s="64"/>
      <c r="BO339" s="64"/>
      <c r="BP339" s="64"/>
      <c r="BQ339" s="64"/>
      <c r="BR339" s="64"/>
      <c r="BS339" s="64"/>
      <c r="BT339" s="64"/>
      <c r="BU339" s="64"/>
      <c r="BV339" s="64"/>
      <c r="BW339" s="64"/>
      <c r="BX339" s="64"/>
      <c r="BY339" s="64"/>
      <c r="BZ339" s="64"/>
      <c r="CA339" s="65"/>
      <c r="CB339" s="60"/>
      <c r="CH339" s="64"/>
      <c r="CI339" s="64"/>
      <c r="CJ339" s="64"/>
      <c r="CK339" s="64"/>
      <c r="CL339" s="64"/>
      <c r="CM339" s="64"/>
      <c r="CN339" s="64"/>
      <c r="CO339" s="64"/>
      <c r="CP339" s="64"/>
      <c r="CQ339" s="64"/>
      <c r="CR339" s="64"/>
      <c r="CS339" s="64"/>
      <c r="CT339" s="64"/>
      <c r="CU339" s="64"/>
      <c r="CV339" s="64"/>
      <c r="CW339" s="64"/>
      <c r="CX339" s="64"/>
      <c r="CY339" s="64"/>
      <c r="CZ339" s="64"/>
      <c r="DA339" s="64"/>
      <c r="DB339" s="64"/>
      <c r="DC339" s="64"/>
      <c r="DD339" s="64"/>
      <c r="DE339" s="64"/>
      <c r="DF339" s="64"/>
      <c r="DG339" s="64"/>
      <c r="DH339" s="64"/>
      <c r="DI339" s="64"/>
      <c r="DJ339" s="64"/>
      <c r="DK339" s="64"/>
      <c r="DL339" s="64"/>
      <c r="DM339" s="64"/>
      <c r="DN339" s="64"/>
      <c r="DO339" s="64"/>
      <c r="DP339" s="64"/>
      <c r="DQ339" s="64"/>
      <c r="DR339" s="64"/>
      <c r="DS339" s="64"/>
      <c r="DT339" s="64"/>
      <c r="DU339" s="64"/>
      <c r="DV339" s="64"/>
      <c r="DW339" s="64"/>
      <c r="DX339" s="64"/>
      <c r="DY339" s="64"/>
      <c r="DZ339" s="64"/>
    </row>
    <row r="340" spans="2:130" x14ac:dyDescent="0.15">
      <c r="B340" s="58" t="str">
        <f>IF(G340&lt;&gt;"",SUBTOTAL(3,$G$5:G340),"")</f>
        <v/>
      </c>
      <c r="C340" s="58"/>
      <c r="D340" s="58"/>
      <c r="E340" s="59"/>
      <c r="F340" s="59"/>
      <c r="G340" s="59"/>
      <c r="H340" s="61"/>
      <c r="I340" s="62"/>
      <c r="J340" s="63"/>
      <c r="K340" s="64"/>
      <c r="L340" s="64"/>
      <c r="M340" s="64"/>
      <c r="N340" s="64"/>
      <c r="O340" s="64"/>
      <c r="P340" s="64"/>
      <c r="Q340" s="64"/>
      <c r="R340" s="64"/>
      <c r="S340" s="64"/>
      <c r="T340" s="64"/>
      <c r="U340" s="64"/>
      <c r="V340" s="64"/>
      <c r="W340" s="64"/>
      <c r="X340" s="64"/>
      <c r="Y340" s="64"/>
      <c r="Z340" s="64"/>
      <c r="AA340" s="64"/>
      <c r="AB340" s="64"/>
      <c r="AC340" s="64"/>
      <c r="AD340" s="64"/>
      <c r="AE340" s="64"/>
      <c r="AF340" s="64"/>
      <c r="AG340" s="64"/>
      <c r="AH340" s="64"/>
      <c r="AI340" s="64"/>
      <c r="AJ340" s="64"/>
      <c r="AK340" s="64"/>
      <c r="AL340" s="64"/>
      <c r="AM340" s="64"/>
      <c r="AN340" s="64"/>
      <c r="AO340" s="64"/>
      <c r="AP340" s="64"/>
      <c r="AQ340" s="64"/>
      <c r="AR340" s="65"/>
      <c r="AS340" s="63"/>
      <c r="AT340" s="64"/>
      <c r="AU340" s="64"/>
      <c r="AV340" s="64"/>
      <c r="AW340" s="64"/>
      <c r="AX340" s="64"/>
      <c r="AY340" s="64"/>
      <c r="AZ340" s="64"/>
      <c r="BA340" s="64"/>
      <c r="BB340" s="64"/>
      <c r="BC340" s="64"/>
      <c r="BD340" s="64"/>
      <c r="BE340" s="64"/>
      <c r="BF340" s="64"/>
      <c r="BG340" s="64"/>
      <c r="BH340" s="64"/>
      <c r="BI340" s="64"/>
      <c r="BJ340" s="64"/>
      <c r="BK340" s="64"/>
      <c r="BL340" s="64"/>
      <c r="BM340" s="64"/>
      <c r="BN340" s="64"/>
      <c r="BO340" s="64"/>
      <c r="BP340" s="64"/>
      <c r="BQ340" s="64"/>
      <c r="BR340" s="64"/>
      <c r="BS340" s="64"/>
      <c r="BT340" s="64"/>
      <c r="BU340" s="64"/>
      <c r="BV340" s="64"/>
      <c r="BW340" s="64"/>
      <c r="BX340" s="64"/>
      <c r="BY340" s="64"/>
      <c r="BZ340" s="64"/>
      <c r="CA340" s="65"/>
      <c r="CB340" s="60"/>
      <c r="CH340" s="64"/>
      <c r="CI340" s="64"/>
      <c r="CJ340" s="64"/>
      <c r="CK340" s="64"/>
      <c r="CL340" s="64"/>
      <c r="CM340" s="64"/>
      <c r="CN340" s="64"/>
      <c r="CO340" s="64"/>
      <c r="CP340" s="64"/>
      <c r="CQ340" s="64"/>
      <c r="CR340" s="64"/>
      <c r="CS340" s="64"/>
      <c r="CT340" s="64"/>
      <c r="CU340" s="64"/>
      <c r="CV340" s="64"/>
      <c r="CW340" s="64"/>
      <c r="CX340" s="64"/>
      <c r="CY340" s="64"/>
      <c r="CZ340" s="64"/>
      <c r="DA340" s="64"/>
      <c r="DB340" s="64"/>
      <c r="DC340" s="64"/>
      <c r="DD340" s="64"/>
      <c r="DE340" s="64"/>
      <c r="DF340" s="64"/>
      <c r="DG340" s="64"/>
      <c r="DH340" s="64"/>
      <c r="DI340" s="64"/>
      <c r="DJ340" s="64"/>
      <c r="DK340" s="64"/>
      <c r="DL340" s="64"/>
      <c r="DM340" s="64"/>
      <c r="DN340" s="64"/>
      <c r="DO340" s="64"/>
      <c r="DP340" s="64"/>
      <c r="DQ340" s="64"/>
      <c r="DR340" s="64"/>
      <c r="DS340" s="64"/>
      <c r="DT340" s="64"/>
      <c r="DU340" s="64"/>
      <c r="DV340" s="64"/>
      <c r="DW340" s="64"/>
      <c r="DX340" s="64"/>
      <c r="DY340" s="64"/>
      <c r="DZ340" s="64"/>
    </row>
    <row r="341" spans="2:130" x14ac:dyDescent="0.15">
      <c r="B341" s="58" t="str">
        <f>IF(G341&lt;&gt;"",SUBTOTAL(3,$G$5:G341),"")</f>
        <v/>
      </c>
      <c r="C341" s="58"/>
      <c r="D341" s="58"/>
      <c r="E341" s="59"/>
      <c r="F341" s="59"/>
      <c r="G341" s="59"/>
      <c r="H341" s="61"/>
      <c r="I341" s="62"/>
      <c r="J341" s="63"/>
      <c r="K341" s="64"/>
      <c r="L341" s="64"/>
      <c r="M341" s="64"/>
      <c r="N341" s="64"/>
      <c r="O341" s="64"/>
      <c r="P341" s="64"/>
      <c r="Q341" s="64"/>
      <c r="R341" s="64"/>
      <c r="S341" s="64"/>
      <c r="T341" s="64"/>
      <c r="U341" s="64"/>
      <c r="V341" s="64"/>
      <c r="W341" s="64"/>
      <c r="X341" s="64"/>
      <c r="Y341" s="64"/>
      <c r="Z341" s="64"/>
      <c r="AA341" s="64"/>
      <c r="AB341" s="64"/>
      <c r="AC341" s="64"/>
      <c r="AD341" s="64"/>
      <c r="AE341" s="64"/>
      <c r="AF341" s="64"/>
      <c r="AG341" s="64"/>
      <c r="AH341" s="64"/>
      <c r="AI341" s="64"/>
      <c r="AJ341" s="64"/>
      <c r="AK341" s="64"/>
      <c r="AL341" s="64"/>
      <c r="AM341" s="64"/>
      <c r="AN341" s="64"/>
      <c r="AO341" s="64"/>
      <c r="AP341" s="64"/>
      <c r="AQ341" s="64"/>
      <c r="AR341" s="65"/>
      <c r="AS341" s="63"/>
      <c r="AT341" s="64"/>
      <c r="AU341" s="64"/>
      <c r="AV341" s="64"/>
      <c r="AW341" s="64"/>
      <c r="AX341" s="64"/>
      <c r="AY341" s="64"/>
      <c r="AZ341" s="64"/>
      <c r="BA341" s="64"/>
      <c r="BB341" s="64"/>
      <c r="BC341" s="64"/>
      <c r="BD341" s="64"/>
      <c r="BE341" s="64"/>
      <c r="BF341" s="64"/>
      <c r="BG341" s="64"/>
      <c r="BH341" s="64"/>
      <c r="BI341" s="64"/>
      <c r="BJ341" s="64"/>
      <c r="BK341" s="64"/>
      <c r="BL341" s="64"/>
      <c r="BM341" s="64"/>
      <c r="BN341" s="64"/>
      <c r="BO341" s="64"/>
      <c r="BP341" s="64"/>
      <c r="BQ341" s="64"/>
      <c r="BR341" s="64"/>
      <c r="BS341" s="64"/>
      <c r="BT341" s="64"/>
      <c r="BU341" s="64"/>
      <c r="BV341" s="64"/>
      <c r="BW341" s="64"/>
      <c r="BX341" s="64"/>
      <c r="BY341" s="64"/>
      <c r="BZ341" s="64"/>
      <c r="CA341" s="65"/>
      <c r="CB341" s="60"/>
      <c r="CH341" s="64"/>
      <c r="CI341" s="64"/>
      <c r="CJ341" s="64"/>
      <c r="CK341" s="64"/>
      <c r="CL341" s="64"/>
      <c r="CM341" s="64"/>
      <c r="CN341" s="64"/>
      <c r="CO341" s="64"/>
      <c r="CP341" s="64"/>
      <c r="CQ341" s="64"/>
      <c r="CR341" s="64"/>
      <c r="CS341" s="64"/>
      <c r="CT341" s="64"/>
      <c r="CU341" s="64"/>
      <c r="CV341" s="64"/>
      <c r="CW341" s="64"/>
      <c r="CX341" s="64"/>
      <c r="CY341" s="64"/>
      <c r="CZ341" s="64"/>
      <c r="DA341" s="64"/>
      <c r="DB341" s="64"/>
      <c r="DC341" s="64"/>
      <c r="DD341" s="64"/>
      <c r="DE341" s="64"/>
      <c r="DF341" s="64"/>
      <c r="DG341" s="64"/>
      <c r="DH341" s="64"/>
      <c r="DI341" s="64"/>
      <c r="DJ341" s="64"/>
      <c r="DK341" s="64"/>
      <c r="DL341" s="64"/>
      <c r="DM341" s="64"/>
      <c r="DN341" s="64"/>
      <c r="DO341" s="64"/>
      <c r="DP341" s="64"/>
      <c r="DQ341" s="64"/>
      <c r="DR341" s="64"/>
      <c r="DS341" s="64"/>
      <c r="DT341" s="64"/>
      <c r="DU341" s="64"/>
      <c r="DV341" s="64"/>
      <c r="DW341" s="64"/>
      <c r="DX341" s="64"/>
      <c r="DY341" s="64"/>
      <c r="DZ341" s="64"/>
    </row>
    <row r="342" spans="2:130" x14ac:dyDescent="0.15">
      <c r="B342" s="58" t="str">
        <f>IF(G342&lt;&gt;"",SUBTOTAL(3,$G$5:G342),"")</f>
        <v/>
      </c>
      <c r="C342" s="58"/>
      <c r="D342" s="58"/>
      <c r="E342" s="59"/>
      <c r="F342" s="59"/>
      <c r="G342" s="59"/>
      <c r="H342" s="61"/>
      <c r="I342" s="62"/>
      <c r="J342" s="63"/>
      <c r="K342" s="64"/>
      <c r="L342" s="64"/>
      <c r="M342" s="64"/>
      <c r="N342" s="64"/>
      <c r="O342" s="64"/>
      <c r="P342" s="64"/>
      <c r="Q342" s="64"/>
      <c r="R342" s="64"/>
      <c r="S342" s="64"/>
      <c r="T342" s="64"/>
      <c r="U342" s="64"/>
      <c r="V342" s="64"/>
      <c r="W342" s="64"/>
      <c r="X342" s="64"/>
      <c r="Y342" s="64"/>
      <c r="Z342" s="64"/>
      <c r="AA342" s="64"/>
      <c r="AB342" s="64"/>
      <c r="AC342" s="64"/>
      <c r="AD342" s="64"/>
      <c r="AE342" s="64"/>
      <c r="AF342" s="64"/>
      <c r="AG342" s="64"/>
      <c r="AH342" s="64"/>
      <c r="AI342" s="64"/>
      <c r="AJ342" s="64"/>
      <c r="AK342" s="64"/>
      <c r="AL342" s="64"/>
      <c r="AM342" s="64"/>
      <c r="AN342" s="64"/>
      <c r="AO342" s="64"/>
      <c r="AP342" s="64"/>
      <c r="AQ342" s="64"/>
      <c r="AR342" s="65"/>
      <c r="AS342" s="63"/>
      <c r="AT342" s="64"/>
      <c r="AU342" s="64"/>
      <c r="AV342" s="64"/>
      <c r="AW342" s="64"/>
      <c r="AX342" s="64"/>
      <c r="AY342" s="64"/>
      <c r="AZ342" s="64"/>
      <c r="BA342" s="64"/>
      <c r="BB342" s="64"/>
      <c r="BC342" s="64"/>
      <c r="BD342" s="64"/>
      <c r="BE342" s="64"/>
      <c r="BF342" s="64"/>
      <c r="BG342" s="64"/>
      <c r="BH342" s="64"/>
      <c r="BI342" s="64"/>
      <c r="BJ342" s="64"/>
      <c r="BK342" s="64"/>
      <c r="BL342" s="64"/>
      <c r="BM342" s="64"/>
      <c r="BN342" s="64"/>
      <c r="BO342" s="64"/>
      <c r="BP342" s="64"/>
      <c r="BQ342" s="64"/>
      <c r="BR342" s="64"/>
      <c r="BS342" s="64"/>
      <c r="BT342" s="64"/>
      <c r="BU342" s="64"/>
      <c r="BV342" s="64"/>
      <c r="BW342" s="64"/>
      <c r="BX342" s="64"/>
      <c r="BY342" s="64"/>
      <c r="BZ342" s="64"/>
      <c r="CA342" s="65"/>
      <c r="CB342" s="60"/>
      <c r="CH342" s="64"/>
      <c r="CI342" s="64"/>
      <c r="CJ342" s="64"/>
      <c r="CK342" s="64"/>
      <c r="CL342" s="64"/>
      <c r="CM342" s="64"/>
      <c r="CN342" s="64"/>
      <c r="CO342" s="64"/>
      <c r="CP342" s="64"/>
      <c r="CQ342" s="64"/>
      <c r="CR342" s="64"/>
      <c r="CS342" s="64"/>
      <c r="CT342" s="64"/>
      <c r="CU342" s="64"/>
      <c r="CV342" s="64"/>
      <c r="CW342" s="64"/>
      <c r="CX342" s="64"/>
      <c r="CY342" s="64"/>
      <c r="CZ342" s="64"/>
      <c r="DA342" s="64"/>
      <c r="DB342" s="64"/>
      <c r="DC342" s="64"/>
      <c r="DD342" s="64"/>
      <c r="DE342" s="64"/>
      <c r="DF342" s="64"/>
      <c r="DG342" s="64"/>
      <c r="DH342" s="64"/>
      <c r="DI342" s="64"/>
      <c r="DJ342" s="64"/>
      <c r="DK342" s="64"/>
      <c r="DL342" s="64"/>
      <c r="DM342" s="64"/>
      <c r="DN342" s="64"/>
      <c r="DO342" s="64"/>
      <c r="DP342" s="64"/>
      <c r="DQ342" s="64"/>
      <c r="DR342" s="64"/>
      <c r="DS342" s="64"/>
      <c r="DT342" s="64"/>
      <c r="DU342" s="64"/>
      <c r="DV342" s="64"/>
      <c r="DW342" s="64"/>
      <c r="DX342" s="64"/>
      <c r="DY342" s="64"/>
      <c r="DZ342" s="64"/>
    </row>
    <row r="343" spans="2:130" x14ac:dyDescent="0.15">
      <c r="B343" s="58" t="str">
        <f>IF(G343&lt;&gt;"",SUBTOTAL(3,$G$5:G343),"")</f>
        <v/>
      </c>
      <c r="C343" s="58"/>
      <c r="D343" s="58"/>
      <c r="E343" s="59"/>
      <c r="F343" s="59"/>
      <c r="G343" s="59"/>
      <c r="H343" s="61"/>
      <c r="I343" s="62"/>
      <c r="J343" s="63"/>
      <c r="K343" s="64"/>
      <c r="L343" s="64"/>
      <c r="M343" s="64"/>
      <c r="N343" s="64"/>
      <c r="O343" s="64"/>
      <c r="P343" s="64"/>
      <c r="Q343" s="64"/>
      <c r="R343" s="64"/>
      <c r="S343" s="64"/>
      <c r="T343" s="64"/>
      <c r="U343" s="64"/>
      <c r="V343" s="64"/>
      <c r="W343" s="64"/>
      <c r="X343" s="64"/>
      <c r="Y343" s="64"/>
      <c r="Z343" s="64"/>
      <c r="AA343" s="64"/>
      <c r="AB343" s="64"/>
      <c r="AC343" s="64"/>
      <c r="AD343" s="64"/>
      <c r="AE343" s="64"/>
      <c r="AF343" s="64"/>
      <c r="AG343" s="64"/>
      <c r="AH343" s="64"/>
      <c r="AI343" s="64"/>
      <c r="AJ343" s="64"/>
      <c r="AK343" s="64"/>
      <c r="AL343" s="64"/>
      <c r="AM343" s="64"/>
      <c r="AN343" s="64"/>
      <c r="AO343" s="64"/>
      <c r="AP343" s="64"/>
      <c r="AQ343" s="64"/>
      <c r="AR343" s="65"/>
      <c r="AS343" s="63"/>
      <c r="AT343" s="64"/>
      <c r="AU343" s="64"/>
      <c r="AV343" s="64"/>
      <c r="AW343" s="64"/>
      <c r="AX343" s="64"/>
      <c r="AY343" s="64"/>
      <c r="AZ343" s="64"/>
      <c r="BA343" s="64"/>
      <c r="BB343" s="64"/>
      <c r="BC343" s="64"/>
      <c r="BD343" s="64"/>
      <c r="BE343" s="64"/>
      <c r="BF343" s="64"/>
      <c r="BG343" s="64"/>
      <c r="BH343" s="64"/>
      <c r="BI343" s="64"/>
      <c r="BJ343" s="64"/>
      <c r="BK343" s="64"/>
      <c r="BL343" s="64"/>
      <c r="BM343" s="64"/>
      <c r="BN343" s="64"/>
      <c r="BO343" s="64"/>
      <c r="BP343" s="64"/>
      <c r="BQ343" s="64"/>
      <c r="BR343" s="64"/>
      <c r="BS343" s="64"/>
      <c r="BT343" s="64"/>
      <c r="BU343" s="64"/>
      <c r="BV343" s="64"/>
      <c r="BW343" s="64"/>
      <c r="BX343" s="64"/>
      <c r="BY343" s="64"/>
      <c r="BZ343" s="64"/>
      <c r="CA343" s="65"/>
      <c r="CB343" s="60"/>
      <c r="CH343" s="64"/>
      <c r="CI343" s="64"/>
      <c r="CJ343" s="64"/>
      <c r="CK343" s="64"/>
      <c r="CL343" s="64"/>
      <c r="CM343" s="64"/>
      <c r="CN343" s="64"/>
      <c r="CO343" s="64"/>
      <c r="CP343" s="64"/>
      <c r="CQ343" s="64"/>
      <c r="CR343" s="64"/>
      <c r="CS343" s="64"/>
      <c r="CT343" s="64"/>
      <c r="CU343" s="64"/>
      <c r="CV343" s="64"/>
      <c r="CW343" s="64"/>
      <c r="CX343" s="64"/>
      <c r="CY343" s="64"/>
      <c r="CZ343" s="64"/>
      <c r="DA343" s="64"/>
      <c r="DB343" s="64"/>
      <c r="DC343" s="64"/>
      <c r="DD343" s="64"/>
      <c r="DE343" s="64"/>
      <c r="DF343" s="64"/>
      <c r="DG343" s="64"/>
      <c r="DH343" s="64"/>
      <c r="DI343" s="64"/>
      <c r="DJ343" s="64"/>
      <c r="DK343" s="64"/>
      <c r="DL343" s="64"/>
      <c r="DM343" s="64"/>
      <c r="DN343" s="64"/>
      <c r="DO343" s="64"/>
      <c r="DP343" s="64"/>
      <c r="DQ343" s="64"/>
      <c r="DR343" s="64"/>
      <c r="DS343" s="64"/>
      <c r="DT343" s="64"/>
      <c r="DU343" s="64"/>
      <c r="DV343" s="64"/>
      <c r="DW343" s="64"/>
      <c r="DX343" s="64"/>
      <c r="DY343" s="64"/>
      <c r="DZ343" s="64"/>
    </row>
    <row r="344" spans="2:130" x14ac:dyDescent="0.15">
      <c r="B344" s="58" t="str">
        <f>IF(G344&lt;&gt;"",SUBTOTAL(3,$G$5:G344),"")</f>
        <v/>
      </c>
      <c r="C344" s="58"/>
      <c r="D344" s="58"/>
      <c r="E344" s="59"/>
      <c r="F344" s="59"/>
      <c r="G344" s="59"/>
      <c r="H344" s="61"/>
      <c r="I344" s="62"/>
      <c r="J344" s="63"/>
      <c r="K344" s="64"/>
      <c r="L344" s="64"/>
      <c r="M344" s="64"/>
      <c r="N344" s="64"/>
      <c r="O344" s="64"/>
      <c r="P344" s="64"/>
      <c r="Q344" s="64"/>
      <c r="R344" s="64"/>
      <c r="S344" s="64"/>
      <c r="T344" s="64"/>
      <c r="U344" s="64"/>
      <c r="V344" s="64"/>
      <c r="W344" s="64"/>
      <c r="X344" s="64"/>
      <c r="Y344" s="64"/>
      <c r="Z344" s="64"/>
      <c r="AA344" s="64"/>
      <c r="AB344" s="64"/>
      <c r="AC344" s="64"/>
      <c r="AD344" s="64"/>
      <c r="AE344" s="64"/>
      <c r="AF344" s="64"/>
      <c r="AG344" s="64"/>
      <c r="AH344" s="64"/>
      <c r="AI344" s="64"/>
      <c r="AJ344" s="64"/>
      <c r="AK344" s="64"/>
      <c r="AL344" s="64"/>
      <c r="AM344" s="64"/>
      <c r="AN344" s="64"/>
      <c r="AO344" s="64"/>
      <c r="AP344" s="64"/>
      <c r="AQ344" s="64"/>
      <c r="AR344" s="65"/>
      <c r="AS344" s="63"/>
      <c r="AT344" s="64"/>
      <c r="AU344" s="64"/>
      <c r="AV344" s="64"/>
      <c r="AW344" s="64"/>
      <c r="AX344" s="64"/>
      <c r="AY344" s="64"/>
      <c r="AZ344" s="64"/>
      <c r="BA344" s="64"/>
      <c r="BB344" s="64"/>
      <c r="BC344" s="64"/>
      <c r="BD344" s="64"/>
      <c r="BE344" s="64"/>
      <c r="BF344" s="64"/>
      <c r="BG344" s="64"/>
      <c r="BH344" s="64"/>
      <c r="BI344" s="64"/>
      <c r="BJ344" s="64"/>
      <c r="BK344" s="64"/>
      <c r="BL344" s="64"/>
      <c r="BM344" s="64"/>
      <c r="BN344" s="64"/>
      <c r="BO344" s="64"/>
      <c r="BP344" s="64"/>
      <c r="BQ344" s="64"/>
      <c r="BR344" s="64"/>
      <c r="BS344" s="64"/>
      <c r="BT344" s="64"/>
      <c r="BU344" s="64"/>
      <c r="BV344" s="64"/>
      <c r="BW344" s="64"/>
      <c r="BX344" s="64"/>
      <c r="BY344" s="64"/>
      <c r="BZ344" s="64"/>
      <c r="CA344" s="65"/>
      <c r="CB344" s="60"/>
      <c r="CH344" s="64"/>
      <c r="CI344" s="64"/>
      <c r="CJ344" s="64"/>
      <c r="CK344" s="64"/>
      <c r="CL344" s="64"/>
      <c r="CM344" s="64"/>
      <c r="CN344" s="64"/>
      <c r="CO344" s="64"/>
      <c r="CP344" s="64"/>
      <c r="CQ344" s="64"/>
      <c r="CR344" s="64"/>
      <c r="CS344" s="64"/>
      <c r="CT344" s="64"/>
      <c r="CU344" s="64"/>
      <c r="CV344" s="64"/>
      <c r="CW344" s="64"/>
      <c r="CX344" s="64"/>
      <c r="CY344" s="64"/>
      <c r="CZ344" s="64"/>
      <c r="DA344" s="64"/>
      <c r="DB344" s="64"/>
      <c r="DC344" s="64"/>
      <c r="DD344" s="64"/>
      <c r="DE344" s="64"/>
      <c r="DF344" s="64"/>
      <c r="DG344" s="64"/>
      <c r="DH344" s="64"/>
      <c r="DI344" s="64"/>
      <c r="DJ344" s="64"/>
      <c r="DK344" s="64"/>
      <c r="DL344" s="64"/>
      <c r="DM344" s="64"/>
      <c r="DN344" s="64"/>
      <c r="DO344" s="64"/>
      <c r="DP344" s="64"/>
      <c r="DQ344" s="64"/>
      <c r="DR344" s="64"/>
      <c r="DS344" s="64"/>
      <c r="DT344" s="64"/>
      <c r="DU344" s="64"/>
      <c r="DV344" s="64"/>
      <c r="DW344" s="64"/>
      <c r="DX344" s="64"/>
      <c r="DY344" s="64"/>
      <c r="DZ344" s="64"/>
    </row>
    <row r="345" spans="2:130" x14ac:dyDescent="0.15">
      <c r="B345" s="58" t="str">
        <f>IF(G345&lt;&gt;"",SUBTOTAL(3,$G$5:G345),"")</f>
        <v/>
      </c>
      <c r="C345" s="58"/>
      <c r="D345" s="58"/>
      <c r="E345" s="59"/>
      <c r="F345" s="59"/>
      <c r="G345" s="59"/>
      <c r="H345" s="61"/>
      <c r="I345" s="62"/>
      <c r="J345" s="63"/>
      <c r="K345" s="64"/>
      <c r="L345" s="64"/>
      <c r="M345" s="64"/>
      <c r="N345" s="64"/>
      <c r="O345" s="64"/>
      <c r="P345" s="64"/>
      <c r="Q345" s="64"/>
      <c r="R345" s="64"/>
      <c r="S345" s="64"/>
      <c r="T345" s="64"/>
      <c r="U345" s="64"/>
      <c r="V345" s="64"/>
      <c r="W345" s="64"/>
      <c r="X345" s="64"/>
      <c r="Y345" s="64"/>
      <c r="Z345" s="64"/>
      <c r="AA345" s="64"/>
      <c r="AB345" s="64"/>
      <c r="AC345" s="64"/>
      <c r="AD345" s="64"/>
      <c r="AE345" s="64"/>
      <c r="AF345" s="64"/>
      <c r="AG345" s="64"/>
      <c r="AH345" s="64"/>
      <c r="AI345" s="64"/>
      <c r="AJ345" s="64"/>
      <c r="AK345" s="64"/>
      <c r="AL345" s="64"/>
      <c r="AM345" s="64"/>
      <c r="AN345" s="64"/>
      <c r="AO345" s="64"/>
      <c r="AP345" s="64"/>
      <c r="AQ345" s="64"/>
      <c r="AR345" s="65"/>
      <c r="AS345" s="63"/>
      <c r="AT345" s="64"/>
      <c r="AU345" s="64"/>
      <c r="AV345" s="64"/>
      <c r="AW345" s="64"/>
      <c r="AX345" s="64"/>
      <c r="AY345" s="64"/>
      <c r="AZ345" s="64"/>
      <c r="BA345" s="64"/>
      <c r="BB345" s="64"/>
      <c r="BC345" s="64"/>
      <c r="BD345" s="64"/>
      <c r="BE345" s="64"/>
      <c r="BF345" s="64"/>
      <c r="BG345" s="64"/>
      <c r="BH345" s="64"/>
      <c r="BI345" s="64"/>
      <c r="BJ345" s="64"/>
      <c r="BK345" s="64"/>
      <c r="BL345" s="64"/>
      <c r="BM345" s="64"/>
      <c r="BN345" s="64"/>
      <c r="BO345" s="64"/>
      <c r="BP345" s="64"/>
      <c r="BQ345" s="64"/>
      <c r="BR345" s="64"/>
      <c r="BS345" s="64"/>
      <c r="BT345" s="64"/>
      <c r="BU345" s="64"/>
      <c r="BV345" s="64"/>
      <c r="BW345" s="64"/>
      <c r="BX345" s="64"/>
      <c r="BY345" s="64"/>
      <c r="BZ345" s="64"/>
      <c r="CA345" s="65"/>
      <c r="CB345" s="60"/>
      <c r="CH345" s="64"/>
      <c r="CI345" s="64"/>
      <c r="CJ345" s="64"/>
      <c r="CK345" s="64"/>
      <c r="CL345" s="64"/>
      <c r="CM345" s="64"/>
      <c r="CN345" s="64"/>
      <c r="CO345" s="64"/>
      <c r="CP345" s="64"/>
      <c r="CQ345" s="64"/>
      <c r="CR345" s="64"/>
      <c r="CS345" s="64"/>
      <c r="CT345" s="64"/>
      <c r="CU345" s="64"/>
      <c r="CV345" s="64"/>
      <c r="CW345" s="64"/>
      <c r="CX345" s="64"/>
      <c r="CY345" s="64"/>
      <c r="CZ345" s="64"/>
      <c r="DA345" s="64"/>
      <c r="DB345" s="64"/>
      <c r="DC345" s="64"/>
      <c r="DD345" s="64"/>
      <c r="DE345" s="64"/>
      <c r="DF345" s="64"/>
      <c r="DG345" s="64"/>
      <c r="DH345" s="64"/>
      <c r="DI345" s="64"/>
      <c r="DJ345" s="64"/>
      <c r="DK345" s="64"/>
      <c r="DL345" s="64"/>
      <c r="DM345" s="64"/>
      <c r="DN345" s="64"/>
      <c r="DO345" s="64"/>
      <c r="DP345" s="64"/>
      <c r="DQ345" s="64"/>
      <c r="DR345" s="64"/>
      <c r="DS345" s="64"/>
      <c r="DT345" s="64"/>
      <c r="DU345" s="64"/>
      <c r="DV345" s="64"/>
      <c r="DW345" s="64"/>
      <c r="DX345" s="64"/>
      <c r="DY345" s="64"/>
      <c r="DZ345" s="64"/>
    </row>
    <row r="346" spans="2:130" x14ac:dyDescent="0.15">
      <c r="B346" s="58" t="str">
        <f>IF(G346&lt;&gt;"",SUBTOTAL(3,$G$5:G346),"")</f>
        <v/>
      </c>
      <c r="C346" s="58"/>
      <c r="D346" s="58"/>
      <c r="E346" s="59"/>
      <c r="F346" s="59"/>
      <c r="G346" s="59"/>
      <c r="H346" s="61"/>
      <c r="I346" s="62"/>
      <c r="J346" s="63"/>
      <c r="K346" s="64"/>
      <c r="L346" s="64"/>
      <c r="M346" s="64"/>
      <c r="N346" s="64"/>
      <c r="O346" s="64"/>
      <c r="P346" s="64"/>
      <c r="Q346" s="64"/>
      <c r="R346" s="64"/>
      <c r="S346" s="64"/>
      <c r="T346" s="64"/>
      <c r="U346" s="64"/>
      <c r="V346" s="64"/>
      <c r="W346" s="64"/>
      <c r="X346" s="64"/>
      <c r="Y346" s="64"/>
      <c r="Z346" s="64"/>
      <c r="AA346" s="64"/>
      <c r="AB346" s="64"/>
      <c r="AC346" s="64"/>
      <c r="AD346" s="64"/>
      <c r="AE346" s="64"/>
      <c r="AF346" s="64"/>
      <c r="AG346" s="64"/>
      <c r="AH346" s="64"/>
      <c r="AI346" s="64"/>
      <c r="AJ346" s="64"/>
      <c r="AK346" s="64"/>
      <c r="AL346" s="64"/>
      <c r="AM346" s="64"/>
      <c r="AN346" s="64"/>
      <c r="AO346" s="64"/>
      <c r="AP346" s="64"/>
      <c r="AQ346" s="64"/>
      <c r="AR346" s="65"/>
      <c r="AS346" s="63"/>
      <c r="AT346" s="64"/>
      <c r="AU346" s="64"/>
      <c r="AV346" s="64"/>
      <c r="AW346" s="64"/>
      <c r="AX346" s="64"/>
      <c r="AY346" s="64"/>
      <c r="AZ346" s="64"/>
      <c r="BA346" s="64"/>
      <c r="BB346" s="64"/>
      <c r="BC346" s="64"/>
      <c r="BD346" s="64"/>
      <c r="BE346" s="64"/>
      <c r="BF346" s="64"/>
      <c r="BG346" s="64"/>
      <c r="BH346" s="64"/>
      <c r="BI346" s="64"/>
      <c r="BJ346" s="64"/>
      <c r="BK346" s="64"/>
      <c r="BL346" s="64"/>
      <c r="BM346" s="64"/>
      <c r="BN346" s="64"/>
      <c r="BO346" s="64"/>
      <c r="BP346" s="64"/>
      <c r="BQ346" s="64"/>
      <c r="BR346" s="64"/>
      <c r="BS346" s="64"/>
      <c r="BT346" s="64"/>
      <c r="BU346" s="64"/>
      <c r="BV346" s="64"/>
      <c r="BW346" s="64"/>
      <c r="BX346" s="64"/>
      <c r="BY346" s="64"/>
      <c r="BZ346" s="64"/>
      <c r="CA346" s="65"/>
      <c r="CB346" s="60"/>
      <c r="CH346" s="64"/>
      <c r="CI346" s="64"/>
      <c r="CJ346" s="64"/>
      <c r="CK346" s="64"/>
      <c r="CL346" s="64"/>
      <c r="CM346" s="64"/>
      <c r="CN346" s="64"/>
      <c r="CO346" s="64"/>
      <c r="CP346" s="64"/>
      <c r="CQ346" s="64"/>
      <c r="CR346" s="64"/>
      <c r="CS346" s="64"/>
      <c r="CT346" s="64"/>
      <c r="CU346" s="64"/>
      <c r="CV346" s="64"/>
      <c r="CW346" s="64"/>
      <c r="CX346" s="64"/>
      <c r="CY346" s="64"/>
      <c r="CZ346" s="64"/>
      <c r="DA346" s="64"/>
      <c r="DB346" s="64"/>
      <c r="DC346" s="64"/>
      <c r="DD346" s="64"/>
      <c r="DE346" s="64"/>
      <c r="DF346" s="64"/>
      <c r="DG346" s="64"/>
      <c r="DH346" s="64"/>
      <c r="DI346" s="64"/>
      <c r="DJ346" s="64"/>
      <c r="DK346" s="64"/>
      <c r="DL346" s="64"/>
      <c r="DM346" s="64"/>
      <c r="DN346" s="64"/>
      <c r="DO346" s="64"/>
      <c r="DP346" s="64"/>
      <c r="DQ346" s="64"/>
      <c r="DR346" s="64"/>
      <c r="DS346" s="64"/>
      <c r="DT346" s="64"/>
      <c r="DU346" s="64"/>
      <c r="DV346" s="64"/>
      <c r="DW346" s="64"/>
      <c r="DX346" s="64"/>
      <c r="DY346" s="64"/>
      <c r="DZ346" s="64"/>
    </row>
    <row r="347" spans="2:130" x14ac:dyDescent="0.15">
      <c r="B347" s="58" t="str">
        <f>IF(G347&lt;&gt;"",SUBTOTAL(3,$G$5:G347),"")</f>
        <v/>
      </c>
      <c r="C347" s="58"/>
      <c r="D347" s="58"/>
      <c r="E347" s="59"/>
      <c r="F347" s="59"/>
      <c r="G347" s="59"/>
      <c r="H347" s="61"/>
      <c r="I347" s="62"/>
      <c r="J347" s="63"/>
      <c r="K347" s="64"/>
      <c r="L347" s="64"/>
      <c r="M347" s="64"/>
      <c r="N347" s="64"/>
      <c r="O347" s="64"/>
      <c r="P347" s="64"/>
      <c r="Q347" s="64"/>
      <c r="R347" s="64"/>
      <c r="S347" s="64"/>
      <c r="T347" s="64"/>
      <c r="U347" s="64"/>
      <c r="V347" s="64"/>
      <c r="W347" s="64"/>
      <c r="X347" s="64"/>
      <c r="Y347" s="64"/>
      <c r="Z347" s="64"/>
      <c r="AA347" s="64"/>
      <c r="AB347" s="64"/>
      <c r="AC347" s="64"/>
      <c r="AD347" s="64"/>
      <c r="AE347" s="64"/>
      <c r="AF347" s="64"/>
      <c r="AG347" s="64"/>
      <c r="AH347" s="64"/>
      <c r="AI347" s="64"/>
      <c r="AJ347" s="64"/>
      <c r="AK347" s="64"/>
      <c r="AL347" s="64"/>
      <c r="AM347" s="64"/>
      <c r="AN347" s="64"/>
      <c r="AO347" s="64"/>
      <c r="AP347" s="64"/>
      <c r="AQ347" s="64"/>
      <c r="AR347" s="65"/>
      <c r="AS347" s="63"/>
      <c r="AT347" s="64"/>
      <c r="AU347" s="64"/>
      <c r="AV347" s="64"/>
      <c r="AW347" s="64"/>
      <c r="AX347" s="64"/>
      <c r="AY347" s="64"/>
      <c r="AZ347" s="64"/>
      <c r="BA347" s="64"/>
      <c r="BB347" s="64"/>
      <c r="BC347" s="64"/>
      <c r="BD347" s="64"/>
      <c r="BE347" s="64"/>
      <c r="BF347" s="64"/>
      <c r="BG347" s="64"/>
      <c r="BH347" s="64"/>
      <c r="BI347" s="64"/>
      <c r="BJ347" s="64"/>
      <c r="BK347" s="64"/>
      <c r="BL347" s="64"/>
      <c r="BM347" s="64"/>
      <c r="BN347" s="64"/>
      <c r="BO347" s="64"/>
      <c r="BP347" s="64"/>
      <c r="BQ347" s="64"/>
      <c r="BR347" s="64"/>
      <c r="BS347" s="64"/>
      <c r="BT347" s="64"/>
      <c r="BU347" s="64"/>
      <c r="BV347" s="64"/>
      <c r="BW347" s="64"/>
      <c r="BX347" s="64"/>
      <c r="BY347" s="64"/>
      <c r="BZ347" s="64"/>
      <c r="CA347" s="65"/>
      <c r="CB347" s="60"/>
      <c r="CH347" s="64"/>
      <c r="CI347" s="64"/>
      <c r="CJ347" s="64"/>
      <c r="CK347" s="64"/>
      <c r="CL347" s="64"/>
      <c r="CM347" s="64"/>
      <c r="CN347" s="64"/>
      <c r="CO347" s="64"/>
      <c r="CP347" s="64"/>
      <c r="CQ347" s="64"/>
      <c r="CR347" s="64"/>
      <c r="CS347" s="64"/>
      <c r="CT347" s="64"/>
      <c r="CU347" s="64"/>
      <c r="CV347" s="64"/>
      <c r="CW347" s="64"/>
      <c r="CX347" s="64"/>
      <c r="CY347" s="64"/>
      <c r="CZ347" s="64"/>
      <c r="DA347" s="64"/>
      <c r="DB347" s="64"/>
      <c r="DC347" s="64"/>
      <c r="DD347" s="64"/>
      <c r="DE347" s="64"/>
      <c r="DF347" s="64"/>
      <c r="DG347" s="64"/>
      <c r="DH347" s="64"/>
      <c r="DI347" s="64"/>
      <c r="DJ347" s="64"/>
      <c r="DK347" s="64"/>
      <c r="DL347" s="64"/>
      <c r="DM347" s="64"/>
      <c r="DN347" s="64"/>
      <c r="DO347" s="64"/>
      <c r="DP347" s="64"/>
      <c r="DQ347" s="64"/>
      <c r="DR347" s="64"/>
      <c r="DS347" s="64"/>
      <c r="DT347" s="64"/>
      <c r="DU347" s="64"/>
      <c r="DV347" s="64"/>
      <c r="DW347" s="64"/>
      <c r="DX347" s="64"/>
      <c r="DY347" s="64"/>
      <c r="DZ347" s="64"/>
    </row>
    <row r="348" spans="2:130" x14ac:dyDescent="0.15">
      <c r="B348" s="58" t="str">
        <f>IF(G348&lt;&gt;"",SUBTOTAL(3,$G$5:G348),"")</f>
        <v/>
      </c>
      <c r="C348" s="58"/>
      <c r="D348" s="58"/>
      <c r="E348" s="59"/>
      <c r="F348" s="59"/>
      <c r="G348" s="59"/>
      <c r="H348" s="61"/>
      <c r="I348" s="62"/>
      <c r="J348" s="63"/>
      <c r="K348" s="64"/>
      <c r="L348" s="64"/>
      <c r="M348" s="64"/>
      <c r="N348" s="64"/>
      <c r="O348" s="64"/>
      <c r="P348" s="64"/>
      <c r="Q348" s="64"/>
      <c r="R348" s="64"/>
      <c r="S348" s="64"/>
      <c r="T348" s="64"/>
      <c r="U348" s="64"/>
      <c r="V348" s="64"/>
      <c r="W348" s="64"/>
      <c r="X348" s="64"/>
      <c r="Y348" s="64"/>
      <c r="Z348" s="64"/>
      <c r="AA348" s="64"/>
      <c r="AB348" s="64"/>
      <c r="AC348" s="64"/>
      <c r="AD348" s="64"/>
      <c r="AE348" s="64"/>
      <c r="AF348" s="64"/>
      <c r="AG348" s="64"/>
      <c r="AH348" s="64"/>
      <c r="AI348" s="64"/>
      <c r="AJ348" s="64"/>
      <c r="AK348" s="64"/>
      <c r="AL348" s="64"/>
      <c r="AM348" s="64"/>
      <c r="AN348" s="64"/>
      <c r="AO348" s="64"/>
      <c r="AP348" s="64"/>
      <c r="AQ348" s="64"/>
      <c r="AR348" s="65"/>
      <c r="AS348" s="63"/>
      <c r="AT348" s="64"/>
      <c r="AU348" s="64"/>
      <c r="AV348" s="64"/>
      <c r="AW348" s="64"/>
      <c r="AX348" s="64"/>
      <c r="AY348" s="64"/>
      <c r="AZ348" s="64"/>
      <c r="BA348" s="64"/>
      <c r="BB348" s="64"/>
      <c r="BC348" s="64"/>
      <c r="BD348" s="64"/>
      <c r="BE348" s="64"/>
      <c r="BF348" s="64"/>
      <c r="BG348" s="64"/>
      <c r="BH348" s="64"/>
      <c r="BI348" s="64"/>
      <c r="BJ348" s="64"/>
      <c r="BK348" s="64"/>
      <c r="BL348" s="64"/>
      <c r="BM348" s="64"/>
      <c r="BN348" s="64"/>
      <c r="BO348" s="64"/>
      <c r="BP348" s="64"/>
      <c r="BQ348" s="64"/>
      <c r="BR348" s="64"/>
      <c r="BS348" s="64"/>
      <c r="BT348" s="64"/>
      <c r="BU348" s="64"/>
      <c r="BV348" s="64"/>
      <c r="BW348" s="64"/>
      <c r="BX348" s="64"/>
      <c r="BY348" s="64"/>
      <c r="BZ348" s="64"/>
      <c r="CA348" s="65"/>
      <c r="CB348" s="60"/>
      <c r="CH348" s="64"/>
      <c r="CI348" s="64"/>
      <c r="CJ348" s="64"/>
      <c r="CK348" s="64"/>
      <c r="CL348" s="64"/>
      <c r="CM348" s="64"/>
      <c r="CN348" s="64"/>
      <c r="CO348" s="64"/>
      <c r="CP348" s="64"/>
      <c r="CQ348" s="64"/>
      <c r="CR348" s="64"/>
      <c r="CS348" s="64"/>
      <c r="CT348" s="64"/>
      <c r="CU348" s="64"/>
      <c r="CV348" s="64"/>
      <c r="CW348" s="64"/>
      <c r="CX348" s="64"/>
      <c r="CY348" s="64"/>
      <c r="CZ348" s="64"/>
      <c r="DA348" s="64"/>
      <c r="DB348" s="64"/>
      <c r="DC348" s="64"/>
      <c r="DD348" s="64"/>
      <c r="DE348" s="64"/>
      <c r="DF348" s="64"/>
      <c r="DG348" s="64"/>
      <c r="DH348" s="64"/>
      <c r="DI348" s="64"/>
      <c r="DJ348" s="64"/>
      <c r="DK348" s="64"/>
      <c r="DL348" s="64"/>
      <c r="DM348" s="64"/>
      <c r="DN348" s="64"/>
      <c r="DO348" s="64"/>
      <c r="DP348" s="64"/>
      <c r="DQ348" s="64"/>
      <c r="DR348" s="64"/>
      <c r="DS348" s="64"/>
      <c r="DT348" s="64"/>
      <c r="DU348" s="64"/>
      <c r="DV348" s="64"/>
      <c r="DW348" s="64"/>
      <c r="DX348" s="64"/>
      <c r="DY348" s="64"/>
      <c r="DZ348" s="64"/>
    </row>
    <row r="349" spans="2:130" x14ac:dyDescent="0.15">
      <c r="B349" s="85" t="str">
        <f>IF(G349&lt;&gt;"",SUBTOTAL(3,$G$5:G349),"")</f>
        <v/>
      </c>
      <c r="C349" s="85"/>
      <c r="D349" s="85"/>
      <c r="E349" s="86"/>
      <c r="F349" s="86"/>
      <c r="G349" s="86"/>
      <c r="H349" s="87"/>
      <c r="I349" s="88"/>
      <c r="J349" s="89"/>
      <c r="K349" s="90"/>
      <c r="L349" s="90"/>
      <c r="M349" s="90"/>
      <c r="N349" s="90"/>
      <c r="O349" s="90"/>
      <c r="P349" s="90"/>
      <c r="Q349" s="90"/>
      <c r="R349" s="90"/>
      <c r="S349" s="90"/>
      <c r="T349" s="90"/>
      <c r="U349" s="90"/>
      <c r="V349" s="90"/>
      <c r="W349" s="90"/>
      <c r="X349" s="90"/>
      <c r="Y349" s="90"/>
      <c r="Z349" s="90"/>
      <c r="AA349" s="90"/>
      <c r="AB349" s="90"/>
      <c r="AC349" s="90"/>
      <c r="AD349" s="90"/>
      <c r="AE349" s="90"/>
      <c r="AF349" s="90"/>
      <c r="AG349" s="90"/>
      <c r="AH349" s="90"/>
      <c r="AI349" s="90"/>
      <c r="AJ349" s="90"/>
      <c r="AK349" s="90"/>
      <c r="AL349" s="90"/>
      <c r="AM349" s="90"/>
      <c r="AN349" s="90"/>
      <c r="AO349" s="90"/>
      <c r="AP349" s="90"/>
      <c r="AQ349" s="90"/>
      <c r="AR349" s="91"/>
      <c r="AS349" s="89"/>
      <c r="AT349" s="90"/>
      <c r="AU349" s="90"/>
      <c r="AV349" s="90"/>
      <c r="AW349" s="90"/>
      <c r="AX349" s="90"/>
      <c r="AY349" s="90"/>
      <c r="AZ349" s="90"/>
      <c r="BA349" s="90"/>
      <c r="BB349" s="90"/>
      <c r="BC349" s="90"/>
      <c r="BD349" s="90"/>
      <c r="BE349" s="90"/>
      <c r="BF349" s="90"/>
      <c r="BG349" s="90"/>
      <c r="BH349" s="90"/>
      <c r="BI349" s="90"/>
      <c r="BJ349" s="90"/>
      <c r="BK349" s="90"/>
      <c r="BL349" s="90"/>
      <c r="BM349" s="90"/>
      <c r="BN349" s="90"/>
      <c r="BO349" s="90"/>
      <c r="BP349" s="90"/>
      <c r="BQ349" s="90"/>
      <c r="BR349" s="90"/>
      <c r="BS349" s="90"/>
      <c r="BT349" s="90"/>
      <c r="BU349" s="90"/>
      <c r="BV349" s="90"/>
      <c r="BW349" s="90"/>
      <c r="BX349" s="90"/>
      <c r="BY349" s="90"/>
      <c r="BZ349" s="90"/>
      <c r="CA349" s="91"/>
      <c r="CB349" s="92"/>
      <c r="CH349" s="64"/>
      <c r="CI349" s="64"/>
      <c r="CJ349" s="64"/>
      <c r="CK349" s="64"/>
      <c r="CL349" s="64"/>
      <c r="CM349" s="64"/>
      <c r="CN349" s="64"/>
      <c r="CO349" s="64"/>
      <c r="CP349" s="64"/>
      <c r="CQ349" s="64"/>
      <c r="CR349" s="64"/>
      <c r="CS349" s="64"/>
      <c r="CT349" s="64"/>
      <c r="CU349" s="64"/>
      <c r="CV349" s="64"/>
      <c r="CW349" s="64"/>
      <c r="CX349" s="64"/>
      <c r="CY349" s="64"/>
      <c r="CZ349" s="64"/>
      <c r="DA349" s="64"/>
      <c r="DB349" s="64"/>
      <c r="DC349" s="64"/>
      <c r="DD349" s="64"/>
      <c r="DE349" s="64"/>
      <c r="DF349" s="64"/>
      <c r="DG349" s="64"/>
      <c r="DH349" s="64"/>
      <c r="DI349" s="64"/>
      <c r="DJ349" s="64"/>
      <c r="DK349" s="64"/>
      <c r="DL349" s="64"/>
      <c r="DM349" s="64"/>
      <c r="DN349" s="64"/>
      <c r="DO349" s="64"/>
      <c r="DP349" s="64"/>
      <c r="DQ349" s="64"/>
      <c r="DR349" s="64"/>
      <c r="DS349" s="64"/>
      <c r="DT349" s="64"/>
      <c r="DU349" s="64"/>
      <c r="DV349" s="64"/>
      <c r="DW349" s="64"/>
      <c r="DX349" s="64"/>
      <c r="DY349" s="64"/>
      <c r="DZ349" s="64"/>
    </row>
  </sheetData>
  <autoFilter ref="B4:CB349" xr:uid="{D6185A68-BA48-45E7-B262-844E8111256C}"/>
  <mergeCells count="9"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320:I320 B334:I334 B326:I326 B45:D45 B52:H52 B61:H61 B321:AR325 B335:AR349 B327:AR333 F45:CB45 B46:CB50 J51:CB52 B62:CB62 K43:CB43 B44:CB44 K63:CB63 K257:CB257 B316:CB316 K315:CB315 K317:CB317 I169:CA169 K104:CB104 J60:CB61 B53:CB59 J64:CB66 B67:CB103 B105:CB146 B258:CB314 I172:I179 B172:H180 J172:CB180 B5:CB42 B318:AR319 AS318:CB349 I147:I168 B147:H169 CB147:CB169 J147:AR169 AS147:CA168 B181:CB256 J180:J182 B170:CB171 J169:J171">
    <cfRule type="expression" dxfId="27" priority="98">
      <formula>AND($I5&lt;&gt;1,$I5&lt;&gt;"")</formula>
    </cfRule>
  </conditionalFormatting>
  <conditionalFormatting sqref="I180:AR180">
    <cfRule type="expression" dxfId="26" priority="84">
      <formula>AND($I180&lt;&gt;1,$I180&lt;&gt;"")</formula>
    </cfRule>
  </conditionalFormatting>
  <conditionalFormatting sqref="E45">
    <cfRule type="expression" dxfId="25" priority="73">
      <formula>AND($I45&lt;&gt;1,$I45&lt;&gt;"")</formula>
    </cfRule>
  </conditionalFormatting>
  <conditionalFormatting sqref="B64:H64">
    <cfRule type="expression" dxfId="24" priority="70">
      <formula>AND($I64&lt;&gt;1,$I64&lt;&gt;"")</formula>
    </cfRule>
  </conditionalFormatting>
  <conditionalFormatting sqref="B43:I43">
    <cfRule type="expression" dxfId="23" priority="65">
      <formula>AND($I43&lt;&gt;1,$I43&lt;&gt;"")</formula>
    </cfRule>
  </conditionalFormatting>
  <conditionalFormatting sqref="J43">
    <cfRule type="expression" dxfId="22" priority="59">
      <formula>AND($I43&lt;&gt;1,$I43&lt;&gt;"")</formula>
    </cfRule>
  </conditionalFormatting>
  <conditionalFormatting sqref="B51:H51">
    <cfRule type="expression" dxfId="21" priority="57">
      <formula>AND($I51&lt;&gt;1,$I51&lt;&gt;"")</formula>
    </cfRule>
  </conditionalFormatting>
  <conditionalFormatting sqref="I51">
    <cfRule type="expression" dxfId="20" priority="56">
      <formula>AND($I51&lt;&gt;1,$I51&lt;&gt;"")</formula>
    </cfRule>
  </conditionalFormatting>
  <conditionalFormatting sqref="I52">
    <cfRule type="expression" dxfId="19" priority="55">
      <formula>AND($I52&lt;&gt;1,$I52&lt;&gt;"")</formula>
    </cfRule>
  </conditionalFormatting>
  <conditionalFormatting sqref="B60:I60">
    <cfRule type="expression" dxfId="18" priority="52">
      <formula>AND($I60&lt;&gt;1,$I60&lt;&gt;"")</formula>
    </cfRule>
  </conditionalFormatting>
  <conditionalFormatting sqref="J60">
    <cfRule type="expression" dxfId="17" priority="51">
      <formula>AND($I60&lt;&gt;1,$I60&lt;&gt;"")</formula>
    </cfRule>
  </conditionalFormatting>
  <conditionalFormatting sqref="I61">
    <cfRule type="expression" dxfId="16" priority="50">
      <formula>AND($I61&lt;&gt;1,$I61&lt;&gt;"")</formula>
    </cfRule>
  </conditionalFormatting>
  <conditionalFormatting sqref="B63:I63">
    <cfRule type="expression" dxfId="15" priority="49">
      <formula>AND($I63&lt;&gt;1,$I63&lt;&gt;"")</formula>
    </cfRule>
  </conditionalFormatting>
  <conditionalFormatting sqref="J63">
    <cfRule type="expression" dxfId="14" priority="48">
      <formula>AND($I63&lt;&gt;1,$I63&lt;&gt;"")</formula>
    </cfRule>
  </conditionalFormatting>
  <conditionalFormatting sqref="I64">
    <cfRule type="expression" dxfId="13" priority="47">
      <formula>AND($I64&lt;&gt;1,$I64&lt;&gt;"")</formula>
    </cfRule>
  </conditionalFormatting>
  <conditionalFormatting sqref="B104:I104">
    <cfRule type="expression" dxfId="12" priority="37">
      <formula>AND($I104&lt;&gt;1,$I104&lt;&gt;"")</formula>
    </cfRule>
  </conditionalFormatting>
  <conditionalFormatting sqref="J104">
    <cfRule type="expression" dxfId="11" priority="35">
      <formula>AND($I104&lt;&gt;1,$I104&lt;&gt;"")</formula>
    </cfRule>
  </conditionalFormatting>
  <conditionalFormatting sqref="B257:I257">
    <cfRule type="expression" dxfId="10" priority="20">
      <formula>AND($I257&lt;&gt;1,$I257&lt;&gt;"")</formula>
    </cfRule>
  </conditionalFormatting>
  <conditionalFormatting sqref="J257">
    <cfRule type="expression" dxfId="9" priority="19">
      <formula>AND($I257&lt;&gt;1,$I257&lt;&gt;"")</formula>
    </cfRule>
  </conditionalFormatting>
  <conditionalFormatting sqref="B315:I315 B317:I317">
    <cfRule type="expression" dxfId="8" priority="12">
      <formula>AND($I315&lt;&gt;1,$I315&lt;&gt;"")</formula>
    </cfRule>
  </conditionalFormatting>
  <conditionalFormatting sqref="J317">
    <cfRule type="expression" dxfId="7" priority="11">
      <formula>AND($I317&lt;&gt;1,$I317&lt;&gt;"")</formula>
    </cfRule>
  </conditionalFormatting>
  <conditionalFormatting sqref="B66:H66">
    <cfRule type="expression" dxfId="6" priority="9">
      <formula>AND($I66&lt;&gt;1,$I66&lt;&gt;"")</formula>
    </cfRule>
  </conditionalFormatting>
  <conditionalFormatting sqref="I66">
    <cfRule type="expression" dxfId="5" priority="8">
      <formula>AND($I66&lt;&gt;1,$I66&lt;&gt;"")</formula>
    </cfRule>
  </conditionalFormatting>
  <conditionalFormatting sqref="B65:H65">
    <cfRule type="expression" dxfId="4" priority="6">
      <formula>AND($I65&lt;&gt;1,$I65&lt;&gt;"")</formula>
    </cfRule>
  </conditionalFormatting>
  <conditionalFormatting sqref="I65">
    <cfRule type="expression" dxfId="3" priority="5">
      <formula>AND($I65&lt;&gt;1,$I65&lt;&gt;"")</formula>
    </cfRule>
  </conditionalFormatting>
  <conditionalFormatting sqref="J59">
    <cfRule type="expression" dxfId="2" priority="3">
      <formula>AND($I59&lt;&gt;1,$I59&lt;&gt;"")</formula>
    </cfRule>
  </conditionalFormatting>
  <conditionalFormatting sqref="J181">
    <cfRule type="expression" dxfId="1" priority="2">
      <formula>AND($I181&lt;&gt;1,$I181&lt;&gt;"")</formula>
    </cfRule>
  </conditionalFormatting>
  <conditionalFormatting sqref="J180">
    <cfRule type="expression" dxfId="0" priority="1">
      <formula>AND($I180&lt;&gt;1,$I180&lt;&gt;"")</formula>
    </cfRule>
  </conditionalFormatting>
  <dataValidations count="1">
    <dataValidation type="list" allowBlank="1" showInputMessage="1" showErrorMessage="1" sqref="I5:I349" xr:uid="{CDD3132F-D59C-4B0A-9A7C-94B9D9A88440}">
      <formula1>"100%,80%,50%,30%,0%"</formula1>
    </dataValidation>
  </dataValidations>
  <hyperlinks>
    <hyperlink ref="CB68" location="toABC114_C_755" display="(→)" xr:uid="{C3DBC3A8-8FB5-4AEF-8FA5-1088932AB54B}"/>
    <hyperlink ref="CB183" location="toABC143_C_Slimes" display="(→)" xr:uid="{D0A14FDC-339D-483C-A7FB-42784F1DB2F9}"/>
    <hyperlink ref="CB195" location="toABC147_C_Honest_or_Unkind2" display="(→)" xr:uid="{5E89EE6B-F278-4D19-9890-D06616736879}"/>
    <hyperlink ref="CB201" location="toABC149_C_NextPrime" display="(→)" xr:uid="{B7EC79F3-9ECE-482D-BD97-C57882E1060F}"/>
    <hyperlink ref="J51" r:id="rId1" xr:uid="{55DF2281-CA3A-49E3-A548-9C77168C683F}"/>
    <hyperlink ref="J104" r:id="rId2" xr:uid="{38E0EAF4-C8D9-4697-98F9-FFD2638747C7}"/>
    <hyperlink ref="J317" r:id="rId3" xr:uid="{9EDCCA2D-396F-4375-BE7A-B1954A66EC32}"/>
    <hyperlink ref="J65" r:id="rId4" xr:uid="{A5E407FA-9175-4245-9950-2C7E04570900}"/>
    <hyperlink ref="J59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2020-10-24T06:38:26Z</dcterms:modified>
</cp:coreProperties>
</file>
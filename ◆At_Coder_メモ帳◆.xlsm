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D4AE75CB-E01E-4A88-A1EC-D2AC6F06DC55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C問題!$B$4:$CC$796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3" i="3" l="1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5" i="3"/>
  <c r="B584" i="3"/>
  <c r="B583" i="3"/>
  <c r="B582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796" i="3"/>
  <c r="B795" i="3"/>
  <c r="B590" i="3"/>
  <c r="B589" i="3"/>
  <c r="B588" i="3"/>
  <c r="B587" i="3"/>
  <c r="B586" i="3"/>
  <c r="B581" i="3"/>
  <c r="B580" i="3"/>
  <c r="B579" i="3"/>
  <c r="B578" i="3"/>
  <c r="B577" i="3"/>
  <c r="B576" i="3"/>
  <c r="B575" i="3"/>
  <c r="B574" i="3"/>
  <c r="B572" i="3"/>
  <c r="B571" i="3"/>
  <c r="B570" i="3"/>
  <c r="B569" i="3"/>
  <c r="B568" i="3"/>
  <c r="B567" i="3"/>
  <c r="B566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<sst xmlns="http://schemas.openxmlformats.org/spreadsheetml/2006/main" count="1206" uniqueCount="816">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</sst>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6"/>
  <sheetViews>
    <sheetView tabSelected="1" topLeftCell="E1" zoomScale="115" zoomScaleNormal="115" workbookViewId="0">
      <pane ySplit="4" topLeftCell="A552" activePane="bottomLeft" state="frozen"/>
      <selection pane="bottomLeft" activeCell="J565" sqref="J565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32" t="s">
        <v>8</v>
      </c>
      <c r="C2" s="134" t="s">
        <v>721</v>
      </c>
      <c r="D2" s="130" t="s">
        <v>140</v>
      </c>
      <c r="E2" s="131"/>
      <c r="F2" s="131"/>
      <c r="G2" s="147" t="s">
        <v>742</v>
      </c>
      <c r="H2" s="148"/>
      <c r="I2" s="147" t="s">
        <v>743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717</v>
      </c>
      <c r="I3" s="104" t="s">
        <v>10</v>
      </c>
      <c r="J3" s="103" t="s">
        <v>717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718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719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720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728</v>
      </c>
      <c r="G64" s="116">
        <v>44523</v>
      </c>
      <c r="H64" s="112">
        <v>0.5</v>
      </c>
      <c r="I64" s="119"/>
      <c r="J64" s="111"/>
      <c r="K64" s="56" t="s">
        <v>736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730</v>
      </c>
      <c r="G70" s="116">
        <v>44409</v>
      </c>
      <c r="H70" s="112">
        <v>1</v>
      </c>
      <c r="I70" s="119"/>
      <c r="J70" s="111"/>
      <c r="K70" s="56" t="s">
        <v>725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726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727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729</v>
      </c>
      <c r="G74" s="116">
        <v>44409</v>
      </c>
      <c r="H74" s="112">
        <v>1</v>
      </c>
      <c r="I74" s="119"/>
      <c r="J74" s="111"/>
      <c r="K74" s="85" t="s">
        <v>722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724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723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6" t="s">
        <v>648</v>
      </c>
      <c r="AD430" s="127"/>
      <c r="AE430" s="127"/>
      <c r="AF430" s="127"/>
      <c r="AG430" s="127"/>
      <c r="AH430" s="127"/>
      <c r="AI430" s="127"/>
      <c r="AJ430" s="127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7"/>
      <c r="AD431" s="127"/>
      <c r="AE431" s="127"/>
      <c r="AF431" s="127"/>
      <c r="AG431" s="127"/>
      <c r="AH431" s="127"/>
      <c r="AI431" s="127"/>
      <c r="AJ431" s="127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>
        <v>44652</v>
      </c>
      <c r="J563" s="109">
        <v>1</v>
      </c>
      <c r="K563" s="56" t="s">
        <v>812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9" t="s">
        <v>813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/>
      <c r="C565" s="53"/>
      <c r="D565" s="54"/>
      <c r="E565" s="54"/>
      <c r="F565" s="54"/>
      <c r="G565" s="116"/>
      <c r="H565" s="109"/>
      <c r="I565" s="116"/>
      <c r="J565" s="109"/>
      <c r="K565" s="59" t="s">
        <v>814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710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815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K569" s="56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>
        <f>IF(F570&lt;&gt;"",SUBTOTAL(3,$F$5:F570),"")</f>
        <v>114</v>
      </c>
      <c r="C570" s="53"/>
      <c r="D570" s="54" t="s">
        <v>138</v>
      </c>
      <c r="E570" s="54" t="s">
        <v>141</v>
      </c>
      <c r="F570" s="54" t="s">
        <v>711</v>
      </c>
      <c r="G570" s="116">
        <v>44321</v>
      </c>
      <c r="H570" s="109">
        <v>1</v>
      </c>
      <c r="I570" s="116">
        <v>44651</v>
      </c>
      <c r="J570" s="109">
        <v>1</v>
      </c>
      <c r="K570" s="56" t="s">
        <v>810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811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 t="s">
        <v>808</v>
      </c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6"/>
      <c r="H573" s="109"/>
      <c r="I573" s="116"/>
      <c r="J573" s="109"/>
      <c r="K573" s="56" t="s">
        <v>809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>
        <f>IF(F575&lt;&gt;"",SUBTOTAL(3,$F$5:F575),"")</f>
        <v>115</v>
      </c>
      <c r="C575" s="53"/>
      <c r="D575" s="54" t="s">
        <v>138</v>
      </c>
      <c r="E575" s="54" t="s">
        <v>141</v>
      </c>
      <c r="F575" s="54" t="s">
        <v>712</v>
      </c>
      <c r="G575" s="116">
        <v>44321</v>
      </c>
      <c r="H575" s="109">
        <v>1</v>
      </c>
      <c r="I575" s="116">
        <v>44650</v>
      </c>
      <c r="J575" s="109">
        <v>1</v>
      </c>
      <c r="K575" s="56" t="s">
        <v>805</v>
      </c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 t="s">
        <v>806</v>
      </c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 t="str">
        <f>IF(F577&lt;&gt;"",SUBTOTAL(3,$F$5:F577),"")</f>
        <v/>
      </c>
      <c r="C577" s="53"/>
      <c r="D577" s="54"/>
      <c r="E577" s="54"/>
      <c r="F577" s="54"/>
      <c r="G577" s="116"/>
      <c r="H577" s="109"/>
      <c r="I577" s="116"/>
      <c r="J577" s="109"/>
      <c r="K577" s="56" t="s">
        <v>807</v>
      </c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E578" s="59" t="s">
        <v>1</v>
      </c>
      <c r="CF578" s="59" t="s">
        <v>734</v>
      </c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>
        <f>IF(F579&lt;&gt;"",SUBTOTAL(3,$F$5:F579),"")</f>
        <v>116</v>
      </c>
      <c r="C579" s="53"/>
      <c r="D579" s="54" t="s">
        <v>138</v>
      </c>
      <c r="E579" s="54" t="s">
        <v>141</v>
      </c>
      <c r="F579" s="54" t="s">
        <v>713</v>
      </c>
      <c r="G579" s="116">
        <v>44327</v>
      </c>
      <c r="H579" s="109">
        <v>1</v>
      </c>
      <c r="I579" s="116">
        <v>44649</v>
      </c>
      <c r="J579" s="109">
        <v>1</v>
      </c>
      <c r="K579" s="56" t="s">
        <v>731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E579" s="59" t="s">
        <v>1</v>
      </c>
      <c r="CF579" s="59" t="s">
        <v>733</v>
      </c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 t="s">
        <v>732</v>
      </c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 t="str">
        <f>IF(F581&lt;&gt;"",SUBTOTAL(3,$F$5:F581),"")</f>
        <v/>
      </c>
      <c r="C581" s="53"/>
      <c r="D581" s="54"/>
      <c r="E581" s="54"/>
      <c r="F581" s="54"/>
      <c r="G581" s="116"/>
      <c r="H581" s="109"/>
      <c r="I581" s="116"/>
      <c r="J581" s="109"/>
      <c r="K581" s="56" t="s">
        <v>735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>
        <f>IF(F583&lt;&gt;"",SUBTOTAL(3,$F$5:F583),"")</f>
        <v>117</v>
      </c>
      <c r="C583" s="53"/>
      <c r="D583" s="54" t="s">
        <v>138</v>
      </c>
      <c r="E583" s="54" t="s">
        <v>141</v>
      </c>
      <c r="F583" s="54" t="s">
        <v>716</v>
      </c>
      <c r="G583" s="116">
        <v>44327</v>
      </c>
      <c r="H583" s="109">
        <v>0.8</v>
      </c>
      <c r="I583" s="116"/>
      <c r="J583" s="109"/>
      <c r="K583" s="56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 t="str">
        <f>IF(F585&lt;&gt;"",SUBTOTAL(3,$F$5:F585),"")</f>
        <v/>
      </c>
      <c r="C585" s="53"/>
      <c r="D585" s="54"/>
      <c r="E585" s="54"/>
      <c r="F585" s="54"/>
      <c r="G585" s="116"/>
      <c r="H585" s="109"/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>
        <f>IF(F587&lt;&gt;"",SUBTOTAL(3,$F$5:F587),"")</f>
        <v>118</v>
      </c>
      <c r="C587" s="53"/>
      <c r="D587" s="54" t="s">
        <v>138</v>
      </c>
      <c r="E587" s="54" t="s">
        <v>141</v>
      </c>
      <c r="F587" s="54" t="s">
        <v>714</v>
      </c>
      <c r="G587" s="116">
        <v>44334</v>
      </c>
      <c r="H587" s="109">
        <v>1</v>
      </c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 t="str">
        <f>IF(F589&lt;&gt;"",SUBTOTAL(3,$F$5:F589),"")</f>
        <v/>
      </c>
      <c r="C589" s="53"/>
      <c r="D589" s="54"/>
      <c r="E589" s="54"/>
      <c r="F589" s="54"/>
      <c r="G589" s="116"/>
      <c r="H589" s="109"/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>
        <f>IF(F591&lt;&gt;"",SUBTOTAL(3,$F$5:F591),"")</f>
        <v>119</v>
      </c>
      <c r="C591" s="53"/>
      <c r="D591" s="54" t="s">
        <v>138</v>
      </c>
      <c r="E591" s="54" t="s">
        <v>141</v>
      </c>
      <c r="F591" s="54" t="s">
        <v>715</v>
      </c>
      <c r="G591" s="116">
        <v>44335</v>
      </c>
      <c r="H591" s="109">
        <v>0.5</v>
      </c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 t="str">
        <f>IF(F593&lt;&gt;"",SUBTOTAL(3,$F$5:F593),"")</f>
        <v/>
      </c>
      <c r="C593" s="53"/>
      <c r="D593" s="54"/>
      <c r="E593" s="54"/>
      <c r="F593" s="54"/>
      <c r="G593" s="116"/>
      <c r="H593" s="109"/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76" t="str">
        <f>IF(F796&lt;&gt;"",SUBTOTAL(3,$F$5:F796),"")</f>
        <v/>
      </c>
      <c r="C796" s="76"/>
      <c r="D796" s="77"/>
      <c r="E796" s="77"/>
      <c r="F796" s="77"/>
      <c r="G796" s="118"/>
      <c r="H796" s="113"/>
      <c r="I796" s="118"/>
      <c r="J796" s="113"/>
      <c r="K796" s="78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  <c r="AD796" s="79"/>
      <c r="AE796" s="79"/>
      <c r="AF796" s="79"/>
      <c r="AG796" s="79"/>
      <c r="AH796" s="79"/>
      <c r="AI796" s="79"/>
      <c r="AJ796" s="79"/>
      <c r="AK796" s="79"/>
      <c r="AL796" s="79"/>
      <c r="AM796" s="79"/>
      <c r="AN796" s="79"/>
      <c r="AO796" s="79"/>
      <c r="AP796" s="79"/>
      <c r="AQ796" s="79"/>
      <c r="AR796" s="79"/>
      <c r="AS796" s="80"/>
      <c r="AT796" s="78"/>
      <c r="AU796" s="79"/>
      <c r="AV796" s="79"/>
      <c r="AW796" s="79"/>
      <c r="AX796" s="79"/>
      <c r="AY796" s="79"/>
      <c r="AZ796" s="79"/>
      <c r="BA796" s="79"/>
      <c r="BB796" s="79"/>
      <c r="BC796" s="79"/>
      <c r="BD796" s="79"/>
      <c r="BE796" s="79"/>
      <c r="BF796" s="79"/>
      <c r="BG796" s="79"/>
      <c r="BH796" s="79"/>
      <c r="BI796" s="79"/>
      <c r="BJ796" s="79"/>
      <c r="BK796" s="79"/>
      <c r="BL796" s="79"/>
      <c r="BM796" s="79"/>
      <c r="BN796" s="79"/>
      <c r="BO796" s="79"/>
      <c r="BP796" s="79"/>
      <c r="BQ796" s="79"/>
      <c r="BR796" s="79"/>
      <c r="BS796" s="79"/>
      <c r="BT796" s="79"/>
      <c r="BU796" s="79"/>
      <c r="BV796" s="79"/>
      <c r="BW796" s="79"/>
      <c r="BX796" s="79"/>
      <c r="BY796" s="79"/>
      <c r="BZ796" s="79"/>
      <c r="CA796" s="79"/>
      <c r="CB796" s="80"/>
      <c r="CC796" s="81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</sheetData>
  <autoFilter ref="B4:CC796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74:CC796 B5:CC562 B563:J565 L563:CC565 B566:CC572">
    <cfRule type="expression" dxfId="17" priority="3">
      <formula>AND($H5&lt;&gt;1, $H5&lt;&gt;"",$J5&lt;&gt;1)</formula>
    </cfRule>
  </conditionalFormatting>
  <conditionalFormatting sqref="B573:CC573">
    <cfRule type="expression" dxfId="16" priority="1">
      <formula>AND($H573&lt;&gt;1, $H573&lt;&gt;"",$J573&lt;&gt;1)</formula>
    </cfRule>
  </conditionalFormatting>
  <conditionalFormatting sqref="K568">
    <cfRule type="expression" dxfId="15" priority="23">
      <formula>AND($H563&lt;&gt;1, $H563&lt;&gt;"",$J563&lt;&gt;1)</formula>
    </cfRule>
  </conditionalFormatting>
  <conditionalFormatting sqref="K563">
    <cfRule type="expression" dxfId="14" priority="25">
      <formula>AND($H564&lt;&gt;1, $H564&lt;&gt;"",$J564&lt;&gt;1)</formula>
    </cfRule>
  </conditionalFormatting>
  <dataValidations count="1">
    <dataValidation type="list" allowBlank="1" showInputMessage="1" showErrorMessage="1" sqref="H5:H796 J5:J796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32" t="s">
        <v>8</v>
      </c>
      <c r="C2" s="134" t="s">
        <v>721</v>
      </c>
      <c r="D2" s="130" t="s">
        <v>140</v>
      </c>
      <c r="E2" s="131"/>
      <c r="F2" s="131"/>
      <c r="G2" s="147" t="s">
        <v>742</v>
      </c>
      <c r="H2" s="148"/>
      <c r="I2" s="147" t="s">
        <v>743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717</v>
      </c>
      <c r="I3" s="104" t="s">
        <v>10</v>
      </c>
      <c r="J3" s="122" t="s">
        <v>717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738</v>
      </c>
      <c r="E5" s="54" t="s">
        <v>740</v>
      </c>
      <c r="F5" s="54" t="s">
        <v>741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745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746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747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749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744</v>
      </c>
      <c r="L7" s="57" t="s">
        <v>748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737</v>
      </c>
      <c r="E9" s="54" t="s">
        <v>739</v>
      </c>
      <c r="F9" s="54" t="s">
        <v>750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752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753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737</v>
      </c>
      <c r="E12" s="54" t="s">
        <v>739</v>
      </c>
      <c r="F12" s="54" t="s">
        <v>751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754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757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756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755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758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759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760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761</v>
      </c>
      <c r="M19" s="57"/>
      <c r="N19" s="57" t="s">
        <v>762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763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737</v>
      </c>
      <c r="E22" s="54" t="s">
        <v>739</v>
      </c>
      <c r="F22" s="54" t="s">
        <v>764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765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766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767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768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770</v>
      </c>
      <c r="M26" s="57"/>
      <c r="N26" s="57"/>
      <c r="O26" s="57"/>
      <c r="P26" s="57" t="s">
        <v>773</v>
      </c>
      <c r="Q26" s="57"/>
      <c r="R26" s="57" t="s">
        <v>774</v>
      </c>
      <c r="S26" s="57"/>
      <c r="T26" s="57"/>
      <c r="U26" s="57" t="s">
        <v>781</v>
      </c>
      <c r="V26" s="57"/>
      <c r="W26" s="57"/>
      <c r="X26" s="57" t="s">
        <v>786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771</v>
      </c>
      <c r="M27" s="57"/>
      <c r="N27" s="57"/>
      <c r="O27" s="57"/>
      <c r="P27" s="57" t="s">
        <v>775</v>
      </c>
      <c r="Q27" s="57"/>
      <c r="R27" s="57" t="s">
        <v>776</v>
      </c>
      <c r="S27" s="57"/>
      <c r="T27" s="57"/>
      <c r="U27" s="57" t="s">
        <v>782</v>
      </c>
      <c r="V27" s="57"/>
      <c r="W27" s="57"/>
      <c r="X27" s="57" t="s">
        <v>787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772</v>
      </c>
      <c r="M28" s="57"/>
      <c r="N28" s="57"/>
      <c r="O28" s="57"/>
      <c r="P28" s="57" t="s">
        <v>777</v>
      </c>
      <c r="Q28" s="57"/>
      <c r="R28" s="57" t="s">
        <v>778</v>
      </c>
      <c r="S28" s="57"/>
      <c r="T28" s="57"/>
      <c r="U28" s="57" t="s">
        <v>783</v>
      </c>
      <c r="V28" s="57"/>
      <c r="W28" s="57"/>
      <c r="X28" s="57" t="s">
        <v>788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792</v>
      </c>
      <c r="M29" s="57"/>
      <c r="N29" s="57"/>
      <c r="O29" s="57"/>
      <c r="P29" s="57" t="s">
        <v>793</v>
      </c>
      <c r="Q29" s="57"/>
      <c r="R29" s="57" t="s">
        <v>794</v>
      </c>
      <c r="S29" s="57"/>
      <c r="T29" s="57"/>
      <c r="U29" s="57" t="s">
        <v>795</v>
      </c>
      <c r="V29" s="57"/>
      <c r="W29" s="57"/>
      <c r="X29" s="57" t="s">
        <v>796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23" t="s">
        <v>769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779</v>
      </c>
      <c r="M31" s="57"/>
      <c r="N31" s="57"/>
      <c r="O31" s="57"/>
      <c r="P31" s="57" t="s">
        <v>780</v>
      </c>
      <c r="Q31" s="57"/>
      <c r="R31" s="57"/>
      <c r="S31" s="57"/>
      <c r="T31" s="57"/>
      <c r="U31" s="57" t="s">
        <v>784</v>
      </c>
      <c r="V31" s="57"/>
      <c r="W31" s="57"/>
      <c r="X31" s="57" t="s">
        <v>785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789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790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791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23" t="s">
        <v>769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797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800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25">
        <v>0</v>
      </c>
      <c r="I38" s="116"/>
      <c r="J38" s="109"/>
      <c r="K38" s="56"/>
      <c r="L38" s="57" t="s">
        <v>801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25">
        <v>0</v>
      </c>
      <c r="I39" s="116"/>
      <c r="J39" s="109"/>
      <c r="K39" s="56" t="s">
        <v>1</v>
      </c>
      <c r="L39" s="57" t="s">
        <v>802</v>
      </c>
      <c r="M39" s="57"/>
      <c r="N39" s="124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25">
        <v>0</v>
      </c>
      <c r="I40" s="116"/>
      <c r="J40" s="109"/>
      <c r="K40" s="56"/>
      <c r="L40" s="57" t="s">
        <v>803</v>
      </c>
      <c r="M40" s="57"/>
      <c r="N40" s="124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25">
        <v>0</v>
      </c>
      <c r="I41" s="116"/>
      <c r="J41" s="109"/>
      <c r="K41" s="56"/>
      <c r="L41" s="57" t="s">
        <v>804</v>
      </c>
      <c r="M41" s="57"/>
      <c r="N41" s="124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25">
        <v>0</v>
      </c>
      <c r="I42" s="116"/>
      <c r="J42" s="109"/>
      <c r="K42" s="56"/>
      <c r="L42" s="57" t="s">
        <v>798</v>
      </c>
      <c r="M42" s="57"/>
      <c r="N42" s="124" t="s">
        <v>799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25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2022-04-02T00:26:23Z</dcterms:modified>
</cp:coreProperties>
</file>
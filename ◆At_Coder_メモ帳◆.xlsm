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DE9C868-6392-466E-9BC0-8215A837763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At_Coder_C問題!$J$192</definedName>
    <definedName name="fromABC147_C_Honest_or_Unkind2">At_Coder_C問題!$J$198</definedName>
    <definedName name="fromABC149_C_NextPrime">At_Coder_C問題!$J$202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4" i="3" l="1"/>
  <c r="B180" i="3"/>
  <c r="B158" i="3"/>
  <c r="B159" i="3"/>
  <c r="B203" i="3" l="1"/>
  <c r="B204" i="3"/>
  <c r="B209" i="3"/>
  <c r="B208" i="3"/>
  <c r="B207" i="3"/>
  <c r="B206" i="3"/>
  <c r="B212" i="3" l="1"/>
  <c r="B211" i="3"/>
  <c r="B201" i="3"/>
  <c r="B200" i="3"/>
  <c r="B174" i="3" l="1"/>
  <c r="B177" i="3"/>
  <c r="B178" i="3"/>
  <c r="B176" i="3"/>
  <c r="B30" i="3"/>
  <c r="B29" i="3"/>
  <c r="B28" i="3"/>
  <c r="B27" i="3"/>
  <c r="B138" i="3" l="1"/>
  <c r="B253" i="3"/>
  <c r="B254" i="3"/>
  <c r="B252" i="3"/>
  <c r="B255" i="3"/>
  <c r="B20" i="3" l="1"/>
  <c r="B13" i="3"/>
  <c r="B6" i="3" l="1"/>
  <c r="B62" i="3" l="1"/>
  <c r="B63" i="3"/>
  <c r="B297" i="3" l="1"/>
  <c r="B296" i="3"/>
  <c r="B295" i="3"/>
  <c r="B294" i="3"/>
  <c r="B293" i="3"/>
  <c r="B292" i="3"/>
  <c r="B289" i="3"/>
  <c r="B287" i="3"/>
  <c r="B286" i="3"/>
  <c r="B285" i="3"/>
  <c r="B284" i="3"/>
  <c r="B283" i="3"/>
  <c r="B282" i="3"/>
  <c r="B290" i="3"/>
  <c r="B288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59" i="3"/>
  <c r="B258" i="3"/>
  <c r="B257" i="3"/>
  <c r="B256" i="3"/>
  <c r="B250" i="3"/>
  <c r="B249" i="3"/>
  <c r="B248" i="3"/>
  <c r="B247" i="3"/>
  <c r="B246" i="3"/>
  <c r="B245" i="3"/>
  <c r="B244" i="3"/>
  <c r="B241" i="3"/>
  <c r="B240" i="3"/>
  <c r="J236" i="3"/>
  <c r="B236" i="3"/>
  <c r="B235" i="3"/>
  <c r="B234" i="3"/>
  <c r="B233" i="3"/>
  <c r="B232" i="3"/>
  <c r="B231" i="3"/>
  <c r="B230" i="3"/>
  <c r="B191" i="3"/>
  <c r="B190" i="3"/>
  <c r="B189" i="3"/>
  <c r="B188" i="3"/>
  <c r="B187" i="3"/>
  <c r="B186" i="3"/>
  <c r="B185" i="3"/>
  <c r="B184" i="3"/>
  <c r="B183" i="3"/>
  <c r="B182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298" i="3" l="1"/>
  <c r="B237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30" i="3" l="1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1" i="3"/>
  <c r="B262" i="3"/>
  <c r="B261" i="3"/>
  <c r="B260" i="3"/>
  <c r="B251" i="3"/>
  <c r="B243" i="3"/>
  <c r="B242" i="3"/>
  <c r="B239" i="3"/>
  <c r="B238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0" i="3"/>
  <c r="B205" i="3"/>
  <c r="B202" i="3"/>
  <c r="B199" i="3"/>
  <c r="B198" i="3"/>
  <c r="B197" i="3"/>
  <c r="B196" i="3"/>
  <c r="B195" i="3"/>
  <c r="B193" i="3"/>
  <c r="B192" i="3"/>
  <c r="B181" i="3"/>
  <c r="B179" i="3"/>
  <c r="B175" i="3"/>
  <c r="B173" i="3"/>
  <c r="B160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<sst xmlns="http://schemas.openxmlformats.org/spreadsheetml/2006/main" count="751" uniqueCount="441">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</sst>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291</xdr:row>
      <xdr:rowOff>33337</xdr:rowOff>
    </xdr:from>
    <xdr:to>
      <xdr:col>16</xdr:col>
      <xdr:colOff>38100</xdr:colOff>
      <xdr:row>291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293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292</xdr:row>
      <xdr:rowOff>35719</xdr:rowOff>
    </xdr:from>
    <xdr:to>
      <xdr:col>21</xdr:col>
      <xdr:colOff>133350</xdr:colOff>
      <xdr:row>293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30"/>
  <sheetViews>
    <sheetView tabSelected="1" zoomScaleNormal="100" workbookViewId="0">
      <pane xSplit="7" ySplit="4" topLeftCell="H170" activePane="bottomRight" state="frozen"/>
      <selection pane="topRight" activeCell="H1" sqref="H1"/>
      <selection pane="bottomLeft" activeCell="A5" sqref="A5"/>
      <selection pane="bottomRight" activeCell="J194" sqref="J194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>
        <v>1</v>
      </c>
      <c r="J157" s="77" t="s">
        <v>438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ht="13.5" customHeight="1" x14ac:dyDescent="0.15">
      <c r="B158" s="102" t="str">
        <f>IF(G158&lt;&gt;"",SUBTOTAL(3,$G$5:G158),"")</f>
        <v/>
      </c>
      <c r="C158" s="75"/>
      <c r="D158" s="75"/>
      <c r="E158" s="76"/>
      <c r="F158" s="76"/>
      <c r="G158" s="74"/>
      <c r="H158" s="61"/>
      <c r="I158" s="70">
        <v>1</v>
      </c>
      <c r="J158" s="77" t="s">
        <v>439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78"/>
      <c r="AS158" s="77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78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ht="13.5" customHeight="1" x14ac:dyDescent="0.15">
      <c r="B159" s="102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7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78"/>
      <c r="AS159" s="77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78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>
        <f>IF(G160&lt;&gt;"",SUBTOTAL(3,$G$5:G160),"")</f>
        <v>51</v>
      </c>
      <c r="C160" s="75"/>
      <c r="D160" s="75"/>
      <c r="E160" s="76" t="s">
        <v>139</v>
      </c>
      <c r="F160" s="76" t="s">
        <v>135</v>
      </c>
      <c r="G160" s="74" t="s">
        <v>176</v>
      </c>
      <c r="H160" s="61">
        <v>43955</v>
      </c>
      <c r="I160" s="62">
        <v>1</v>
      </c>
      <c r="J160" s="79" t="s">
        <v>317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262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318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319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266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320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321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322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323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324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272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/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52</v>
      </c>
      <c r="C173" s="75"/>
      <c r="D173" s="75"/>
      <c r="E173" s="76" t="s">
        <v>139</v>
      </c>
      <c r="F173" s="76" t="s">
        <v>135</v>
      </c>
      <c r="G173" s="74" t="s">
        <v>177</v>
      </c>
      <c r="H173" s="61">
        <v>43967</v>
      </c>
      <c r="I173" s="103">
        <v>1</v>
      </c>
      <c r="J173" s="77" t="s">
        <v>426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7" t="s">
        <v>427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75">
        <f>IF(G175&lt;&gt;"",SUBTOTAL(3,$G$5:G175),"")</f>
        <v>53</v>
      </c>
      <c r="C175" s="75"/>
      <c r="D175" s="75"/>
      <c r="E175" s="76" t="s">
        <v>139</v>
      </c>
      <c r="F175" s="76" t="s">
        <v>135</v>
      </c>
      <c r="G175" s="74" t="s">
        <v>178</v>
      </c>
      <c r="H175" s="61">
        <v>43870</v>
      </c>
      <c r="I175" s="62">
        <v>1</v>
      </c>
      <c r="J175" s="77" t="s">
        <v>423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424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 t="s">
        <v>425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102" t="str">
        <f>IF(G178&lt;&gt;"",SUBTOTAL(3,$G$5:G178),"")</f>
        <v/>
      </c>
      <c r="C178" s="75"/>
      <c r="D178" s="75"/>
      <c r="E178" s="76"/>
      <c r="F178" s="76"/>
      <c r="G178" s="74"/>
      <c r="H178" s="61"/>
      <c r="I178" s="68"/>
      <c r="J178" s="77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>
        <f>IF(G179&lt;&gt;"",SUBTOTAL(3,$G$5:G179),"")</f>
        <v>54</v>
      </c>
      <c r="C179" s="75"/>
      <c r="D179" s="75"/>
      <c r="E179" s="76" t="s">
        <v>139</v>
      </c>
      <c r="F179" s="76" t="s">
        <v>135</v>
      </c>
      <c r="G179" s="74" t="s">
        <v>179</v>
      </c>
      <c r="H179" s="61">
        <v>43869</v>
      </c>
      <c r="I179" s="62">
        <v>1</v>
      </c>
      <c r="J179" s="77" t="s">
        <v>440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7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>
        <f>IF(G181&lt;&gt;"",SUBTOTAL(3,$G$5:G181),"")</f>
        <v>55</v>
      </c>
      <c r="C181" s="75"/>
      <c r="D181" s="75"/>
      <c r="E181" s="76" t="s">
        <v>139</v>
      </c>
      <c r="F181" s="76" t="s">
        <v>135</v>
      </c>
      <c r="G181" s="74" t="s">
        <v>89</v>
      </c>
      <c r="H181" s="61">
        <v>43961</v>
      </c>
      <c r="I181" s="62">
        <v>1</v>
      </c>
      <c r="J181" s="79" t="s">
        <v>326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262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327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328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266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320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329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330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323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272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56</v>
      </c>
      <c r="C192" s="75"/>
      <c r="D192" s="75"/>
      <c r="E192" s="76" t="s">
        <v>139</v>
      </c>
      <c r="F192" s="76" t="s">
        <v>135</v>
      </c>
      <c r="G192" s="74" t="s">
        <v>180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82" t="s">
        <v>13</v>
      </c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57</v>
      </c>
      <c r="C193" s="75"/>
      <c r="D193" s="75"/>
      <c r="E193" s="76" t="s">
        <v>139</v>
      </c>
      <c r="F193" s="76" t="s">
        <v>135</v>
      </c>
      <c r="G193" s="74" t="s">
        <v>181</v>
      </c>
      <c r="H193" s="61">
        <v>43995</v>
      </c>
      <c r="I193" s="62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102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58</v>
      </c>
      <c r="C195" s="75"/>
      <c r="D195" s="75"/>
      <c r="E195" s="76" t="s">
        <v>139</v>
      </c>
      <c r="F195" s="76" t="s">
        <v>135</v>
      </c>
      <c r="G195" s="74" t="s">
        <v>182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59</v>
      </c>
      <c r="C196" s="75"/>
      <c r="D196" s="75"/>
      <c r="E196" s="76" t="s">
        <v>139</v>
      </c>
      <c r="F196" s="76" t="s">
        <v>135</v>
      </c>
      <c r="G196" s="74" t="s">
        <v>183</v>
      </c>
      <c r="H196" s="61">
        <v>43961</v>
      </c>
      <c r="I196" s="62"/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60</v>
      </c>
      <c r="C197" s="75"/>
      <c r="D197" s="75"/>
      <c r="E197" s="76" t="s">
        <v>139</v>
      </c>
      <c r="F197" s="76" t="s">
        <v>135</v>
      </c>
      <c r="G197" s="74" t="s">
        <v>184</v>
      </c>
      <c r="H197" s="61">
        <v>43995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61</v>
      </c>
      <c r="C198" s="75"/>
      <c r="D198" s="75"/>
      <c r="E198" s="76" t="s">
        <v>139</v>
      </c>
      <c r="F198" s="76" t="s">
        <v>135</v>
      </c>
      <c r="G198" s="74" t="s">
        <v>185</v>
      </c>
      <c r="H198" s="61">
        <v>44006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82" t="s">
        <v>13</v>
      </c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62</v>
      </c>
      <c r="C199" s="75"/>
      <c r="D199" s="75"/>
      <c r="E199" s="76" t="s">
        <v>139</v>
      </c>
      <c r="F199" s="76" t="s">
        <v>135</v>
      </c>
      <c r="G199" s="74" t="s">
        <v>15</v>
      </c>
      <c r="H199" s="61">
        <v>43995</v>
      </c>
      <c r="I199" s="62">
        <v>1</v>
      </c>
      <c r="J199" s="77" t="s">
        <v>428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82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102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7" t="s">
        <v>429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102" t="str">
        <f>IF(G201&lt;&gt;"",SUBTOTAL(3,$G$5:G201),"")</f>
        <v/>
      </c>
      <c r="C201" s="75"/>
      <c r="D201" s="75"/>
      <c r="E201" s="76"/>
      <c r="F201" s="76"/>
      <c r="G201" s="74"/>
      <c r="H201" s="61"/>
      <c r="I201" s="70">
        <v>1</v>
      </c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63</v>
      </c>
      <c r="C202" s="75"/>
      <c r="D202" s="75"/>
      <c r="E202" s="76" t="s">
        <v>139</v>
      </c>
      <c r="F202" s="76" t="s">
        <v>135</v>
      </c>
      <c r="G202" s="74" t="s">
        <v>186</v>
      </c>
      <c r="H202" s="61">
        <v>43871</v>
      </c>
      <c r="I202" s="62">
        <v>1</v>
      </c>
      <c r="J202" s="77" t="s">
        <v>436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 t="s">
        <v>13</v>
      </c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 t="s">
        <v>437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102" t="str">
        <f>IF(G204&lt;&gt;"",SUBTOTAL(3,$G$5:G204),"")</f>
        <v/>
      </c>
      <c r="C204" s="75"/>
      <c r="D204" s="75"/>
      <c r="E204" s="76"/>
      <c r="F204" s="76"/>
      <c r="G204" s="74"/>
      <c r="H204" s="61"/>
      <c r="I204" s="70">
        <v>1</v>
      </c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IF(G205&lt;&gt;"",SUBTOTAL(3,$G$5:G205),"")</f>
        <v>64</v>
      </c>
      <c r="C205" s="75"/>
      <c r="D205" s="75"/>
      <c r="E205" s="76" t="s">
        <v>139</v>
      </c>
      <c r="F205" s="76" t="s">
        <v>135</v>
      </c>
      <c r="G205" s="74" t="s">
        <v>187</v>
      </c>
      <c r="H205" s="61">
        <v>43936</v>
      </c>
      <c r="I205" s="62">
        <v>1</v>
      </c>
      <c r="J205" s="77" t="s">
        <v>432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433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102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434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435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65</v>
      </c>
      <c r="C210" s="75"/>
      <c r="D210" s="75"/>
      <c r="E210" s="76" t="s">
        <v>139</v>
      </c>
      <c r="F210" s="76" t="s">
        <v>135</v>
      </c>
      <c r="G210" s="74" t="s">
        <v>188</v>
      </c>
      <c r="H210" s="61">
        <v>43935</v>
      </c>
      <c r="I210" s="62">
        <v>1</v>
      </c>
      <c r="J210" s="77" t="s">
        <v>431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430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66</v>
      </c>
      <c r="C213" s="75"/>
      <c r="D213" s="75"/>
      <c r="E213" s="76" t="s">
        <v>139</v>
      </c>
      <c r="F213" s="76" t="s">
        <v>135</v>
      </c>
      <c r="G213" s="74" t="s">
        <v>189</v>
      </c>
      <c r="H213" s="61">
        <v>43919</v>
      </c>
      <c r="I213" s="62"/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67</v>
      </c>
      <c r="C214" s="75"/>
      <c r="D214" s="75"/>
      <c r="E214" s="76" t="s">
        <v>139</v>
      </c>
      <c r="F214" s="76" t="s">
        <v>135</v>
      </c>
      <c r="G214" s="74" t="s">
        <v>190</v>
      </c>
      <c r="H214" s="61">
        <v>43995</v>
      </c>
      <c r="I214" s="62"/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68</v>
      </c>
      <c r="C215" s="75"/>
      <c r="D215" s="75"/>
      <c r="E215" s="76" t="s">
        <v>139</v>
      </c>
      <c r="F215" s="76" t="s">
        <v>135</v>
      </c>
      <c r="G215" s="74" t="s">
        <v>191</v>
      </c>
      <c r="H215" s="61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69</v>
      </c>
      <c r="C216" s="75"/>
      <c r="D216" s="75"/>
      <c r="E216" s="76" t="s">
        <v>139</v>
      </c>
      <c r="F216" s="76" t="s">
        <v>135</v>
      </c>
      <c r="G216" s="74" t="s">
        <v>192</v>
      </c>
      <c r="H216" s="61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70</v>
      </c>
      <c r="C217" s="75"/>
      <c r="D217" s="75"/>
      <c r="E217" s="76" t="s">
        <v>139</v>
      </c>
      <c r="F217" s="76" t="s">
        <v>135</v>
      </c>
      <c r="G217" s="74" t="s">
        <v>193</v>
      </c>
      <c r="H217" s="61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71</v>
      </c>
      <c r="C218" s="75"/>
      <c r="D218" s="75"/>
      <c r="E218" s="76" t="s">
        <v>139</v>
      </c>
      <c r="F218" s="76" t="s">
        <v>135</v>
      </c>
      <c r="G218" s="74" t="s">
        <v>194</v>
      </c>
      <c r="H218" s="61">
        <v>43975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72</v>
      </c>
      <c r="C219" s="75"/>
      <c r="D219" s="75"/>
      <c r="E219" s="76" t="s">
        <v>139</v>
      </c>
      <c r="F219" s="76" t="s">
        <v>135</v>
      </c>
      <c r="G219" s="74" t="s">
        <v>195</v>
      </c>
      <c r="H219" s="61">
        <v>43977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73</v>
      </c>
      <c r="C220" s="75"/>
      <c r="D220" s="75"/>
      <c r="E220" s="76" t="s">
        <v>139</v>
      </c>
      <c r="F220" s="76" t="s">
        <v>135</v>
      </c>
      <c r="G220" s="74" t="s">
        <v>196</v>
      </c>
      <c r="H220" s="61">
        <v>43977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74</v>
      </c>
      <c r="C221" s="75"/>
      <c r="D221" s="75"/>
      <c r="E221" s="76" t="s">
        <v>139</v>
      </c>
      <c r="F221" s="76" t="s">
        <v>135</v>
      </c>
      <c r="G221" s="74" t="s">
        <v>197</v>
      </c>
      <c r="H221" s="61">
        <v>43977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75</v>
      </c>
      <c r="C222" s="75"/>
      <c r="D222" s="75"/>
      <c r="E222" s="76" t="s">
        <v>139</v>
      </c>
      <c r="F222" s="76" t="s">
        <v>135</v>
      </c>
      <c r="G222" s="74" t="s">
        <v>198</v>
      </c>
      <c r="H222" s="61">
        <v>43995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76</v>
      </c>
      <c r="C223" s="75"/>
      <c r="D223" s="75"/>
      <c r="E223" s="76" t="s">
        <v>139</v>
      </c>
      <c r="F223" s="76" t="s">
        <v>135</v>
      </c>
      <c r="G223" s="74" t="s">
        <v>199</v>
      </c>
      <c r="H223" s="61">
        <v>43982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77</v>
      </c>
      <c r="C224" s="75"/>
      <c r="D224" s="75"/>
      <c r="E224" s="76" t="s">
        <v>139</v>
      </c>
      <c r="F224" s="76" t="s">
        <v>135</v>
      </c>
      <c r="G224" s="74" t="s">
        <v>200</v>
      </c>
      <c r="H224" s="61">
        <v>43989</v>
      </c>
      <c r="I224" s="62"/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IF(G225&lt;&gt;"",SUBTOTAL(3,$G$5:G225),"")</f>
        <v>78</v>
      </c>
      <c r="C225" s="75"/>
      <c r="D225" s="75"/>
      <c r="E225" s="76" t="s">
        <v>139</v>
      </c>
      <c r="F225" s="76" t="s">
        <v>135</v>
      </c>
      <c r="G225" s="74" t="s">
        <v>201</v>
      </c>
      <c r="H225" s="61">
        <v>43989</v>
      </c>
      <c r="I225" s="62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IF(G226&lt;&gt;"",SUBTOTAL(3,$G$5:G226),"")</f>
        <v>79</v>
      </c>
      <c r="C226" s="75"/>
      <c r="D226" s="75"/>
      <c r="E226" s="76" t="s">
        <v>139</v>
      </c>
      <c r="F226" s="76" t="s">
        <v>135</v>
      </c>
      <c r="G226" s="74" t="s">
        <v>202</v>
      </c>
      <c r="H226" s="61">
        <v>43991</v>
      </c>
      <c r="I226" s="62"/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80</v>
      </c>
      <c r="C227" s="75"/>
      <c r="D227" s="75"/>
      <c r="E227" s="76" t="s">
        <v>139</v>
      </c>
      <c r="F227" s="76" t="s">
        <v>135</v>
      </c>
      <c r="G227" s="74" t="s">
        <v>203</v>
      </c>
      <c r="H227" s="61">
        <v>43991</v>
      </c>
      <c r="I227" s="62"/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81</v>
      </c>
      <c r="C228" s="75"/>
      <c r="D228" s="75"/>
      <c r="E228" s="76" t="s">
        <v>139</v>
      </c>
      <c r="F228" s="76" t="s">
        <v>135</v>
      </c>
      <c r="G228" s="74" t="s">
        <v>204</v>
      </c>
      <c r="H228" s="61">
        <v>43992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x14ac:dyDescent="0.15">
      <c r="B229" s="75">
        <f>IF(G229&lt;&gt;"",SUBTOTAL(3,$G$5:G229),"")</f>
        <v>82</v>
      </c>
      <c r="C229" s="75"/>
      <c r="D229" s="75"/>
      <c r="E229" s="76" t="s">
        <v>139</v>
      </c>
      <c r="F229" s="76" t="s">
        <v>135</v>
      </c>
      <c r="G229" s="74" t="s">
        <v>205</v>
      </c>
      <c r="H229" s="61">
        <v>43994</v>
      </c>
      <c r="I229" s="62">
        <v>0.8</v>
      </c>
      <c r="J229" s="77" t="s">
        <v>331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4"/>
      <c r="H230" s="61"/>
      <c r="I230" s="68">
        <v>0.8</v>
      </c>
      <c r="J230" s="77" t="s">
        <v>332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75" t="str">
        <f>IF(G231&lt;&gt;"",SUBTOTAL(3,$G$5:G231),"")</f>
        <v/>
      </c>
      <c r="C231" s="75"/>
      <c r="D231" s="75"/>
      <c r="E231" s="76"/>
      <c r="F231" s="76"/>
      <c r="G231" s="74"/>
      <c r="H231" s="61"/>
      <c r="I231" s="68">
        <v>0.8</v>
      </c>
      <c r="J231" s="77" t="s">
        <v>333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x14ac:dyDescent="0.15">
      <c r="B232" s="75" t="str">
        <f>IF(G232&lt;&gt;"",SUBTOTAL(3,$G$5:G232),"")</f>
        <v/>
      </c>
      <c r="C232" s="75"/>
      <c r="D232" s="75"/>
      <c r="E232" s="76"/>
      <c r="F232" s="76"/>
      <c r="G232" s="74"/>
      <c r="H232" s="61"/>
      <c r="I232" s="68">
        <v>0.8</v>
      </c>
      <c r="J232" s="77" t="s">
        <v>334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x14ac:dyDescent="0.15">
      <c r="B233" s="75" t="str">
        <f>IF(G233&lt;&gt;"",SUBTOTAL(3,$G$5:G233),"")</f>
        <v/>
      </c>
      <c r="C233" s="75"/>
      <c r="D233" s="75"/>
      <c r="E233" s="76"/>
      <c r="F233" s="76"/>
      <c r="G233" s="74"/>
      <c r="H233" s="61"/>
      <c r="I233" s="68">
        <v>0.8</v>
      </c>
      <c r="J233" s="77" t="s">
        <v>335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4"/>
      <c r="H234" s="61"/>
      <c r="I234" s="68">
        <v>0.8</v>
      </c>
      <c r="J234" s="77" t="s">
        <v>336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4"/>
      <c r="H235" s="61"/>
      <c r="I235" s="68">
        <v>0.8</v>
      </c>
      <c r="J235" s="77" t="s">
        <v>337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4"/>
      <c r="H236" s="61"/>
      <c r="I236" s="68">
        <v>0.8</v>
      </c>
      <c r="J236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0.8</v>
      </c>
      <c r="J237" s="37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9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83</v>
      </c>
      <c r="C238" s="75"/>
      <c r="D238" s="75"/>
      <c r="E238" s="76" t="s">
        <v>139</v>
      </c>
      <c r="F238" s="76" t="s">
        <v>135</v>
      </c>
      <c r="G238" s="74" t="s">
        <v>206</v>
      </c>
      <c r="H238" s="61">
        <v>43995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>
        <f>IF(G239&lt;&gt;"",SUBTOTAL(3,$G$5:G239),"")</f>
        <v>84</v>
      </c>
      <c r="C239" s="75"/>
      <c r="D239" s="75"/>
      <c r="E239" s="76" t="s">
        <v>139</v>
      </c>
      <c r="F239" s="76" t="s">
        <v>135</v>
      </c>
      <c r="G239" s="74" t="s">
        <v>207</v>
      </c>
      <c r="H239" s="61">
        <v>43997</v>
      </c>
      <c r="I239" s="62">
        <v>1</v>
      </c>
      <c r="J239" s="77" t="s">
        <v>404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 t="s">
        <v>339</v>
      </c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403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 t="s">
        <v>405</v>
      </c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338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 t="s">
        <v>406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IF(G242&lt;&gt;"",SUBTOTAL(3,$G$5:G242),"")</f>
        <v>85</v>
      </c>
      <c r="C242" s="75"/>
      <c r="D242" s="75"/>
      <c r="E242" s="76" t="s">
        <v>139</v>
      </c>
      <c r="F242" s="76" t="s">
        <v>135</v>
      </c>
      <c r="G242" s="74" t="s">
        <v>208</v>
      </c>
      <c r="H242" s="61">
        <v>44004</v>
      </c>
      <c r="I242" s="62"/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>
        <f>IF(G243&lt;&gt;"",SUBTOTAL(3,$G$5:G243),"")</f>
        <v>86</v>
      </c>
      <c r="C243" s="75"/>
      <c r="D243" s="75"/>
      <c r="E243" s="76" t="s">
        <v>139</v>
      </c>
      <c r="F243" s="76" t="s">
        <v>142</v>
      </c>
      <c r="G243" s="76" t="s">
        <v>209</v>
      </c>
      <c r="H243" s="61">
        <v>44030</v>
      </c>
      <c r="I243" s="62">
        <v>1</v>
      </c>
      <c r="J243" s="77" t="s">
        <v>340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 t="s">
        <v>407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6"/>
      <c r="H244" s="61"/>
      <c r="I244" s="70">
        <v>1</v>
      </c>
      <c r="J244" s="77" t="s">
        <v>341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 t="s">
        <v>408</v>
      </c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 t="s">
        <v>342</v>
      </c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5.75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370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 t="s">
        <v>409</v>
      </c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 t="s">
        <v>410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>
        <f>IF(G251&lt;&gt;"",SUBTOTAL(3,$G$5:G251),"")</f>
        <v>87</v>
      </c>
      <c r="C251" s="75"/>
      <c r="D251" s="75"/>
      <c r="E251" s="76" t="s">
        <v>139</v>
      </c>
      <c r="F251" s="76" t="s">
        <v>142</v>
      </c>
      <c r="G251" s="76" t="s">
        <v>216</v>
      </c>
      <c r="H251" s="61">
        <v>44052</v>
      </c>
      <c r="I251" s="62">
        <v>0.5</v>
      </c>
      <c r="J251" s="77" t="s">
        <v>343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 t="s">
        <v>412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102" t="str">
        <f>IF(G252&lt;&gt;"",SUBTOTAL(3,$G$5:G252),"")</f>
        <v/>
      </c>
      <c r="C252" s="75"/>
      <c r="D252" s="75"/>
      <c r="E252" s="76"/>
      <c r="F252" s="76"/>
      <c r="G252" s="76"/>
      <c r="H252" s="61"/>
      <c r="I252" s="68">
        <v>0.5</v>
      </c>
      <c r="J252" s="77" t="s">
        <v>371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 t="s">
        <v>411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102" t="str">
        <f>IF(G253&lt;&gt;"",SUBTOTAL(3,$G$5:G253),"")</f>
        <v/>
      </c>
      <c r="C253" s="75"/>
      <c r="D253" s="75"/>
      <c r="E253" s="76"/>
      <c r="F253" s="76"/>
      <c r="G253" s="76"/>
      <c r="H253" s="61"/>
      <c r="I253" s="68">
        <v>0.5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413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102" t="str">
        <f>IF(G254&lt;&gt;"",SUBTOTAL(3,$G$5:G254),"")</f>
        <v/>
      </c>
      <c r="C254" s="75"/>
      <c r="D254" s="75"/>
      <c r="E254" s="76"/>
      <c r="F254" s="76"/>
      <c r="G254" s="76"/>
      <c r="H254" s="61"/>
      <c r="I254" s="68">
        <v>0.5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414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102" t="str">
        <f>IF(G255&lt;&gt;"",SUBTOTAL(3,$G$5:G255),"")</f>
        <v/>
      </c>
      <c r="C255" s="75"/>
      <c r="D255" s="75"/>
      <c r="E255" s="76"/>
      <c r="F255" s="76"/>
      <c r="G255" s="76"/>
      <c r="H255" s="61"/>
      <c r="I255" s="68">
        <v>0.5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416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68">
        <v>0.5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415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68">
        <v>0.5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417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68">
        <v>0.5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68">
        <v>0.5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75">
        <f>IF(G260&lt;&gt;"",SUBTOTAL(3,$G$5:G260),"")</f>
        <v>88</v>
      </c>
      <c r="C260" s="75"/>
      <c r="D260" s="75"/>
      <c r="E260" s="76" t="s">
        <v>139</v>
      </c>
      <c r="F260" s="76" t="s">
        <v>142</v>
      </c>
      <c r="G260" s="76" t="s">
        <v>223</v>
      </c>
      <c r="H260" s="61">
        <v>44062</v>
      </c>
      <c r="I260" s="62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75">
        <f>IF(G261&lt;&gt;"",SUBTOTAL(3,$G$5:G261),"")</f>
        <v>89</v>
      </c>
      <c r="C261" s="75"/>
      <c r="D261" s="75"/>
      <c r="E261" s="76" t="s">
        <v>139</v>
      </c>
      <c r="F261" s="76" t="s">
        <v>142</v>
      </c>
      <c r="G261" s="76" t="s">
        <v>224</v>
      </c>
      <c r="H261" s="61">
        <v>44071</v>
      </c>
      <c r="I261" s="62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>
        <f>IF(G262&lt;&gt;"",SUBTOTAL(3,$G$5:G262),"")</f>
        <v>90</v>
      </c>
      <c r="C262" s="75"/>
      <c r="D262" s="75"/>
      <c r="E262" s="76" t="s">
        <v>139</v>
      </c>
      <c r="F262" s="76" t="s">
        <v>142</v>
      </c>
      <c r="G262" s="76" t="s">
        <v>228</v>
      </c>
      <c r="H262" s="61">
        <v>44073</v>
      </c>
      <c r="I262" s="62">
        <v>1</v>
      </c>
      <c r="J262" s="98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98" t="s">
        <v>354</v>
      </c>
      <c r="AT262" s="43" t="s">
        <v>355</v>
      </c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9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99" t="s">
        <v>344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9" t="s">
        <v>345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346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9" t="s">
        <v>347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99" t="s">
        <v>359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99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99" t="s">
        <v>348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349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8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8" t="s">
        <v>354</v>
      </c>
      <c r="AT270" s="43" t="s">
        <v>356</v>
      </c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360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361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344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345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346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347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362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350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348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349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8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8" t="s">
        <v>357</v>
      </c>
      <c r="AT281" s="43" t="s">
        <v>358</v>
      </c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363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344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345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346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347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351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348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349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4.25" customHeight="1" x14ac:dyDescent="0.15">
      <c r="B291" s="75">
        <f>IF(G291&lt;&gt;"",SUBTOTAL(3,$G$5:G291),"")</f>
        <v>91</v>
      </c>
      <c r="C291" s="75"/>
      <c r="D291" s="75"/>
      <c r="E291" s="76" t="s">
        <v>139</v>
      </c>
      <c r="F291" s="76" t="s">
        <v>142</v>
      </c>
      <c r="G291" s="76" t="s">
        <v>239</v>
      </c>
      <c r="H291" s="61">
        <v>44108</v>
      </c>
      <c r="I291" s="62">
        <v>0.5</v>
      </c>
      <c r="J291" s="77" t="s">
        <v>1</v>
      </c>
      <c r="K291" s="43" t="s">
        <v>353</v>
      </c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4.25" customHeigh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68">
        <v>0.5</v>
      </c>
      <c r="J292" s="83"/>
      <c r="K292" s="84"/>
      <c r="L292" s="84"/>
      <c r="M292" s="84"/>
      <c r="N292" s="84"/>
      <c r="O292" s="84"/>
      <c r="P292" s="84"/>
      <c r="Q292" s="84"/>
      <c r="R292" s="85" t="s">
        <v>352</v>
      </c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6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4.25" customHeigh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68">
        <v>0.5</v>
      </c>
      <c r="J293" s="87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6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4.25" customHeigh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68">
        <v>0.5</v>
      </c>
      <c r="J294" s="83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6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4.25" customHeigh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68">
        <v>0.5</v>
      </c>
      <c r="J295" s="83" t="s">
        <v>240</v>
      </c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6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4.25" customHeigh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68">
        <v>0.5</v>
      </c>
      <c r="J296" s="83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6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4.25" customHeigh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68">
        <v>0.5</v>
      </c>
      <c r="J297" s="83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6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4.25" customHeigh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68">
        <v>0.5</v>
      </c>
      <c r="J298" s="83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6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4.25" customHeigh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68">
        <v>0.5</v>
      </c>
      <c r="J299" s="83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6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62"/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ht="13.5" customHeight="1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40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2"/>
      <c r="AS301" s="63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5"/>
      <c r="CB301" s="60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</row>
    <row r="302" spans="2:130" ht="13.5" customHeight="1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5"/>
      <c r="AS302" s="63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5"/>
      <c r="CB302" s="60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</row>
    <row r="303" spans="2:13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5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5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ht="15.75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40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2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9"/>
      <c r="CJ307" s="69"/>
      <c r="CK307" s="69"/>
      <c r="CL307" s="69"/>
      <c r="CM307" s="69"/>
      <c r="CN307" s="69"/>
      <c r="CO307" s="69"/>
      <c r="CP307" s="69"/>
      <c r="CQ307" s="69"/>
      <c r="CR307" s="69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9"/>
      <c r="DH307" s="69"/>
      <c r="DI307" s="69"/>
      <c r="DJ307" s="69"/>
      <c r="DK307" s="69"/>
      <c r="DL307" s="69"/>
      <c r="DM307" s="69"/>
      <c r="DN307" s="69"/>
      <c r="DO307" s="69"/>
      <c r="DP307" s="69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ht="15.75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40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2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88" t="str">
        <f>IF(G330&lt;&gt;"",SUBTOTAL(3,$G$5:G330),"")</f>
        <v/>
      </c>
      <c r="C330" s="88"/>
      <c r="D330" s="88"/>
      <c r="E330" s="89"/>
      <c r="F330" s="89"/>
      <c r="G330" s="89"/>
      <c r="H330" s="90"/>
      <c r="I330" s="91"/>
      <c r="J330" s="92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  <c r="AF330" s="93"/>
      <c r="AG330" s="93"/>
      <c r="AH330" s="93"/>
      <c r="AI330" s="93"/>
      <c r="AJ330" s="93"/>
      <c r="AK330" s="93"/>
      <c r="AL330" s="93"/>
      <c r="AM330" s="93"/>
      <c r="AN330" s="93"/>
      <c r="AO330" s="93"/>
      <c r="AP330" s="93"/>
      <c r="AQ330" s="93"/>
      <c r="AR330" s="94"/>
      <c r="AS330" s="92"/>
      <c r="AT330" s="93"/>
      <c r="AU330" s="93"/>
      <c r="AV330" s="93"/>
      <c r="AW330" s="93"/>
      <c r="AX330" s="93"/>
      <c r="AY330" s="93"/>
      <c r="AZ330" s="93"/>
      <c r="BA330" s="93"/>
      <c r="BB330" s="93"/>
      <c r="BC330" s="93"/>
      <c r="BD330" s="93"/>
      <c r="BE330" s="93"/>
      <c r="BF330" s="93"/>
      <c r="BG330" s="93"/>
      <c r="BH330" s="93"/>
      <c r="BI330" s="93"/>
      <c r="BJ330" s="93"/>
      <c r="BK330" s="93"/>
      <c r="BL330" s="93"/>
      <c r="BM330" s="93"/>
      <c r="BN330" s="93"/>
      <c r="BO330" s="93"/>
      <c r="BP330" s="93"/>
      <c r="BQ330" s="93"/>
      <c r="BR330" s="93"/>
      <c r="BS330" s="93"/>
      <c r="BT330" s="93"/>
      <c r="BU330" s="93"/>
      <c r="BV330" s="93"/>
      <c r="BW330" s="93"/>
      <c r="BX330" s="93"/>
      <c r="BY330" s="93"/>
      <c r="BZ330" s="93"/>
      <c r="CA330" s="94"/>
      <c r="CB330" s="95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01:I301 B315:I315 B307:I307 B42:D42 B49:H49 B58:H58 I144:I159 B144:H160 CB144:CB160 J144:AR160 B302:AR306 B316:AR330 B5:CB39 B296:AR300 B308:AR314 AS296:CB330 F42:CB42 B43:CB47 J48:CB49 B59:CB59 AS144:CA159 B161:CB172 B182:CB235 K40:CB40 B41:CB41 K60:CB60 K236:CB236 B294:CB294 K293:CB293 K295:CB295 I160:CA160 K101:CB101 J57:CB58 B50:CB56 J61:CB63 B64:CB100 B102:CB143 B237:CB292 I173:I180 B173:H181 J173:CB181">
    <cfRule type="expression" dxfId="25" priority="96">
      <formula>AND($I5&lt;&gt;1,$I5&lt;&gt;"")</formula>
    </cfRule>
  </conditionalFormatting>
  <conditionalFormatting sqref="I181:AR181">
    <cfRule type="expression" dxfId="24" priority="82">
      <formula>AND($I181&lt;&gt;1,$I181&lt;&gt;"")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36:I236">
    <cfRule type="expression" dxfId="8" priority="18">
      <formula>AND($I236&lt;&gt;1,$I236&lt;&gt;"")</formula>
    </cfRule>
  </conditionalFormatting>
  <conditionalFormatting sqref="J236">
    <cfRule type="expression" dxfId="7" priority="17">
      <formula>AND($I236&lt;&gt;1,$I236&lt;&gt;"")</formula>
    </cfRule>
  </conditionalFormatting>
  <conditionalFormatting sqref="B293:I293 B295:I295">
    <cfRule type="expression" dxfId="6" priority="10">
      <formula>AND($I293&lt;&gt;1,$I293&lt;&gt;"")</formula>
    </cfRule>
  </conditionalFormatting>
  <conditionalFormatting sqref="J295">
    <cfRule type="expression" dxfId="5" priority="9">
      <formula>AND($I295&lt;&gt;1,$I295&lt;&gt;"")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30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2" location="toABC143_C_Slimes" display="(→)" xr:uid="{D0A14FDC-339D-483C-A7FB-42784F1DB2F9}"/>
    <hyperlink ref="CB198" location="toABC147_C_Honest_or_Unkind2" display="(→)" xr:uid="{5E89EE6B-F278-4D19-9890-D06616736879}"/>
    <hyperlink ref="CB202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295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2020-10-11T10:01:20Z</dcterms:modified>
</cp:coreProperties>
</file>
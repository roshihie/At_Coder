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C312B004-13B5-4039-B603-07E481015A5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At_Coder_C問題!$J$189</definedName>
    <definedName name="fromABC147_C_Honest_or_Unkind2">At_Coder_C問題!$J$194</definedName>
    <definedName name="fromABC149_C_NextPrime">At_Coder_C問題!$J$198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2" i="3" l="1"/>
  <c r="B201" i="3"/>
  <c r="B197" i="3"/>
  <c r="B196" i="3"/>
  <c r="B172" i="3" l="1"/>
  <c r="B175" i="3"/>
  <c r="B176" i="3"/>
  <c r="B174" i="3"/>
  <c r="B30" i="3"/>
  <c r="B29" i="3"/>
  <c r="B28" i="3"/>
  <c r="B27" i="3"/>
  <c r="B138" i="3" l="1"/>
  <c r="B243" i="3"/>
  <c r="B244" i="3"/>
  <c r="B242" i="3"/>
  <c r="B245" i="3"/>
  <c r="B20" i="3" l="1"/>
  <c r="B13" i="3"/>
  <c r="B6" i="3" l="1"/>
  <c r="B62" i="3" l="1"/>
  <c r="B63" i="3"/>
  <c r="B287" i="3" l="1"/>
  <c r="B286" i="3"/>
  <c r="B285" i="3"/>
  <c r="B284" i="3"/>
  <c r="B283" i="3"/>
  <c r="B282" i="3"/>
  <c r="B279" i="3"/>
  <c r="B277" i="3"/>
  <c r="B276" i="3"/>
  <c r="B275" i="3"/>
  <c r="B274" i="3"/>
  <c r="B273" i="3"/>
  <c r="B272" i="3"/>
  <c r="B280" i="3"/>
  <c r="B278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49" i="3"/>
  <c r="B248" i="3"/>
  <c r="B247" i="3"/>
  <c r="B246" i="3"/>
  <c r="B240" i="3"/>
  <c r="B239" i="3"/>
  <c r="B238" i="3"/>
  <c r="B237" i="3"/>
  <c r="B236" i="3"/>
  <c r="B235" i="3"/>
  <c r="B234" i="3"/>
  <c r="B231" i="3"/>
  <c r="B230" i="3"/>
  <c r="J226" i="3"/>
  <c r="B226" i="3"/>
  <c r="B225" i="3"/>
  <c r="B224" i="3"/>
  <c r="B223" i="3"/>
  <c r="B222" i="3"/>
  <c r="B221" i="3"/>
  <c r="B220" i="3"/>
  <c r="B188" i="3"/>
  <c r="B187" i="3"/>
  <c r="B186" i="3"/>
  <c r="B185" i="3"/>
  <c r="B184" i="3"/>
  <c r="B183" i="3"/>
  <c r="B182" i="3"/>
  <c r="B181" i="3"/>
  <c r="B180" i="3"/>
  <c r="B179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288" i="3" l="1"/>
  <c r="B227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20" i="3" l="1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1" i="3"/>
  <c r="B252" i="3"/>
  <c r="B251" i="3"/>
  <c r="B250" i="3"/>
  <c r="B241" i="3"/>
  <c r="B233" i="3"/>
  <c r="B232" i="3"/>
  <c r="B229" i="3"/>
  <c r="B228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0" i="3"/>
  <c r="B199" i="3"/>
  <c r="B198" i="3"/>
  <c r="B195" i="3"/>
  <c r="B194" i="3"/>
  <c r="B193" i="3"/>
  <c r="B192" i="3"/>
  <c r="B191" i="3"/>
  <c r="B190" i="3"/>
  <c r="B189" i="3"/>
  <c r="B178" i="3"/>
  <c r="B177" i="3"/>
  <c r="B173" i="3"/>
  <c r="B171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<sst xmlns="http://schemas.openxmlformats.org/spreadsheetml/2006/main" count="742" uniqueCount="432">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</sst>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281</xdr:row>
      <xdr:rowOff>33337</xdr:rowOff>
    </xdr:from>
    <xdr:to>
      <xdr:col>16</xdr:col>
      <xdr:colOff>38100</xdr:colOff>
      <xdr:row>281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283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282</xdr:row>
      <xdr:rowOff>35719</xdr:rowOff>
    </xdr:from>
    <xdr:to>
      <xdr:col>21</xdr:col>
      <xdr:colOff>133350</xdr:colOff>
      <xdr:row>283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20"/>
  <sheetViews>
    <sheetView tabSelected="1" zoomScaleNormal="100" workbookViewId="0">
      <pane xSplit="7" ySplit="4" topLeftCell="H185" activePane="bottomRight" state="frozen"/>
      <selection pane="topRight" activeCell="H1" sqref="H1"/>
      <selection pane="bottomLeft" activeCell="A5" sqref="A5"/>
      <selection pane="bottomRight" activeCell="J201" sqref="J201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/>
      <c r="J157" s="77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x14ac:dyDescent="0.15">
      <c r="B158" s="75">
        <f>IF(G158&lt;&gt;"",SUBTOTAL(3,$G$5:G158),"")</f>
        <v>51</v>
      </c>
      <c r="C158" s="75"/>
      <c r="D158" s="75"/>
      <c r="E158" s="76" t="s">
        <v>139</v>
      </c>
      <c r="F158" s="76" t="s">
        <v>135</v>
      </c>
      <c r="G158" s="74" t="s">
        <v>176</v>
      </c>
      <c r="H158" s="61">
        <v>43955</v>
      </c>
      <c r="I158" s="62">
        <v>1</v>
      </c>
      <c r="J158" s="79" t="s">
        <v>317</v>
      </c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1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x14ac:dyDescent="0.15">
      <c r="B159" s="75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9" t="s">
        <v>262</v>
      </c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1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 t="str">
        <f>IF(G160&lt;&gt;"",SUBTOTAL(3,$G$5:G160),"")</f>
        <v/>
      </c>
      <c r="C160" s="75"/>
      <c r="D160" s="75"/>
      <c r="E160" s="76"/>
      <c r="F160" s="76"/>
      <c r="G160" s="74"/>
      <c r="H160" s="61"/>
      <c r="I160" s="70">
        <v>1</v>
      </c>
      <c r="J160" s="79" t="s">
        <v>318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319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266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320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321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322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323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324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272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325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/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ht="13.5" customHeight="1" x14ac:dyDescent="0.15">
      <c r="B171" s="75">
        <f>IF(G171&lt;&gt;"",SUBTOTAL(3,$G$5:G171),"")</f>
        <v>52</v>
      </c>
      <c r="C171" s="75"/>
      <c r="D171" s="75"/>
      <c r="E171" s="76" t="s">
        <v>139</v>
      </c>
      <c r="F171" s="76" t="s">
        <v>135</v>
      </c>
      <c r="G171" s="74" t="s">
        <v>177</v>
      </c>
      <c r="H171" s="61">
        <v>43967</v>
      </c>
      <c r="I171" s="103">
        <v>1</v>
      </c>
      <c r="J171" s="77" t="s">
        <v>426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78"/>
      <c r="AS171" s="77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78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102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7" t="s">
        <v>427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53</v>
      </c>
      <c r="C173" s="75"/>
      <c r="D173" s="75"/>
      <c r="E173" s="76" t="s">
        <v>139</v>
      </c>
      <c r="F173" s="76" t="s">
        <v>135</v>
      </c>
      <c r="G173" s="74" t="s">
        <v>178</v>
      </c>
      <c r="H173" s="61">
        <v>43870</v>
      </c>
      <c r="I173" s="62">
        <v>1</v>
      </c>
      <c r="J173" s="77" t="s">
        <v>423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68"/>
      <c r="J174" s="77" t="s">
        <v>424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102" t="str">
        <f>IF(G175&lt;&gt;"",SUBTOTAL(3,$G$5:G175),"")</f>
        <v/>
      </c>
      <c r="C175" s="75"/>
      <c r="D175" s="75"/>
      <c r="E175" s="76"/>
      <c r="F175" s="76"/>
      <c r="G175" s="74"/>
      <c r="H175" s="61"/>
      <c r="I175" s="68"/>
      <c r="J175" s="77" t="s">
        <v>425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>
        <f>IF(G177&lt;&gt;"",SUBTOTAL(3,$G$5:G177),"")</f>
        <v>54</v>
      </c>
      <c r="C177" s="75"/>
      <c r="D177" s="75"/>
      <c r="E177" s="76" t="s">
        <v>139</v>
      </c>
      <c r="F177" s="76" t="s">
        <v>135</v>
      </c>
      <c r="G177" s="74" t="s">
        <v>179</v>
      </c>
      <c r="H177" s="61">
        <v>43869</v>
      </c>
      <c r="I177" s="62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IF(G178&lt;&gt;"",SUBTOTAL(3,$G$5:G178),"")</f>
        <v>55</v>
      </c>
      <c r="C178" s="75"/>
      <c r="D178" s="75"/>
      <c r="E178" s="76" t="s">
        <v>139</v>
      </c>
      <c r="F178" s="76" t="s">
        <v>135</v>
      </c>
      <c r="G178" s="74" t="s">
        <v>89</v>
      </c>
      <c r="H178" s="61">
        <v>43961</v>
      </c>
      <c r="I178" s="62">
        <v>1</v>
      </c>
      <c r="J178" s="79" t="s">
        <v>326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262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327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 t="s">
        <v>328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266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320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329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330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323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272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/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75">
        <f>IF(G189&lt;&gt;"",SUBTOTAL(3,$G$5:G189),"")</f>
        <v>56</v>
      </c>
      <c r="C189" s="75"/>
      <c r="D189" s="75"/>
      <c r="E189" s="76" t="s">
        <v>139</v>
      </c>
      <c r="F189" s="76" t="s">
        <v>135</v>
      </c>
      <c r="G189" s="74" t="s">
        <v>180</v>
      </c>
      <c r="H189" s="61">
        <v>43961</v>
      </c>
      <c r="I189" s="62"/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82" t="s">
        <v>13</v>
      </c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75">
        <f>IF(G190&lt;&gt;"",SUBTOTAL(3,$G$5:G190),"")</f>
        <v>57</v>
      </c>
      <c r="C190" s="75"/>
      <c r="D190" s="75"/>
      <c r="E190" s="76" t="s">
        <v>139</v>
      </c>
      <c r="F190" s="76" t="s">
        <v>135</v>
      </c>
      <c r="G190" s="74" t="s">
        <v>181</v>
      </c>
      <c r="H190" s="61">
        <v>43995</v>
      </c>
      <c r="I190" s="62"/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IF(G191&lt;&gt;"",SUBTOTAL(3,$G$5:G191),"")</f>
        <v>58</v>
      </c>
      <c r="C191" s="75"/>
      <c r="D191" s="75"/>
      <c r="E191" s="76" t="s">
        <v>139</v>
      </c>
      <c r="F191" s="76" t="s">
        <v>135</v>
      </c>
      <c r="G191" s="74" t="s">
        <v>182</v>
      </c>
      <c r="H191" s="61">
        <v>43961</v>
      </c>
      <c r="I191" s="62"/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59</v>
      </c>
      <c r="C192" s="75"/>
      <c r="D192" s="75"/>
      <c r="E192" s="76" t="s">
        <v>139</v>
      </c>
      <c r="F192" s="76" t="s">
        <v>135</v>
      </c>
      <c r="G192" s="74" t="s">
        <v>183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60</v>
      </c>
      <c r="C193" s="75"/>
      <c r="D193" s="75"/>
      <c r="E193" s="76" t="s">
        <v>139</v>
      </c>
      <c r="F193" s="76" t="s">
        <v>135</v>
      </c>
      <c r="G193" s="74" t="s">
        <v>184</v>
      </c>
      <c r="H193" s="61">
        <v>43995</v>
      </c>
      <c r="I193" s="62"/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IF(G194&lt;&gt;"",SUBTOTAL(3,$G$5:G194),"")</f>
        <v>61</v>
      </c>
      <c r="C194" s="75"/>
      <c r="D194" s="75"/>
      <c r="E194" s="76" t="s">
        <v>139</v>
      </c>
      <c r="F194" s="76" t="s">
        <v>135</v>
      </c>
      <c r="G194" s="74" t="s">
        <v>185</v>
      </c>
      <c r="H194" s="61">
        <v>44006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82" t="s">
        <v>13</v>
      </c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62</v>
      </c>
      <c r="C195" s="75"/>
      <c r="D195" s="75"/>
      <c r="E195" s="76" t="s">
        <v>139</v>
      </c>
      <c r="F195" s="76" t="s">
        <v>135</v>
      </c>
      <c r="G195" s="74" t="s">
        <v>15</v>
      </c>
      <c r="H195" s="61">
        <v>43995</v>
      </c>
      <c r="I195" s="62">
        <v>1</v>
      </c>
      <c r="J195" s="77" t="s">
        <v>428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102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7" t="s">
        <v>429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82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82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63</v>
      </c>
      <c r="C198" s="75"/>
      <c r="D198" s="75"/>
      <c r="E198" s="76" t="s">
        <v>139</v>
      </c>
      <c r="F198" s="76" t="s">
        <v>135</v>
      </c>
      <c r="G198" s="74" t="s">
        <v>186</v>
      </c>
      <c r="H198" s="61">
        <v>43871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82" t="s">
        <v>13</v>
      </c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64</v>
      </c>
      <c r="C199" s="75"/>
      <c r="D199" s="75"/>
      <c r="E199" s="76" t="s">
        <v>139</v>
      </c>
      <c r="F199" s="76" t="s">
        <v>135</v>
      </c>
      <c r="G199" s="74" t="s">
        <v>187</v>
      </c>
      <c r="H199" s="61">
        <v>43936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65</v>
      </c>
      <c r="C200" s="75"/>
      <c r="D200" s="75"/>
      <c r="E200" s="76" t="s">
        <v>139</v>
      </c>
      <c r="F200" s="76" t="s">
        <v>135</v>
      </c>
      <c r="G200" s="74" t="s">
        <v>188</v>
      </c>
      <c r="H200" s="61">
        <v>43935</v>
      </c>
      <c r="I200" s="62">
        <v>1</v>
      </c>
      <c r="J200" s="77" t="s">
        <v>431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102" t="str">
        <f>IF(G201&lt;&gt;"",SUBTOTAL(3,$G$5:G201),"")</f>
        <v/>
      </c>
      <c r="C201" s="75"/>
      <c r="D201" s="75"/>
      <c r="E201" s="76"/>
      <c r="F201" s="76"/>
      <c r="G201" s="74"/>
      <c r="H201" s="61"/>
      <c r="I201" s="70">
        <v>1</v>
      </c>
      <c r="J201" s="77" t="s">
        <v>430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66</v>
      </c>
      <c r="C203" s="75"/>
      <c r="D203" s="75"/>
      <c r="E203" s="76" t="s">
        <v>139</v>
      </c>
      <c r="F203" s="76" t="s">
        <v>135</v>
      </c>
      <c r="G203" s="74" t="s">
        <v>189</v>
      </c>
      <c r="H203" s="61">
        <v>43919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67</v>
      </c>
      <c r="C204" s="75"/>
      <c r="D204" s="75"/>
      <c r="E204" s="76" t="s">
        <v>139</v>
      </c>
      <c r="F204" s="76" t="s">
        <v>135</v>
      </c>
      <c r="G204" s="74" t="s">
        <v>190</v>
      </c>
      <c r="H204" s="61">
        <v>43995</v>
      </c>
      <c r="I204" s="62"/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IF(G205&lt;&gt;"",SUBTOTAL(3,$G$5:G205),"")</f>
        <v>68</v>
      </c>
      <c r="C205" s="75"/>
      <c r="D205" s="75"/>
      <c r="E205" s="76" t="s">
        <v>139</v>
      </c>
      <c r="F205" s="76" t="s">
        <v>135</v>
      </c>
      <c r="G205" s="74" t="s">
        <v>191</v>
      </c>
      <c r="H205" s="61">
        <v>43975</v>
      </c>
      <c r="I205" s="62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IF(G206&lt;&gt;"",SUBTOTAL(3,$G$5:G206),"")</f>
        <v>69</v>
      </c>
      <c r="C206" s="75"/>
      <c r="D206" s="75"/>
      <c r="E206" s="76" t="s">
        <v>139</v>
      </c>
      <c r="F206" s="76" t="s">
        <v>135</v>
      </c>
      <c r="G206" s="74" t="s">
        <v>192</v>
      </c>
      <c r="H206" s="61">
        <v>43975</v>
      </c>
      <c r="I206" s="62"/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70</v>
      </c>
      <c r="C207" s="75"/>
      <c r="D207" s="75"/>
      <c r="E207" s="76" t="s">
        <v>139</v>
      </c>
      <c r="F207" s="76" t="s">
        <v>135</v>
      </c>
      <c r="G207" s="74" t="s">
        <v>193</v>
      </c>
      <c r="H207" s="61">
        <v>43975</v>
      </c>
      <c r="I207" s="62"/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IF(G208&lt;&gt;"",SUBTOTAL(3,$G$5:G208),"")</f>
        <v>71</v>
      </c>
      <c r="C208" s="75"/>
      <c r="D208" s="75"/>
      <c r="E208" s="76" t="s">
        <v>139</v>
      </c>
      <c r="F208" s="76" t="s">
        <v>135</v>
      </c>
      <c r="G208" s="74" t="s">
        <v>194</v>
      </c>
      <c r="H208" s="61">
        <v>43975</v>
      </c>
      <c r="I208" s="62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72</v>
      </c>
      <c r="C209" s="75"/>
      <c r="D209" s="75"/>
      <c r="E209" s="76" t="s">
        <v>139</v>
      </c>
      <c r="F209" s="76" t="s">
        <v>135</v>
      </c>
      <c r="G209" s="74" t="s">
        <v>195</v>
      </c>
      <c r="H209" s="61">
        <v>43977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73</v>
      </c>
      <c r="C210" s="75"/>
      <c r="D210" s="75"/>
      <c r="E210" s="76" t="s">
        <v>139</v>
      </c>
      <c r="F210" s="76" t="s">
        <v>135</v>
      </c>
      <c r="G210" s="74" t="s">
        <v>196</v>
      </c>
      <c r="H210" s="61">
        <v>43977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75">
        <f>IF(G211&lt;&gt;"",SUBTOTAL(3,$G$5:G211),"")</f>
        <v>74</v>
      </c>
      <c r="C211" s="75"/>
      <c r="D211" s="75"/>
      <c r="E211" s="76" t="s">
        <v>139</v>
      </c>
      <c r="F211" s="76" t="s">
        <v>135</v>
      </c>
      <c r="G211" s="74" t="s">
        <v>197</v>
      </c>
      <c r="H211" s="61">
        <v>43977</v>
      </c>
      <c r="I211" s="62"/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75</v>
      </c>
      <c r="C212" s="75"/>
      <c r="D212" s="75"/>
      <c r="E212" s="76" t="s">
        <v>139</v>
      </c>
      <c r="F212" s="76" t="s">
        <v>135</v>
      </c>
      <c r="G212" s="74" t="s">
        <v>198</v>
      </c>
      <c r="H212" s="61">
        <v>43995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76</v>
      </c>
      <c r="C213" s="75"/>
      <c r="D213" s="75"/>
      <c r="E213" s="76" t="s">
        <v>139</v>
      </c>
      <c r="F213" s="76" t="s">
        <v>135</v>
      </c>
      <c r="G213" s="74" t="s">
        <v>199</v>
      </c>
      <c r="H213" s="61">
        <v>43982</v>
      </c>
      <c r="I213" s="62"/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IF(G214&lt;&gt;"",SUBTOTAL(3,$G$5:G214),"")</f>
        <v>77</v>
      </c>
      <c r="C214" s="75"/>
      <c r="D214" s="75"/>
      <c r="E214" s="76" t="s">
        <v>139</v>
      </c>
      <c r="F214" s="76" t="s">
        <v>135</v>
      </c>
      <c r="G214" s="74" t="s">
        <v>200</v>
      </c>
      <c r="H214" s="61">
        <v>43989</v>
      </c>
      <c r="I214" s="62"/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78</v>
      </c>
      <c r="C215" s="75"/>
      <c r="D215" s="75"/>
      <c r="E215" s="76" t="s">
        <v>139</v>
      </c>
      <c r="F215" s="76" t="s">
        <v>135</v>
      </c>
      <c r="G215" s="74" t="s">
        <v>201</v>
      </c>
      <c r="H215" s="61">
        <v>43989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79</v>
      </c>
      <c r="C216" s="75"/>
      <c r="D216" s="75"/>
      <c r="E216" s="76" t="s">
        <v>139</v>
      </c>
      <c r="F216" s="76" t="s">
        <v>135</v>
      </c>
      <c r="G216" s="74" t="s">
        <v>202</v>
      </c>
      <c r="H216" s="61">
        <v>43991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80</v>
      </c>
      <c r="C217" s="75"/>
      <c r="D217" s="75"/>
      <c r="E217" s="76" t="s">
        <v>139</v>
      </c>
      <c r="F217" s="76" t="s">
        <v>135</v>
      </c>
      <c r="G217" s="74" t="s">
        <v>203</v>
      </c>
      <c r="H217" s="61">
        <v>43991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81</v>
      </c>
      <c r="C218" s="75"/>
      <c r="D218" s="75"/>
      <c r="E218" s="76" t="s">
        <v>139</v>
      </c>
      <c r="F218" s="76" t="s">
        <v>135</v>
      </c>
      <c r="G218" s="74" t="s">
        <v>204</v>
      </c>
      <c r="H218" s="61">
        <v>43992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x14ac:dyDescent="0.15">
      <c r="B219" s="75">
        <f>IF(G219&lt;&gt;"",SUBTOTAL(3,$G$5:G219),"")</f>
        <v>82</v>
      </c>
      <c r="C219" s="75"/>
      <c r="D219" s="75"/>
      <c r="E219" s="76" t="s">
        <v>139</v>
      </c>
      <c r="F219" s="76" t="s">
        <v>135</v>
      </c>
      <c r="G219" s="74" t="s">
        <v>205</v>
      </c>
      <c r="H219" s="61">
        <v>43994</v>
      </c>
      <c r="I219" s="62">
        <v>0.8</v>
      </c>
      <c r="J219" s="77" t="s">
        <v>331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x14ac:dyDescent="0.15">
      <c r="B220" s="75" t="str">
        <f>IF(G220&lt;&gt;"",SUBTOTAL(3,$G$5:G220),"")</f>
        <v/>
      </c>
      <c r="C220" s="75"/>
      <c r="D220" s="75"/>
      <c r="E220" s="76"/>
      <c r="F220" s="76"/>
      <c r="G220" s="74"/>
      <c r="H220" s="61"/>
      <c r="I220" s="68">
        <v>0.8</v>
      </c>
      <c r="J220" s="77" t="s">
        <v>332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x14ac:dyDescent="0.15">
      <c r="B221" s="75" t="str">
        <f>IF(G221&lt;&gt;"",SUBTOTAL(3,$G$5:G221),"")</f>
        <v/>
      </c>
      <c r="C221" s="75"/>
      <c r="D221" s="75"/>
      <c r="E221" s="76"/>
      <c r="F221" s="76"/>
      <c r="G221" s="74"/>
      <c r="H221" s="61"/>
      <c r="I221" s="68">
        <v>0.8</v>
      </c>
      <c r="J221" s="77" t="s">
        <v>333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x14ac:dyDescent="0.15">
      <c r="B222" s="75" t="str">
        <f>IF(G222&lt;&gt;"",SUBTOTAL(3,$G$5:G222),"")</f>
        <v/>
      </c>
      <c r="C222" s="75"/>
      <c r="D222" s="75"/>
      <c r="E222" s="76"/>
      <c r="F222" s="76"/>
      <c r="G222" s="74"/>
      <c r="H222" s="61"/>
      <c r="I222" s="68">
        <v>0.8</v>
      </c>
      <c r="J222" s="77" t="s">
        <v>334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x14ac:dyDescent="0.15">
      <c r="B223" s="75" t="str">
        <f>IF(G223&lt;&gt;"",SUBTOTAL(3,$G$5:G223),"")</f>
        <v/>
      </c>
      <c r="C223" s="75"/>
      <c r="D223" s="75"/>
      <c r="E223" s="76"/>
      <c r="F223" s="76"/>
      <c r="G223" s="74"/>
      <c r="H223" s="61"/>
      <c r="I223" s="68">
        <v>0.8</v>
      </c>
      <c r="J223" s="77" t="s">
        <v>335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x14ac:dyDescent="0.15">
      <c r="B224" s="75" t="str">
        <f>IF(G224&lt;&gt;"",SUBTOTAL(3,$G$5:G224),"")</f>
        <v/>
      </c>
      <c r="C224" s="75"/>
      <c r="D224" s="75"/>
      <c r="E224" s="76"/>
      <c r="F224" s="76"/>
      <c r="G224" s="74"/>
      <c r="H224" s="61"/>
      <c r="I224" s="68">
        <v>0.8</v>
      </c>
      <c r="J224" s="77" t="s">
        <v>336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x14ac:dyDescent="0.15">
      <c r="B225" s="75" t="str">
        <f>IF(G225&lt;&gt;"",SUBTOTAL(3,$G$5:G225),"")</f>
        <v/>
      </c>
      <c r="C225" s="75"/>
      <c r="D225" s="75"/>
      <c r="E225" s="76"/>
      <c r="F225" s="76"/>
      <c r="G225" s="74"/>
      <c r="H225" s="61"/>
      <c r="I225" s="68">
        <v>0.8</v>
      </c>
      <c r="J225" s="77" t="s">
        <v>337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x14ac:dyDescent="0.15">
      <c r="B226" s="75" t="str">
        <f>IF(G226&lt;&gt;"",SUBTOTAL(3,$G$5:G226),"")</f>
        <v/>
      </c>
      <c r="C226" s="75"/>
      <c r="D226" s="75"/>
      <c r="E226" s="76"/>
      <c r="F226" s="76"/>
      <c r="G226" s="74"/>
      <c r="H226" s="61"/>
      <c r="I226" s="68">
        <v>0.8</v>
      </c>
      <c r="J226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x14ac:dyDescent="0.15">
      <c r="B227" s="75" t="str">
        <f>IF(G227&lt;&gt;"",SUBTOTAL(3,$G$5:G227),"")</f>
        <v/>
      </c>
      <c r="C227" s="75"/>
      <c r="D227" s="75"/>
      <c r="E227" s="76"/>
      <c r="F227" s="76"/>
      <c r="G227" s="74"/>
      <c r="H227" s="61"/>
      <c r="I227" s="68">
        <v>0.8</v>
      </c>
      <c r="J227" s="37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9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83</v>
      </c>
      <c r="C228" s="75"/>
      <c r="D228" s="75"/>
      <c r="E228" s="76" t="s">
        <v>139</v>
      </c>
      <c r="F228" s="76" t="s">
        <v>135</v>
      </c>
      <c r="G228" s="74" t="s">
        <v>206</v>
      </c>
      <c r="H228" s="61">
        <v>43995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x14ac:dyDescent="0.15">
      <c r="B229" s="75">
        <f>IF(G229&lt;&gt;"",SUBTOTAL(3,$G$5:G229),"")</f>
        <v>84</v>
      </c>
      <c r="C229" s="75"/>
      <c r="D229" s="75"/>
      <c r="E229" s="76" t="s">
        <v>139</v>
      </c>
      <c r="F229" s="76" t="s">
        <v>135</v>
      </c>
      <c r="G229" s="74" t="s">
        <v>207</v>
      </c>
      <c r="H229" s="61">
        <v>43997</v>
      </c>
      <c r="I229" s="62">
        <v>1</v>
      </c>
      <c r="J229" s="77" t="s">
        <v>404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 t="s">
        <v>339</v>
      </c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x14ac:dyDescent="0.15">
      <c r="B230" s="75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 t="s">
        <v>403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 t="s">
        <v>405</v>
      </c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x14ac:dyDescent="0.15">
      <c r="B231" s="75" t="str">
        <f>IF(G231&lt;&gt;"",SUBTOTAL(3,$G$5:G231),"")</f>
        <v/>
      </c>
      <c r="C231" s="75"/>
      <c r="D231" s="75"/>
      <c r="E231" s="76"/>
      <c r="F231" s="76"/>
      <c r="G231" s="74"/>
      <c r="H231" s="61"/>
      <c r="I231" s="70">
        <v>1</v>
      </c>
      <c r="J231" s="77" t="s">
        <v>338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 t="s">
        <v>406</v>
      </c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85</v>
      </c>
      <c r="C232" s="75"/>
      <c r="D232" s="75"/>
      <c r="E232" s="76" t="s">
        <v>139</v>
      </c>
      <c r="F232" s="76" t="s">
        <v>135</v>
      </c>
      <c r="G232" s="74" t="s">
        <v>208</v>
      </c>
      <c r="H232" s="61">
        <v>44004</v>
      </c>
      <c r="I232" s="62"/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x14ac:dyDescent="0.15">
      <c r="B233" s="75">
        <f>IF(G233&lt;&gt;"",SUBTOTAL(3,$G$5:G233),"")</f>
        <v>86</v>
      </c>
      <c r="C233" s="75"/>
      <c r="D233" s="75"/>
      <c r="E233" s="76" t="s">
        <v>139</v>
      </c>
      <c r="F233" s="76" t="s">
        <v>142</v>
      </c>
      <c r="G233" s="76" t="s">
        <v>209</v>
      </c>
      <c r="H233" s="61">
        <v>44030</v>
      </c>
      <c r="I233" s="62">
        <v>1</v>
      </c>
      <c r="J233" s="77" t="s">
        <v>340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 t="s">
        <v>407</v>
      </c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6"/>
      <c r="H234" s="61"/>
      <c r="I234" s="70">
        <v>1</v>
      </c>
      <c r="J234" s="77" t="s">
        <v>341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6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 t="s">
        <v>408</v>
      </c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6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 t="s">
        <v>342</v>
      </c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5.75" x14ac:dyDescent="0.15">
      <c r="B237" s="75" t="str">
        <f>IF(G237&lt;&gt;"",SUBTOTAL(3,$G$5:G237),"")</f>
        <v/>
      </c>
      <c r="C237" s="75"/>
      <c r="D237" s="75"/>
      <c r="E237" s="76"/>
      <c r="F237" s="76"/>
      <c r="G237" s="76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 t="s">
        <v>370</v>
      </c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x14ac:dyDescent="0.15">
      <c r="B238" s="75" t="str">
        <f>IF(G238&lt;&gt;"",SUBTOTAL(3,$G$5:G238),"")</f>
        <v/>
      </c>
      <c r="C238" s="75"/>
      <c r="D238" s="75"/>
      <c r="E238" s="76"/>
      <c r="F238" s="76"/>
      <c r="G238" s="76"/>
      <c r="H238" s="61"/>
      <c r="I238" s="70">
        <v>1</v>
      </c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 t="s">
        <v>409</v>
      </c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 t="str">
        <f>IF(G239&lt;&gt;"",SUBTOTAL(3,$G$5:G239),"")</f>
        <v/>
      </c>
      <c r="C239" s="75"/>
      <c r="D239" s="75"/>
      <c r="E239" s="76"/>
      <c r="F239" s="76"/>
      <c r="G239" s="76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 t="s">
        <v>410</v>
      </c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6"/>
      <c r="H240" s="61"/>
      <c r="I240" s="70">
        <v>1</v>
      </c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>
        <f>IF(G241&lt;&gt;"",SUBTOTAL(3,$G$5:G241),"")</f>
        <v>87</v>
      </c>
      <c r="C241" s="75"/>
      <c r="D241" s="75"/>
      <c r="E241" s="76" t="s">
        <v>139</v>
      </c>
      <c r="F241" s="76" t="s">
        <v>142</v>
      </c>
      <c r="G241" s="76" t="s">
        <v>216</v>
      </c>
      <c r="H241" s="61">
        <v>44052</v>
      </c>
      <c r="I241" s="62">
        <v>0.5</v>
      </c>
      <c r="J241" s="77" t="s">
        <v>343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 t="s">
        <v>412</v>
      </c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102" t="str">
        <f>IF(G242&lt;&gt;"",SUBTOTAL(3,$G$5:G242),"")</f>
        <v/>
      </c>
      <c r="C242" s="75"/>
      <c r="D242" s="75"/>
      <c r="E242" s="76"/>
      <c r="F242" s="76"/>
      <c r="G242" s="76"/>
      <c r="H242" s="61"/>
      <c r="I242" s="68">
        <v>0.5</v>
      </c>
      <c r="J242" s="77" t="s">
        <v>371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 t="s">
        <v>411</v>
      </c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102" t="str">
        <f>IF(G243&lt;&gt;"",SUBTOTAL(3,$G$5:G243),"")</f>
        <v/>
      </c>
      <c r="C243" s="75"/>
      <c r="D243" s="75"/>
      <c r="E243" s="76"/>
      <c r="F243" s="76"/>
      <c r="G243" s="76"/>
      <c r="H243" s="61"/>
      <c r="I243" s="68">
        <v>0.5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 t="s">
        <v>413</v>
      </c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102" t="str">
        <f>IF(G244&lt;&gt;"",SUBTOTAL(3,$G$5:G244),"")</f>
        <v/>
      </c>
      <c r="C244" s="75"/>
      <c r="D244" s="75"/>
      <c r="E244" s="76"/>
      <c r="F244" s="76"/>
      <c r="G244" s="76"/>
      <c r="H244" s="61"/>
      <c r="I244" s="68">
        <v>0.5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 t="s">
        <v>414</v>
      </c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102" t="str">
        <f>IF(G245&lt;&gt;"",SUBTOTAL(3,$G$5:G245),"")</f>
        <v/>
      </c>
      <c r="C245" s="75"/>
      <c r="D245" s="75"/>
      <c r="E245" s="76"/>
      <c r="F245" s="76"/>
      <c r="G245" s="76"/>
      <c r="H245" s="61"/>
      <c r="I245" s="68">
        <v>0.5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 t="s">
        <v>416</v>
      </c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68">
        <v>0.5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 t="s">
        <v>415</v>
      </c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6"/>
      <c r="H247" s="61"/>
      <c r="I247" s="68">
        <v>0.5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 t="s">
        <v>417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6"/>
      <c r="H248" s="61"/>
      <c r="I248" s="68">
        <v>0.5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68">
        <v>0.5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IF(G250&lt;&gt;"",SUBTOTAL(3,$G$5:G250),"")</f>
        <v>88</v>
      </c>
      <c r="C250" s="75"/>
      <c r="D250" s="75"/>
      <c r="E250" s="76" t="s">
        <v>139</v>
      </c>
      <c r="F250" s="76" t="s">
        <v>142</v>
      </c>
      <c r="G250" s="76" t="s">
        <v>223</v>
      </c>
      <c r="H250" s="61">
        <v>44062</v>
      </c>
      <c r="I250" s="62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IF(G251&lt;&gt;"",SUBTOTAL(3,$G$5:G251),"")</f>
        <v>89</v>
      </c>
      <c r="C251" s="75"/>
      <c r="D251" s="75"/>
      <c r="E251" s="76" t="s">
        <v>139</v>
      </c>
      <c r="F251" s="76" t="s">
        <v>142</v>
      </c>
      <c r="G251" s="76" t="s">
        <v>224</v>
      </c>
      <c r="H251" s="61">
        <v>44071</v>
      </c>
      <c r="I251" s="62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>
        <f>IF(G252&lt;&gt;"",SUBTOTAL(3,$G$5:G252),"")</f>
        <v>90</v>
      </c>
      <c r="C252" s="75"/>
      <c r="D252" s="75"/>
      <c r="E252" s="76" t="s">
        <v>139</v>
      </c>
      <c r="F252" s="76" t="s">
        <v>142</v>
      </c>
      <c r="G252" s="76" t="s">
        <v>228</v>
      </c>
      <c r="H252" s="61">
        <v>44073</v>
      </c>
      <c r="I252" s="62">
        <v>1</v>
      </c>
      <c r="J252" s="98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98" t="s">
        <v>354</v>
      </c>
      <c r="AT252" s="43" t="s">
        <v>355</v>
      </c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99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99" t="s">
        <v>344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99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99" t="s">
        <v>345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99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99" t="s">
        <v>346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99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99" t="s">
        <v>347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99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99" t="s">
        <v>359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99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99" t="s">
        <v>348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99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99" t="s">
        <v>349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98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98" t="s">
        <v>354</v>
      </c>
      <c r="AT260" s="43" t="s">
        <v>356</v>
      </c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360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361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99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99" t="s">
        <v>344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99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99" t="s">
        <v>345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99" t="s">
        <v>346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99" t="s">
        <v>347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9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99" t="s">
        <v>362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99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99" t="s">
        <v>350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9" t="s">
        <v>348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9" t="s">
        <v>349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8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98" t="s">
        <v>357</v>
      </c>
      <c r="AT271" s="43" t="s">
        <v>358</v>
      </c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363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344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345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346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347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9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9" t="s">
        <v>351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348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349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4.25" customHeight="1" x14ac:dyDescent="0.15">
      <c r="B281" s="75">
        <f>IF(G281&lt;&gt;"",SUBTOTAL(3,$G$5:G281),"")</f>
        <v>91</v>
      </c>
      <c r="C281" s="75"/>
      <c r="D281" s="75"/>
      <c r="E281" s="76" t="s">
        <v>139</v>
      </c>
      <c r="F281" s="76" t="s">
        <v>142</v>
      </c>
      <c r="G281" s="76" t="s">
        <v>239</v>
      </c>
      <c r="H281" s="61">
        <v>44108</v>
      </c>
      <c r="I281" s="62">
        <v>0.5</v>
      </c>
      <c r="J281" s="77" t="s">
        <v>1</v>
      </c>
      <c r="K281" s="43" t="s">
        <v>353</v>
      </c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4.25" customHeigh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68">
        <v>0.5</v>
      </c>
      <c r="J282" s="83"/>
      <c r="K282" s="84"/>
      <c r="L282" s="84"/>
      <c r="M282" s="84"/>
      <c r="N282" s="84"/>
      <c r="O282" s="84"/>
      <c r="P282" s="84"/>
      <c r="Q282" s="84"/>
      <c r="R282" s="85" t="s">
        <v>352</v>
      </c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6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4.25" customHeigh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68">
        <v>0.5</v>
      </c>
      <c r="J283" s="87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6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4.25" customHeigh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68">
        <v>0.5</v>
      </c>
      <c r="J284" s="83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6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4.25" customHeigh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68">
        <v>0.5</v>
      </c>
      <c r="J285" s="83" t="s">
        <v>240</v>
      </c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6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4.25" customHeigh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68">
        <v>0.5</v>
      </c>
      <c r="J286" s="83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6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4.25" customHeigh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68">
        <v>0.5</v>
      </c>
      <c r="J287" s="83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6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4.25" customHeigh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68">
        <v>0.5</v>
      </c>
      <c r="J288" s="83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6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4.25" customHeigh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68">
        <v>0.5</v>
      </c>
      <c r="J289" s="83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6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62"/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ht="13.5" customHeight="1" x14ac:dyDescent="0.15">
      <c r="B291" s="58" t="str">
        <f>IF(G291&lt;&gt;"",SUBTOTAL(3,$G$5:G291),"")</f>
        <v/>
      </c>
      <c r="C291" s="58"/>
      <c r="D291" s="58"/>
      <c r="E291" s="59"/>
      <c r="F291" s="59"/>
      <c r="G291" s="59"/>
      <c r="H291" s="61"/>
      <c r="I291" s="62"/>
      <c r="J291" s="40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2"/>
      <c r="AS291" s="63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5"/>
      <c r="CB291" s="60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</row>
    <row r="292" spans="2:130" ht="13.5" customHeight="1" x14ac:dyDescent="0.15">
      <c r="B292" s="58" t="str">
        <f>IF(G292&lt;&gt;"",SUBTOTAL(3,$G$5:G292),"")</f>
        <v/>
      </c>
      <c r="C292" s="58"/>
      <c r="D292" s="58"/>
      <c r="E292" s="59"/>
      <c r="F292" s="59"/>
      <c r="G292" s="59"/>
      <c r="H292" s="61"/>
      <c r="I292" s="62"/>
      <c r="J292" s="63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5"/>
      <c r="AS292" s="63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5"/>
      <c r="CB292" s="60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</row>
    <row r="293" spans="2:130" x14ac:dyDescent="0.15">
      <c r="B293" s="58" t="str">
        <f>IF(G293&lt;&gt;"",SUBTOTAL(3,$G$5:G293),"")</f>
        <v/>
      </c>
      <c r="C293" s="58"/>
      <c r="D293" s="58"/>
      <c r="E293" s="59"/>
      <c r="F293" s="59"/>
      <c r="G293" s="59"/>
      <c r="H293" s="61"/>
      <c r="I293" s="62"/>
      <c r="J293" s="63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4"/>
      <c r="AN293" s="64"/>
      <c r="AO293" s="64"/>
      <c r="AP293" s="64"/>
      <c r="AQ293" s="64"/>
      <c r="AR293" s="65"/>
      <c r="AS293" s="63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5"/>
      <c r="CB293" s="60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</row>
    <row r="294" spans="2:130" x14ac:dyDescent="0.15">
      <c r="B294" s="58" t="str">
        <f>IF(G294&lt;&gt;"",SUBTOTAL(3,$G$5:G294),"")</f>
        <v/>
      </c>
      <c r="C294" s="58"/>
      <c r="D294" s="58"/>
      <c r="E294" s="59"/>
      <c r="F294" s="59"/>
      <c r="G294" s="59"/>
      <c r="H294" s="61"/>
      <c r="I294" s="62"/>
      <c r="J294" s="63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5"/>
      <c r="AS294" s="63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5"/>
      <c r="CB294" s="60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</row>
    <row r="295" spans="2:130" x14ac:dyDescent="0.15">
      <c r="B295" s="58" t="str">
        <f>IF(G295&lt;&gt;"",SUBTOTAL(3,$G$5:G295),"")</f>
        <v/>
      </c>
      <c r="C295" s="58"/>
      <c r="D295" s="58"/>
      <c r="E295" s="59"/>
      <c r="F295" s="59"/>
      <c r="G295" s="59"/>
      <c r="H295" s="61"/>
      <c r="I295" s="62"/>
      <c r="J295" s="63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5"/>
      <c r="AS295" s="63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5"/>
      <c r="CB295" s="60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</row>
    <row r="296" spans="2:130" x14ac:dyDescent="0.15">
      <c r="B296" s="58" t="str">
        <f>IF(G296&lt;&gt;"",SUBTOTAL(3,$G$5:G296),"")</f>
        <v/>
      </c>
      <c r="C296" s="58"/>
      <c r="D296" s="58"/>
      <c r="E296" s="59"/>
      <c r="F296" s="59"/>
      <c r="G296" s="59"/>
      <c r="H296" s="61"/>
      <c r="I296" s="62"/>
      <c r="J296" s="63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5"/>
      <c r="AS296" s="63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5"/>
      <c r="CB296" s="60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</row>
    <row r="297" spans="2:130" ht="15.75" x14ac:dyDescent="0.15">
      <c r="B297" s="58" t="str">
        <f>IF(G297&lt;&gt;"",SUBTOTAL(3,$G$5:G297),"")</f>
        <v/>
      </c>
      <c r="C297" s="58"/>
      <c r="D297" s="58"/>
      <c r="E297" s="59"/>
      <c r="F297" s="59"/>
      <c r="G297" s="59"/>
      <c r="H297" s="61"/>
      <c r="I297" s="62"/>
      <c r="J297" s="40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2"/>
      <c r="AS297" s="63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5"/>
      <c r="CB297" s="60"/>
      <c r="CH297" s="64"/>
      <c r="CI297" s="69"/>
      <c r="CJ297" s="69"/>
      <c r="CK297" s="69"/>
      <c r="CL297" s="69"/>
      <c r="CM297" s="69"/>
      <c r="CN297" s="69"/>
      <c r="CO297" s="69"/>
      <c r="CP297" s="69"/>
      <c r="CQ297" s="69"/>
      <c r="CR297" s="69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9"/>
      <c r="DH297" s="69"/>
      <c r="DI297" s="69"/>
      <c r="DJ297" s="69"/>
      <c r="DK297" s="69"/>
      <c r="DL297" s="69"/>
      <c r="DM297" s="69"/>
      <c r="DN297" s="69"/>
      <c r="DO297" s="69"/>
      <c r="DP297" s="69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</row>
    <row r="298" spans="2:130" x14ac:dyDescent="0.15">
      <c r="B298" s="58" t="str">
        <f>IF(G298&lt;&gt;"",SUBTOTAL(3,$G$5:G298),"")</f>
        <v/>
      </c>
      <c r="C298" s="58"/>
      <c r="D298" s="58"/>
      <c r="E298" s="59"/>
      <c r="F298" s="59"/>
      <c r="G298" s="59"/>
      <c r="H298" s="61"/>
      <c r="I298" s="62"/>
      <c r="J298" s="63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5"/>
      <c r="AS298" s="63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5"/>
      <c r="CB298" s="60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</row>
    <row r="299" spans="2:130" x14ac:dyDescent="0.15">
      <c r="B299" s="58" t="str">
        <f>IF(G299&lt;&gt;"",SUBTOTAL(3,$G$5:G299),"")</f>
        <v/>
      </c>
      <c r="C299" s="58"/>
      <c r="D299" s="58"/>
      <c r="E299" s="59"/>
      <c r="F299" s="59"/>
      <c r="G299" s="59"/>
      <c r="H299" s="61"/>
      <c r="I299" s="62"/>
      <c r="J299" s="63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5"/>
      <c r="AS299" s="63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5"/>
      <c r="CB299" s="60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</row>
    <row r="300" spans="2:130" x14ac:dyDescent="0.15">
      <c r="B300" s="58" t="str">
        <f>IF(G300&lt;&gt;"",SUBTOTAL(3,$G$5:G300),"")</f>
        <v/>
      </c>
      <c r="C300" s="58"/>
      <c r="D300" s="58"/>
      <c r="E300" s="59"/>
      <c r="F300" s="59"/>
      <c r="G300" s="59"/>
      <c r="H300" s="61"/>
      <c r="I300" s="62"/>
      <c r="J300" s="63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5"/>
      <c r="AS300" s="63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5"/>
      <c r="CB300" s="60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</row>
    <row r="301" spans="2:130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63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5"/>
      <c r="AS301" s="63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5"/>
      <c r="CB301" s="60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</row>
    <row r="302" spans="2:130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5"/>
      <c r="AS302" s="63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5"/>
      <c r="CB302" s="60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</row>
    <row r="303" spans="2:130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63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5"/>
      <c r="AS303" s="63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5"/>
      <c r="CB303" s="60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</row>
    <row r="304" spans="2:13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5"/>
      <c r="AS304" s="63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5"/>
      <c r="CB304" s="60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</row>
    <row r="305" spans="2:130" ht="15.75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40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2"/>
      <c r="AS305" s="63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5"/>
      <c r="CB305" s="60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</row>
    <row r="306" spans="2:13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5"/>
      <c r="AS306" s="63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5"/>
      <c r="CB306" s="60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</row>
    <row r="307" spans="2:13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5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5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5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5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88" t="str">
        <f>IF(G320&lt;&gt;"",SUBTOTAL(3,$G$5:G320),"")</f>
        <v/>
      </c>
      <c r="C320" s="88"/>
      <c r="D320" s="88"/>
      <c r="E320" s="89"/>
      <c r="F320" s="89"/>
      <c r="G320" s="89"/>
      <c r="H320" s="90"/>
      <c r="I320" s="91"/>
      <c r="J320" s="92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  <c r="AF320" s="93"/>
      <c r="AG320" s="93"/>
      <c r="AH320" s="93"/>
      <c r="AI320" s="93"/>
      <c r="AJ320" s="93"/>
      <c r="AK320" s="93"/>
      <c r="AL320" s="93"/>
      <c r="AM320" s="93"/>
      <c r="AN320" s="93"/>
      <c r="AO320" s="93"/>
      <c r="AP320" s="93"/>
      <c r="AQ320" s="93"/>
      <c r="AR320" s="94"/>
      <c r="AS320" s="92"/>
      <c r="AT320" s="93"/>
      <c r="AU320" s="93"/>
      <c r="AV320" s="93"/>
      <c r="AW320" s="93"/>
      <c r="AX320" s="93"/>
      <c r="AY320" s="93"/>
      <c r="AZ320" s="93"/>
      <c r="BA320" s="93"/>
      <c r="BB320" s="93"/>
      <c r="BC320" s="93"/>
      <c r="BD320" s="93"/>
      <c r="BE320" s="93"/>
      <c r="BF320" s="93"/>
      <c r="BG320" s="93"/>
      <c r="BH320" s="93"/>
      <c r="BI320" s="93"/>
      <c r="BJ320" s="93"/>
      <c r="BK320" s="93"/>
      <c r="BL320" s="93"/>
      <c r="BM320" s="93"/>
      <c r="BN320" s="93"/>
      <c r="BO320" s="93"/>
      <c r="BP320" s="93"/>
      <c r="BQ320" s="93"/>
      <c r="BR320" s="93"/>
      <c r="BS320" s="93"/>
      <c r="BT320" s="93"/>
      <c r="BU320" s="93"/>
      <c r="BV320" s="93"/>
      <c r="BW320" s="93"/>
      <c r="BX320" s="93"/>
      <c r="BY320" s="93"/>
      <c r="BZ320" s="93"/>
      <c r="CA320" s="94"/>
      <c r="CB320" s="95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291:I291 B305:I305 B297:I297 B42:D42 B49:H49 B58:H58 I144:I157 B144:H158 CB144:CB158 J144:AR158 B292:AR296 B306:AR320 B5:CB39 B286:AR290 B298:AR304 AS286:CB320 F42:CB42 B43:CB47 J48:CB49 B59:CB59 AS144:CA157 B159:CB170 B179:CB225 K40:CB40 B41:CB41 K60:CB60 K226:CB226 B284:CB284 K283:CB283 K285:CB285 I158:CA158 K101:CB101 J57:CB58 B50:CB56 J61:CB63 B64:CB100 B102:CB143 B227:CB282 I171:I177 B171:H178 J171:CB178">
    <cfRule type="expression" dxfId="25" priority="96">
      <formula>AND($I5&lt;&gt;1,$I5&lt;&gt;"")</formula>
    </cfRule>
  </conditionalFormatting>
  <conditionalFormatting sqref="I178:AR178">
    <cfRule type="expression" dxfId="24" priority="82">
      <formula>AND($I178&lt;&gt;1,$I178&lt;&gt;"")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26:I226">
    <cfRule type="expression" dxfId="8" priority="18">
      <formula>AND($I226&lt;&gt;1,$I226&lt;&gt;"")</formula>
    </cfRule>
  </conditionalFormatting>
  <conditionalFormatting sqref="J226">
    <cfRule type="expression" dxfId="7" priority="17">
      <formula>AND($I226&lt;&gt;1,$I226&lt;&gt;"")</formula>
    </cfRule>
  </conditionalFormatting>
  <conditionalFormatting sqref="B283:I283 B285:I285">
    <cfRule type="expression" dxfId="6" priority="10">
      <formula>AND($I283&lt;&gt;1,$I283&lt;&gt;"")</formula>
    </cfRule>
  </conditionalFormatting>
  <conditionalFormatting sqref="J285">
    <cfRule type="expression" dxfId="5" priority="9">
      <formula>AND($I285&lt;&gt;1,$I285&lt;&gt;"")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20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89" location="toABC143_C_Slimes" display="(→)" xr:uid="{D0A14FDC-339D-483C-A7FB-42784F1DB2F9}"/>
    <hyperlink ref="CB194" location="toABC147_C_Honest_or_Unkind2" display="(→)" xr:uid="{5E89EE6B-F278-4D19-9890-D06616736879}"/>
    <hyperlink ref="CB198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285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2020-10-11T04:22:54Z</dcterms:modified>
</cp:coreProperties>
</file>
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8560D38-2973-4ED8-A52B-49DB51CAC81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At_Coder_C問題!$B$4:$CV$4</definedName>
    <definedName name="fromABC114_C_755">At_Coder_C問題!$J$62</definedName>
    <definedName name="fromABC143_C_Slimes">At_Coder_C問題!$J$185</definedName>
    <definedName name="fromABC147_C_Honest_or_Unkind2">At_Coder_C問題!$J$190</definedName>
    <definedName name="fromABC149_C_NextPrime">At_Coder_C問題!$J$192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" i="3" l="1"/>
  <c r="B60" i="3"/>
  <c r="B58" i="3"/>
  <c r="B278" i="3" l="1"/>
  <c r="B277" i="3"/>
  <c r="B276" i="3"/>
  <c r="B275" i="3"/>
  <c r="B274" i="3"/>
  <c r="B273" i="3"/>
  <c r="B270" i="3"/>
  <c r="B268" i="3"/>
  <c r="B267" i="3"/>
  <c r="B266" i="3"/>
  <c r="B265" i="3"/>
  <c r="B264" i="3"/>
  <c r="B263" i="3"/>
  <c r="B271" i="3"/>
  <c r="B269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0" i="3"/>
  <c r="B239" i="3"/>
  <c r="B238" i="3"/>
  <c r="B237" i="3"/>
  <c r="B235" i="3"/>
  <c r="B234" i="3"/>
  <c r="B233" i="3"/>
  <c r="B232" i="3"/>
  <c r="B231" i="3"/>
  <c r="B230" i="3"/>
  <c r="B229" i="3"/>
  <c r="B228" i="3"/>
  <c r="B227" i="3"/>
  <c r="B224" i="3"/>
  <c r="B223" i="3"/>
  <c r="B222" i="3"/>
  <c r="J218" i="3"/>
  <c r="B218" i="3"/>
  <c r="B217" i="3"/>
  <c r="B216" i="3"/>
  <c r="B215" i="3"/>
  <c r="B214" i="3"/>
  <c r="B213" i="3"/>
  <c r="B212" i="3"/>
  <c r="B184" i="3"/>
  <c r="B183" i="3"/>
  <c r="B182" i="3"/>
  <c r="B181" i="3"/>
  <c r="B180" i="3"/>
  <c r="B179" i="3"/>
  <c r="B178" i="3"/>
  <c r="B177" i="3"/>
  <c r="B176" i="3"/>
  <c r="B175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43" i="3"/>
  <c r="B142" i="3"/>
  <c r="B141" i="3"/>
  <c r="B140" i="3"/>
  <c r="B139" i="3"/>
  <c r="B137" i="3"/>
  <c r="B136" i="3"/>
  <c r="B135" i="3"/>
  <c r="B133" i="3"/>
  <c r="B132" i="3"/>
  <c r="B131" i="3"/>
  <c r="B130" i="3"/>
  <c r="B129" i="3"/>
  <c r="B128" i="3"/>
  <c r="B126" i="3"/>
  <c r="B125" i="3"/>
  <c r="B124" i="3"/>
  <c r="B123" i="3"/>
  <c r="B122" i="3"/>
  <c r="B121" i="3"/>
  <c r="B119" i="3"/>
  <c r="B118" i="3"/>
  <c r="B117" i="3"/>
  <c r="B116" i="3"/>
  <c r="B115" i="3"/>
  <c r="B114" i="3"/>
  <c r="B113" i="3"/>
  <c r="B112" i="3"/>
  <c r="B111" i="3"/>
  <c r="B110" i="3"/>
  <c r="B109" i="3"/>
  <c r="B107" i="3"/>
  <c r="B106" i="3"/>
  <c r="B105" i="3"/>
  <c r="B104" i="3"/>
  <c r="B103" i="3"/>
  <c r="B101" i="3"/>
  <c r="B100" i="3"/>
  <c r="B99" i="3"/>
  <c r="B98" i="3"/>
  <c r="B97" i="3"/>
  <c r="B96" i="3"/>
  <c r="B95" i="3"/>
  <c r="B93" i="3"/>
  <c r="B92" i="3"/>
  <c r="B91" i="3"/>
  <c r="B90" i="3"/>
  <c r="B89" i="3"/>
  <c r="B88" i="3"/>
  <c r="B87" i="3"/>
  <c r="B85" i="3"/>
  <c r="B84" i="3"/>
  <c r="B83" i="3"/>
  <c r="B81" i="3"/>
  <c r="B80" i="3"/>
  <c r="B79" i="3"/>
  <c r="B76" i="3"/>
  <c r="B75" i="3"/>
  <c r="B74" i="3"/>
  <c r="B73" i="3"/>
  <c r="B72" i="3"/>
  <c r="B71" i="3"/>
  <c r="B70" i="3"/>
  <c r="B78" i="3"/>
  <c r="B77" i="3"/>
  <c r="B69" i="3"/>
  <c r="B67" i="3"/>
  <c r="B66" i="3"/>
  <c r="J56" i="3"/>
  <c r="B56" i="3"/>
  <c r="B53" i="3"/>
  <c r="B52" i="3"/>
  <c r="B51" i="3"/>
  <c r="B50" i="3"/>
  <c r="B48" i="3"/>
  <c r="B47" i="3"/>
  <c r="B46" i="3"/>
  <c r="B42" i="3"/>
  <c r="B41" i="3"/>
  <c r="B40" i="3"/>
  <c r="B19" i="3"/>
  <c r="B30" i="3"/>
  <c r="B36" i="3"/>
  <c r="B38" i="3"/>
  <c r="B35" i="3"/>
  <c r="B34" i="3"/>
  <c r="B33" i="3"/>
  <c r="B32" i="3"/>
  <c r="B29" i="3"/>
  <c r="B28" i="3"/>
  <c r="B27" i="3"/>
  <c r="B18" i="3"/>
  <c r="B12" i="3"/>
  <c r="B11" i="3"/>
  <c r="B10" i="3"/>
  <c r="B9" i="3"/>
  <c r="B8" i="3"/>
  <c r="B57" i="3" l="1"/>
  <c r="B279" i="3" l="1"/>
  <c r="B219" i="3" l="1"/>
  <c r="B26" i="3" l="1"/>
  <c r="B37" i="3" l="1"/>
  <c r="B31" i="3" l="1"/>
  <c r="B45" i="3" l="1"/>
  <c r="B49" i="3"/>
  <c r="B54" i="3"/>
  <c r="B55" i="3"/>
  <c r="B61" i="3"/>
  <c r="B62" i="3"/>
  <c r="B63" i="3"/>
  <c r="B64" i="3"/>
  <c r="B65" i="3"/>
  <c r="B68" i="3"/>
  <c r="B82" i="3"/>
  <c r="B86" i="3"/>
  <c r="B94" i="3"/>
  <c r="B39" i="3"/>
  <c r="B102" i="3" l="1"/>
  <c r="B108" i="3" l="1"/>
  <c r="B120" i="3" l="1"/>
  <c r="B127" i="3" l="1"/>
  <c r="B311" i="3" l="1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2" i="3"/>
  <c r="B243" i="3"/>
  <c r="B242" i="3"/>
  <c r="B241" i="3"/>
  <c r="B236" i="3"/>
  <c r="B226" i="3"/>
  <c r="B225" i="3"/>
  <c r="B221" i="3"/>
  <c r="B220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74" i="3"/>
  <c r="B173" i="3"/>
  <c r="B172" i="3"/>
  <c r="B171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8" i="3"/>
  <c r="B134" i="3"/>
  <c r="B25" i="3"/>
  <c r="B24" i="3"/>
  <c r="B23" i="3"/>
  <c r="B22" i="3"/>
  <c r="B21" i="3"/>
  <c r="B20" i="3"/>
  <c r="B17" i="3"/>
  <c r="B16" i="3"/>
  <c r="B15" i="3"/>
  <c r="B14" i="3"/>
  <c r="B13" i="3"/>
  <c r="B7" i="3"/>
  <c r="B6" i="3"/>
  <c r="B5" i="3"/>
</calcChain>
</file>

<file path=xl/sharedStrings.xml><?xml version="1.0" encoding="utf-8"?>
<sst xmlns="http://schemas.openxmlformats.org/spreadsheetml/2006/main" count="798" uniqueCount="439">
  <si>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</si>
  <si>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</si>
  <si>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</si>
  <si>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</si>
  <si>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</si>
  <si>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</si>
  <si>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</si>
  <si>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</si>
  <si>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</si>
  <si>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</si>
  <si>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</si>
  <si>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</si>
  <si>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</si>
  <si>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</si>
  <si>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</si>
  <si>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</si>
  <si>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</si>
  <si>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</si>
  <si>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</si>
  <si>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</si>
  <si>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</si>
  <si>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</si>
  <si>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</si>
  <si>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</si>
  <si>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</si>
  <si>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</si>
  <si>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</si>
  <si>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</si>
  <si>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</si>
  <si>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</si>
  <si>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</si>
  <si>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</si>
  <si>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</si>
  <si>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</si>
  <si>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</si>
  <si>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</si>
  <si>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</si>
  <si>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</si>
  <si>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</si>
  <si>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</si>
  <si>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</si>
  <si>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</si>
  <si>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</si>
  <si>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</si>
  <si>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</si>
  <si>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</si>
  <si>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</si>
  <si>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</si>
  <si>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</si>
  <si>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</si>
  <si>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</si>
  <si>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</si>
  <si>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</si>
  <si>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</si>
  <si>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</si>
  <si>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</si>
  <si>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</si>
  <si>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</si>
  <si>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</si>
  <si>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</si>
  <si>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</si>
  <si>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</si>
  <si>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</si>
  <si>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</si>
  <si>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</si>
  <si>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</si>
  <si>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</si>
  <si>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</si>
  <si>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</si>
  <si>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</si>
  <si>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</si>
  <si>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</si>
  <si>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</si>
  <si>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</si>
  <si>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</si>
  <si>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</si>
  <si>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</si>
  <si>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</si>
  <si>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</si>
  <si>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</si>
  <si>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</si>
  <si>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</si>
  <si>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</si>
  <si>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</si>
  <si>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</si>
  <si>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</si>
  <si>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</si>
  <si>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</si>
  <si>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</si>
  <si>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</si>
  <si>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</si>
  <si>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</si>
  <si>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</si>
  <si>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</si>
  <si>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</si>
  <si>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</si>
  <si>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</si>
  <si>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</si>
  <si>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</si>
  <si>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</si>
  <si>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</si>
  <si>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</si>
  <si>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</si>
  <si>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</si>
  <si>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</si>
  <si>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</si>
  <si>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</si>
  <si>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</si>
  <si>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</si>
  <si>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</si>
  <si>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</si>
  <si>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</si>
  <si>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</si>
  <si>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</si>
  <si>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</si>
  <si>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</si>
  <si>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</si>
  <si>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</si>
  <si>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</si>
  <si>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</si>
  <si>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</si>
  <si>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</si>
  <si>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</si>
  <si>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</si>
  <si>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</si>
  <si>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</si>
  <si>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</si>
  <si>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</si>
  <si>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</si>
  <si>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</si>
  <si>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</si>
  <si>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</si>
  <si>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</si>
  <si>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</si>
  <si>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</si>
  <si>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</si>
  <si>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</si>
  <si>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</si>
  <si>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</si>
  <si>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</si>
  <si>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</si>
  <si>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</si>
  <si>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</si>
  <si>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</si>
  <si>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</si>
  <si>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</si>
  <si>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</si>
  <si>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</si>
  <si>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</si>
  <si>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</si>
  <si>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</si>
  <si>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</si>
  <si>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</si>
  <si>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</si>
  <si>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</si>
  <si>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</si>
  <si>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</si>
  <si>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</si>
  <si>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</si>
  <si>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</si>
  <si>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</si>
  <si>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</si>
  <si>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</si>
  <si>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</si>
  <si>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</si>
  <si>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</si>
  <si>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</si>
  <si>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</si>
  <si>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</si>
  <si>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</si>
  <si>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</si>
  <si>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</si>
  <si>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</si>
  <si>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</si>
  <si>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</si>
  <si>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</si>
  <si>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</si>
  <si>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</si>
  <si>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</si>
  <si>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</si>
  <si>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</si>
  <si>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</si>
  <si>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</si>
  <si>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</si>
  <si>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</si>
  <si>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</si>
  <si>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</si>
  <si>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</si>
  <si>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</si>
  <si>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</si>
  <si>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</si>
  <si>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</si>
  <si>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</si>
  <si>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</si>
  <si>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</si>
  <si>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</si>
  <si>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</si>
  <si>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</si>
  <si>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</si>
  <si>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</si>
  <si>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</si>
  <si>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</si>
  <si>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</si>
  <si>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</si>
  <si>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</si>
  <si>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</si>
  <si>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</si>
  <si>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</si>
  <si>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</si>
  <si>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</si>
  <si>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</si>
  <si>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</si>
  <si>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</si>
  <si>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</si>
  <si>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</si>
  <si>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</si>
  <si>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</si>
  <si>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</si>
  <si>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</si>
  <si>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</si>
  <si>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</si>
  <si>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</si>
  <si>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</si>
  <si>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</si>
  <si>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</si>
  <si>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</si>
  <si>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</si>
  <si>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</si>
  <si>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</si>
  <si>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</si>
  <si>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</si>
  <si>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</si>
  <si>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</si>
  <si>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</si>
  <si>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</si>
  <si>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</si>
  <si>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</si>
  <si>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</si>
  <si>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</si>
  <si>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</si>
  <si>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</si>
  <si>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</si>
  <si>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</si>
  <si>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</si>
  <si>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</si>
  <si>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</si>
  <si>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</si>
  <si>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● i 桁目までの和の符号が欲しい符号と同じ場合、i 番目の数を変更する必要はない。</t>
    <phoneticPr fontId="2"/>
  </si>
  <si>
    <t>すでに i 番目までの和の符号が合致しているのに i 番目の数を変更して最適解が得られ</t>
    <phoneticPr fontId="2"/>
  </si>
  <si>
    <t>るなら、i 番目の数に対する変更を i + 1 番目の数に持ってくることで同じ最適解が得られる</t>
    <phoneticPr fontId="2"/>
  </si>
  <si>
    <t>からである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</si>
  <si>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</si>
  <si>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</si>
  <si>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</si>
  <si>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</si>
  <si>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</si>
  <si>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</si>
  <si>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</si>
  <si>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</si>
  <si>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</si>
  <si>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</si>
  <si>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</si>
  <si>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</si>
  <si>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</si>
  <si>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</si>
  <si>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・文字の変換表がどのように作成されれば、変換可能であるのか解からなかったため、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</si>
  <si>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なかった</t>
    <phoneticPr fontId="2"/>
  </si>
  <si>
    <t>・偶数列、奇数列のそれぞれにおいて、最頻値、出現回数と2番目の最頻値、出現回数を取得し、</t>
    <phoneticPr fontId="2"/>
  </si>
  <si>
    <t>奇数列と偶数列の最頻値が等しい場合、上記の組合せで、書換回数の最小値を算出する</t>
    <phoneticPr fontId="2"/>
  </si>
  <si>
    <t>・偶数列、奇数列のそれぞれにおいて、最頻値、出現回数と2番目の最頻値、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</si>
  <si>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出現回数を取得し、奇数列と偶数列の最頻値が等しい場合、上記の組合せで、</t>
    <rPh sb="0" eb="2">
      <t>シュツゲン</t>
    </rPh>
    <rPh sb="2" eb="4">
      <t>カイスウ</t>
    </rPh>
    <rPh sb="5" eb="7">
      <t>シュトク</t>
    </rPh>
    <rPh sb="9" eb="11">
      <t>キスウ</t>
    </rPh>
    <rPh sb="11" eb="12">
      <t>レツ</t>
    </rPh>
    <rPh sb="13" eb="15">
      <t>グウスウ</t>
    </rPh>
    <rPh sb="15" eb="16">
      <t>レツ</t>
    </rPh>
    <rPh sb="17" eb="20">
      <t>サイヒンチ</t>
    </rPh>
    <rPh sb="21" eb="22">
      <t>ヒト</t>
    </rPh>
    <rPh sb="24" eb="26">
      <t>バアイ</t>
    </rPh>
    <rPh sb="27" eb="29">
      <t>ジョウキ</t>
    </rPh>
    <rPh sb="30" eb="32">
      <t>クミアワ</t>
    </rPh>
    <phoneticPr fontId="2"/>
  </si>
  <si>
    <t>書換回数の最小値を算出することが解からなかった</t>
    <rPh sb="0" eb="2">
      <t>カキカエ</t>
    </rPh>
    <rPh sb="2" eb="4">
      <t>カイスウ</t>
    </rPh>
    <rPh sb="5" eb="8">
      <t>サイショウチ</t>
    </rPh>
    <rPh sb="9" eb="11">
      <t>サンシュツ</t>
    </rPh>
    <rPh sb="16" eb="17">
      <t>ワ</t>
    </rPh>
    <phoneticPr fontId="2"/>
  </si>
  <si>
    <t>・周辺座標の中で、高さ＝０の座標も無視せず、｢矛盾しないかチェックする｣という解説を参照し、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</si>
  <si>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周辺座標の高さ＝０の場合は</t>
    <rPh sb="0" eb="2">
      <t>シュウヘン</t>
    </rPh>
    <rPh sb="2" eb="4">
      <t>ザヒョウ</t>
    </rPh>
    <rPh sb="5" eb="6">
      <t>タカ</t>
    </rPh>
    <rPh sb="10" eb="12">
      <t>バアイ</t>
    </rPh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</si>
  <si>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</si>
  <si>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</si>
  <si>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・自分の解法の通り実施したところ、周辺座標の中で、高さ≠０の座標が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</si>
  <si>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１個しかないテストケースがあり、そのケースのみ誤解答した</t>
    <rPh sb="1" eb="2">
      <t>コ</t>
    </rPh>
    <rPh sb="23" eb="24">
      <t>ゴ</t>
    </rPh>
    <rPh sb="24" eb="26">
      <t>カイトウ</t>
    </rPh>
    <phoneticPr fontId="2"/>
  </si>
  <si>
    <t>・座標圧縮を行い、市について、県ごとの認識番号の小さい順の順番を取得する</t>
    <phoneticPr fontId="2"/>
  </si>
  <si>
    <t>・木の高さ配列を小さい順にソート・木の高さ配列を、先頭からK本(選択した本数)ずつ見て行き、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</si>
  <si>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高さの差の min を求める</t>
    <rPh sb="0" eb="1">
      <t>タカ</t>
    </rPh>
    <rPh sb="3" eb="4">
      <t>サ</t>
    </rPh>
    <rPh sb="11" eb="12">
      <t>モト</t>
    </rPh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</si>
  <si>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</si>
  <si>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</si>
  <si>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</si>
  <si>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</si>
  <si>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</si>
  <si>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</si>
  <si>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</si>
  <si>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</si>
  <si>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</si>
  <si>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</si>
  <si>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</si>
  <si>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</si>
  <si>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</si>
  <si>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</si>
  <si>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・N個のコマが存在し、N-1 箇所の区切りを入れることが可能なため、距離が大きい順に N-1 個を取り除いた、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</si>
  <si>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残りの距離の和が求める解となる (区切りを入れた区間はコマを移動しない)</t>
    <rPh sb="0" eb="1">
      <t>ノコ</t>
    </rPh>
    <rPh sb="3" eb="5">
      <t>キョリ</t>
    </rPh>
    <rPh sb="6" eb="7">
      <t>ワ</t>
    </rPh>
    <rPh sb="8" eb="9">
      <t>モト</t>
    </rPh>
    <rPh sb="11" eb="12">
      <t>カイ</t>
    </rPh>
    <phoneticPr fontId="2"/>
  </si>
  <si>
    <t>N個のコマがあるため、N-1 箇所の区切りを入れることができる</t>
    <rPh sb="1" eb="2">
      <t>コ</t>
    </rPh>
    <rPh sb="15" eb="17">
      <t>カショ</t>
    </rPh>
    <rPh sb="18" eb="20">
      <t>クギ</t>
    </rPh>
    <rPh sb="22" eb="23">
      <t>イ</t>
    </rPh>
    <phoneticPr fontId="2"/>
  </si>
  <si>
    <t>(区切りを入れた区間はコマを移動しない)</t>
    <rPh sb="1" eb="3">
      <t>クギ</t>
    </rPh>
    <rPh sb="5" eb="6">
      <t>イ</t>
    </rPh>
    <rPh sb="8" eb="10">
      <t>クカン</t>
    </rPh>
    <rPh sb="14" eb="16">
      <t>イドウ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</si>
  <si>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</si>
  <si>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</si>
  <si>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</si>
  <si>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</si>
  <si>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</si>
  <si>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</si>
  <si>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</si>
  <si>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</si>
  <si>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</si>
  <si>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</si>
  <si>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</si>
  <si>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</si>
  <si>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</si>
  <si>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</si>
  <si>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</si>
  <si>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</si>
  <si>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</si>
  <si>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</si>
  <si>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</si>
  <si>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</si>
  <si>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</si>
  <si>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</si>
  <si>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</si>
  <si>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</si>
  <si>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</si>
  <si>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</si>
  <si>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</si>
  <si>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</si>
  <si>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</si>
  <si>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個数&gt;で実装したが、同一の価格が存在し、mapは重複キー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</si>
  <si>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許さないため、multimap&lt;価格, 個数&gt; を使用して実装をし直した</t>
    <rPh sb="0" eb="1">
      <t>ユル</t>
    </rPh>
    <rPh sb="16" eb="18">
      <t>カカク</t>
    </rPh>
    <rPh sb="20" eb="22">
      <t>コスウ</t>
    </rPh>
    <rPh sb="25" eb="27">
      <t>シヨウ</t>
    </rPh>
    <rPh sb="29" eb="31">
      <t>ジッソウ</t>
    </rPh>
    <rPh sb="33" eb="34">
      <t>ナオ</t>
    </rPh>
    <phoneticPr fontId="2"/>
  </si>
  <si>
    <t>価格[n1] == 価格[n2] としたとき、map[ 価格[n1] ] = 個数[n1]; を実行し</t>
    <rPh sb="0" eb="2">
      <t>カカク</t>
    </rPh>
    <rPh sb="10" eb="12">
      <t>カカク</t>
    </rPh>
    <rPh sb="28" eb="30">
      <t>カカク</t>
    </rPh>
    <rPh sb="39" eb="41">
      <t>コスウ</t>
    </rPh>
    <rPh sb="48" eb="50">
      <t>ジッコウ</t>
    </rPh>
    <phoneticPr fontId="2"/>
  </si>
  <si>
    <t>次に</t>
    <rPh sb="0" eb="1">
      <t>ツギ</t>
    </rPh>
    <phoneticPr fontId="2"/>
  </si>
  <si>
    <t xml:space="preserve"> map[ 価格[n2] ] = 個数[n2]; を実行しても、mapに挿入されないため</t>
    <rPh sb="6" eb="8">
      <t>カカク</t>
    </rPh>
    <rPh sb="17" eb="19">
      <t>コスウ</t>
    </rPh>
    <rPh sb="26" eb="28">
      <t>ジッコウ</t>
    </rPh>
    <rPh sb="36" eb="38">
      <t>ソウニュウ</t>
    </rPh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</si>
  <si>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</si>
  <si>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</si>
  <si>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</si>
  <si>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</si>
  <si>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</si>
  <si>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</si>
  <si>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</si>
  <si>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先頭からの "AC" の文字をカウントして配列に持たせ、Q個の質問に対しては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</si>
  <si>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計算で算出</t>
    <rPh sb="0" eb="2">
      <t>ケイサン</t>
    </rPh>
    <rPh sb="3" eb="5">
      <t>サンシュツ</t>
    </rPh>
    <phoneticPr fontId="2"/>
  </si>
  <si>
    <t>最も小さな容量の交通機関に合わせて（すべての交通機関を最小の交通機関にする）計算し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</si>
  <si>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（１つの交通機関の使用時間）、そこに４分を加算する（４つ分の交通機関の使用時間）</t>
    <rPh sb="4" eb="6">
      <t>コウツウ</t>
    </rPh>
    <rPh sb="6" eb="8">
      <t>キカン</t>
    </rPh>
    <rPh sb="9" eb="11">
      <t>シヨウ</t>
    </rPh>
    <rPh sb="11" eb="13">
      <t>ジカン</t>
    </rPh>
    <rPh sb="19" eb="20">
      <t>プン</t>
    </rPh>
    <rPh sb="21" eb="23">
      <t>カサン</t>
    </rPh>
    <rPh sb="28" eb="29">
      <t>ブン</t>
    </rPh>
    <rPh sb="30" eb="32">
      <t>コウツウ</t>
    </rPh>
    <rPh sb="32" eb="34">
      <t>キカン</t>
    </rPh>
    <rPh sb="35" eb="37">
      <t>シヨウ</t>
    </rPh>
    <rPh sb="37" eb="39">
      <t>ジカン</t>
    </rPh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</si>
  <si>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</si>
  <si>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（ABC123_C_FiveTransportations_TLE.cpp）では移動時間に</t>
    <rPh sb="40" eb="42">
      <t>イドウ</t>
    </rPh>
    <rPh sb="42" eb="44">
      <t>ジカン</t>
    </rPh>
    <phoneticPr fontId="2"/>
  </si>
  <si>
    <t>比例する計算時間がかかり、TLE となる</t>
    <rPh sb="0" eb="2">
      <t>ヒレイ</t>
    </rPh>
    <rPh sb="4" eb="6">
      <t>ケイサン</t>
    </rPh>
    <rPh sb="6" eb="8">
      <t>ジカン</t>
    </rPh>
    <phoneticPr fontId="2"/>
  </si>
  <si>
    <t>そこで、各交通機関の容量を直前の交通機関の大きさに合わせ、</t>
    <phoneticPr fontId="2"/>
  </si>
  <si>
    <t>各都市への移動時間を計算し、移動のトータル時間を計算した</t>
    <rPh sb="14" eb="16">
      <t>イドウ</t>
    </rPh>
    <phoneticPr fontId="2"/>
  </si>
  <si>
    <t>（各都市間へ同時に移動しているため移動時間の差分を加算）</t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</si>
  <si>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</si>
  <si>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</si>
  <si>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先頭からのcolor文字列が0,1,･･･と1,0,･･･の他に末尾からの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</si>
  <si>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color文字列が0,1,･･･と1,0,･･･と4種類のパターンを考えていた</t>
    <rPh sb="26" eb="28">
      <t>シュルイ</t>
    </rPh>
    <rPh sb="34" eb="35">
      <t>カンガ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</si>
  <si>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</si>
  <si>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</si>
  <si>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</si>
  <si>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</si>
  <si>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</si>
  <si>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</si>
  <si>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</si>
  <si>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</si>
  <si>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</si>
  <si>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</si>
  <si>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</si>
  <si>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</si>
  <si>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</si>
  <si>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</si>
  <si>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</si>
  <si>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</si>
  <si>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</si>
  <si>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</si>
  <si>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</si>
  <si>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</si>
  <si>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</si>
  <si>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</si>
  <si>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</si>
  <si>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</si>
  <si>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・N を1から考える (1-indexed) のではなく、0 から考える (0-indexed )ため、Nをデクリメントして、</t>
    <rPh sb="7" eb="8">
      <t>カンガ</t>
    </rPh>
    <rPh sb="33" eb="34">
      <t>カンガ</t>
    </rPh>
    <phoneticPr fontId="2"/>
  </si>
  <si>
    <t>0 ～ 25 を "a"～"z" に変換することを考えると、きれいな 26進法を考えることが出来る</t>
    <rPh sb="18" eb="20">
      <t>ヘンカン</t>
    </rPh>
    <rPh sb="25" eb="26">
      <t>カンガ</t>
    </rPh>
    <rPh sb="37" eb="39">
      <t>シンホウ</t>
    </rPh>
    <rPh sb="40" eb="41">
      <t>カンガ</t>
    </rPh>
    <rPh sb="46" eb="48">
      <t>デキ</t>
    </rPh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</si>
  <si>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</si>
  <si>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</si>
  <si>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・N を10進法→26進法に変換するとき、26で割った余りが 0 のとき、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</si>
  <si>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商をデクリメントして、商から 26 を借りてきて、1～26 を "a"～"z" に</t>
    <rPh sb="0" eb="1">
      <t>ショウ</t>
    </rPh>
    <rPh sb="11" eb="12">
      <t>ショウ</t>
    </rPh>
    <rPh sb="19" eb="20">
      <t>カ</t>
    </rPh>
    <phoneticPr fontId="2"/>
  </si>
  <si>
    <t>変換した</t>
    <rPh sb="0" eb="2">
      <t>ヘンカン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</si>
  <si>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</si>
  <si>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</si>
  <si>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・行と列のsizeの和だけ全探索し、その添え字の大きさにより、行と列に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</si>
  <si>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分解した</t>
    <rPh sb="0" eb="2">
      <t>ブンカイ</t>
    </rPh>
    <phoneticPr fontId="2"/>
  </si>
  <si>
    <t>・模範解答の通り、行と列を最初から分離させたら、行の添え字が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</si>
  <si>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実際の格納サイズを超えて検索したので、列のサイズに正しくない値が</t>
    <rPh sb="0" eb="2">
      <t>ジッサイ</t>
    </rPh>
    <rPh sb="3" eb="5">
      <t>カクノウ</t>
    </rPh>
    <rPh sb="9" eb="10">
      <t>コ</t>
    </rPh>
    <rPh sb="12" eb="14">
      <t>ケンサク</t>
    </rPh>
    <rPh sb="19" eb="20">
      <t>レツ</t>
    </rPh>
    <rPh sb="25" eb="26">
      <t>タダ</t>
    </rPh>
    <rPh sb="30" eb="31">
      <t>アタイ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</si>
  <si>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</si>
  <si>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・選んだ行、列のマスを塗り替えるロジックを作成したが、模範解答では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</si>
  <si>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選択した行、列の塗り替えは行わず、黒マス("#")カウントアップをスキップ</t>
    <phoneticPr fontId="2"/>
  </si>
  <si>
    <t>した</t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</si>
  <si>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</si>
  <si>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>を考え、同じ余りが出現したら、以下循環すると考える</t>
    <rPh sb="1" eb="2">
      <t>カンガ</t>
    </rPh>
    <rPh sb="4" eb="5">
      <t>オナ</t>
    </rPh>
    <rPh sb="6" eb="7">
      <t>アマ</t>
    </rPh>
    <rPh sb="9" eb="11">
      <t>シュツゲン</t>
    </rPh>
    <rPh sb="15" eb="17">
      <t>イカ</t>
    </rPh>
    <rPh sb="17" eb="19">
      <t>ジュンカン</t>
    </rPh>
    <rPh sb="22" eb="23">
      <t>カンガ</t>
    </rPh>
    <phoneticPr fontId="2"/>
  </si>
  <si>
    <t>まで、ループを廻し その中で 余り== 0 になった時点で、数列の項番を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</si>
  <si>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>return した</t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</si>
  <si>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</si>
  <si>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</si>
  <si>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</si>
  <si>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</si>
  <si>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</si>
  <si>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</si>
  <si>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</si>
  <si>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</si>
  <si>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</si>
  <si>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</si>
  <si>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</si>
  <si>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</si>
  <si>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</si>
  <si>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</si>
  <si>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</si>
  <si>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</si>
  <si>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</si>
  <si>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</si>
  <si>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</si>
  <si>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</si>
  <si>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</si>
  <si>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</si>
  <si>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</si>
  <si>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</si>
  <si>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</si>
  <si>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</si>
  <si>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L(i) := 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, 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, ..., A</t>
    </r>
    <r>
      <rPr>
        <vertAlign val="subscript"/>
        <sz val="10"/>
        <color theme="1"/>
        <rFont val="Meiryo UI"/>
        <family val="3"/>
        <charset val="128"/>
      </rPr>
      <t>i−1</t>
    </r>
    <r>
      <rPr>
        <sz val="10"/>
        <color theme="1"/>
        <rFont val="Meiryo UI"/>
        <family val="3"/>
        <charset val="128"/>
      </rPr>
      <t>のGCD</t>
    </r>
    <phoneticPr fontId="2"/>
  </si>
  <si>
    <r>
      <t>R(i) :=  A</t>
    </r>
    <r>
      <rPr>
        <vertAlign val="subscript"/>
        <sz val="10"/>
        <color theme="1"/>
        <rFont val="Meiryo UI"/>
        <family val="3"/>
        <charset val="128"/>
      </rPr>
      <t>i+1</t>
    </r>
    <r>
      <rPr>
        <sz val="10"/>
        <color theme="1"/>
        <rFont val="Meiryo UI"/>
        <family val="3"/>
        <charset val="128"/>
      </rPr>
      <t>, ...,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のGCD</t>
    </r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</si>
  <si>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</si>
  <si>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</si>
  <si>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</si>
  <si>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</si>
  <si>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</si>
  <si>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r>
      <t>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の数列でしか考えなかったため</t>
    </r>
    <rPh sb="17" eb="19">
      <t>スウレツ</t>
    </rPh>
    <rPh sb="22" eb="23">
      <t>カンガ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</si>
  <si>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を作成し、同一の余りが出る</t>
    </r>
    <rPh sb="0" eb="3">
      <t>ゼンカシキ</t>
    </rPh>
    <rPh sb="22" eb="24">
      <t>スウレツ</t>
    </rPh>
    <rPh sb="31" eb="33">
      <t>サクセイ</t>
    </rPh>
    <rPh sb="35" eb="37">
      <t>ドウイツ</t>
    </rPh>
    <rPh sb="38" eb="39">
      <t>アマ</t>
    </rPh>
    <rPh sb="41" eb="42">
      <t>デ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</si>
  <si>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</si>
  <si>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修正点のポイント (模範解答と自解答)</t>
    <rPh sb="0" eb="2">
      <t>シュウセイ</t>
    </rPh>
    <rPh sb="2" eb="3">
      <t>テン</t>
    </rPh>
    <rPh sb="10" eb="12">
      <t>モハン</t>
    </rPh>
    <rPh sb="12" eb="14">
      <t>カイトウ</t>
    </rPh>
    <rPh sb="15" eb="16">
      <t>ジ</t>
    </rPh>
    <rPh sb="16" eb="18">
      <t>カイトウ</t>
    </rPh>
    <phoneticPr fontId="2"/>
  </si>
  <si>
    <t>・ソートされた配列内で、検索キー以上の要素の一番左のイテレータを返す lower_ bound を使用する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</si>
  <si>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 xml:space="preserve"> (２分索引)</t>
    <rPh sb="3" eb="4">
      <t>ブン</t>
    </rPh>
    <rPh sb="4" eb="6">
      <t>サクイン</t>
    </rPh>
    <phoneticPr fontId="2"/>
  </si>
  <si>
    <t>https://qiita.com/ganariya/items/33f1326154b85db465c3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</si>
</sst>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0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272</xdr:row>
      <xdr:rowOff>33337</xdr:rowOff>
    </xdr:from>
    <xdr:to>
      <xdr:col>16</xdr:col>
      <xdr:colOff>38100</xdr:colOff>
      <xdr:row>272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90C400D8-426D-4A40-8034-1D903116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4196519-0813-46DF-96F2-9C8CA9BBA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273</xdr:row>
      <xdr:rowOff>35719</xdr:rowOff>
    </xdr:from>
    <xdr:to>
      <xdr:col>21</xdr:col>
      <xdr:colOff>133350</xdr:colOff>
      <xdr:row>274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F7DFBB1B-9B0E-449A-91F4-E5093B728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rken1215.hatenablog.com/entry/2019/02/24/224100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qiita.com/ganariya/items/33f1326154b85db465c3" TargetMode="External"/><Relationship Id="rId4" Type="http://schemas.openxmlformats.org/officeDocument/2006/relationships/hyperlink" Target="http://satanic0258.hatenablog.com/entry/2016/04/10/10452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T311"/>
  <sheetViews>
    <sheetView tabSelected="1" zoomScaleNormal="100" workbookViewId="0">
      <pane xSplit="7" ySplit="4" topLeftCell="H44" activePane="bottomRight" state="frozen"/>
      <selection pane="topRight" activeCell="H1" sqref="H1"/>
      <selection pane="bottomLeft" activeCell="A5" sqref="A5"/>
      <selection pane="bottomRight" activeCell="I56" sqref="I56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99" width="2.625" style="66" customWidth="1"/>
    <col min="100" max="100" width="5.5" style="66" customWidth="1"/>
    <col min="101" max="105" width="2.625" style="66"/>
    <col min="106" max="16384" width="2.625" style="57"/>
  </cols>
  <sheetData>
    <row r="1" spans="1:15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43"/>
      <c r="EB1" s="43"/>
      <c r="EC1" s="43"/>
      <c r="ED1" s="43"/>
      <c r="EE1" s="43"/>
      <c r="EF1" s="43"/>
      <c r="EG1" s="43"/>
      <c r="EH1" s="43"/>
      <c r="EI1" s="43"/>
      <c r="EJ1" s="43"/>
      <c r="EK1" s="43"/>
      <c r="EL1" s="43"/>
      <c r="EM1" s="43"/>
      <c r="EN1" s="43"/>
      <c r="EO1" s="43"/>
      <c r="EP1" s="43"/>
      <c r="EQ1" s="43"/>
      <c r="ER1" s="43"/>
      <c r="ES1" s="43"/>
      <c r="ET1" s="43"/>
    </row>
    <row r="2" spans="1:150" s="46" customFormat="1" ht="16.5" x14ac:dyDescent="0.15">
      <c r="A2" s="47"/>
      <c r="B2" s="104" t="s">
        <v>8</v>
      </c>
      <c r="C2" s="109" t="s">
        <v>237</v>
      </c>
      <c r="D2" s="109" t="s">
        <v>238</v>
      </c>
      <c r="E2" s="102" t="s">
        <v>142</v>
      </c>
      <c r="F2" s="103"/>
      <c r="G2" s="103"/>
      <c r="H2" s="106" t="s">
        <v>10</v>
      </c>
      <c r="I2" s="108" t="s">
        <v>11</v>
      </c>
      <c r="J2" s="102" t="s">
        <v>239</v>
      </c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1"/>
      <c r="AF2" s="111"/>
      <c r="AG2" s="111"/>
      <c r="AH2" s="111"/>
      <c r="AI2" s="111"/>
      <c r="AJ2" s="111"/>
      <c r="AK2" s="111"/>
      <c r="AL2" s="111"/>
      <c r="AM2" s="112"/>
      <c r="AN2" s="102" t="s">
        <v>12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8"/>
      <c r="BR2" s="102" t="s">
        <v>435</v>
      </c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8"/>
      <c r="CV2" s="100" t="s">
        <v>13</v>
      </c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43"/>
      <c r="EB2" s="43"/>
      <c r="EC2" s="43"/>
      <c r="ED2" s="43"/>
      <c r="EE2" s="43"/>
      <c r="EF2" s="43"/>
      <c r="EG2" s="43"/>
      <c r="EH2" s="43"/>
      <c r="EI2" s="43"/>
      <c r="EJ2" s="43"/>
      <c r="EK2" s="43"/>
      <c r="EL2" s="43"/>
      <c r="EM2" s="43"/>
      <c r="EN2" s="43"/>
      <c r="EO2" s="43"/>
      <c r="EP2" s="43"/>
      <c r="EQ2" s="43"/>
      <c r="ER2" s="43"/>
      <c r="ES2" s="43"/>
      <c r="ET2" s="43"/>
    </row>
    <row r="3" spans="1:150" s="46" customFormat="1" ht="16.5" x14ac:dyDescent="0.15">
      <c r="A3" s="47"/>
      <c r="B3" s="105"/>
      <c r="C3" s="105"/>
      <c r="D3" s="105"/>
      <c r="E3" s="36" t="s">
        <v>138</v>
      </c>
      <c r="F3" s="36" t="s">
        <v>139</v>
      </c>
      <c r="G3" s="36" t="s">
        <v>9</v>
      </c>
      <c r="H3" s="107"/>
      <c r="I3" s="105"/>
      <c r="J3" s="113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5"/>
      <c r="AF3" s="115"/>
      <c r="AG3" s="115"/>
      <c r="AH3" s="115"/>
      <c r="AI3" s="115"/>
      <c r="AJ3" s="115"/>
      <c r="AK3" s="115"/>
      <c r="AL3" s="115"/>
      <c r="AM3" s="116"/>
      <c r="AN3" s="119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1"/>
      <c r="BR3" s="119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20"/>
      <c r="CN3" s="120"/>
      <c r="CO3" s="120"/>
      <c r="CP3" s="120"/>
      <c r="CQ3" s="120"/>
      <c r="CR3" s="120"/>
      <c r="CS3" s="120"/>
      <c r="CT3" s="120"/>
      <c r="CU3" s="121"/>
      <c r="CV3" s="101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</row>
    <row r="4" spans="1:15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3"/>
      <c r="AN4" s="51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3"/>
      <c r="BR4" s="54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6"/>
      <c r="CV4" s="49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  <c r="EA4" s="43"/>
      <c r="EB4" s="43"/>
      <c r="EC4" s="43"/>
      <c r="ED4" s="43"/>
      <c r="EE4" s="43"/>
      <c r="EF4" s="43"/>
      <c r="EG4" s="43"/>
      <c r="EH4" s="43"/>
      <c r="EI4" s="43"/>
      <c r="EJ4" s="43"/>
      <c r="EK4" s="43"/>
      <c r="EL4" s="43"/>
      <c r="EM4" s="43"/>
      <c r="EN4" s="43"/>
      <c r="EO4" s="43"/>
      <c r="EP4" s="43"/>
      <c r="EQ4" s="43"/>
      <c r="ER4" s="43"/>
      <c r="ES4" s="43"/>
      <c r="ET4" s="43"/>
    </row>
    <row r="5" spans="1:150" x14ac:dyDescent="0.15">
      <c r="B5" s="58">
        <f>IF(G5&lt;&gt;"",SUBTOTAL(3,$G$5:G5),"")</f>
        <v>1</v>
      </c>
      <c r="C5" s="58"/>
      <c r="D5" s="58"/>
      <c r="E5" s="59" t="s">
        <v>141</v>
      </c>
      <c r="F5" s="59" t="s">
        <v>136</v>
      </c>
      <c r="G5" s="60" t="s">
        <v>144</v>
      </c>
      <c r="H5" s="61">
        <v>43960</v>
      </c>
      <c r="I5" s="62"/>
      <c r="J5" s="63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5"/>
      <c r="AN5" s="63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5"/>
      <c r="BR5" s="63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5"/>
      <c r="CV5" s="60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</row>
    <row r="6" spans="1:150" x14ac:dyDescent="0.15">
      <c r="B6" s="58">
        <f>IF(G6&lt;&gt;"",SUBTOTAL(3,$G$5:G6),"")</f>
        <v>2</v>
      </c>
      <c r="C6" s="58"/>
      <c r="D6" s="58"/>
      <c r="E6" s="59" t="s">
        <v>140</v>
      </c>
      <c r="F6" s="59" t="s">
        <v>136</v>
      </c>
      <c r="G6" s="60" t="s">
        <v>145</v>
      </c>
      <c r="H6" s="61">
        <v>43871</v>
      </c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5"/>
      <c r="AN6" s="63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5"/>
      <c r="BR6" s="63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5"/>
      <c r="CV6" s="60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</row>
    <row r="7" spans="1:150" x14ac:dyDescent="0.15">
      <c r="B7" s="58">
        <f>IF(G7&lt;&gt;"",SUBTOTAL(3,$G$5:G7),"")</f>
        <v>3</v>
      </c>
      <c r="C7" s="58"/>
      <c r="D7" s="58"/>
      <c r="E7" s="59" t="s">
        <v>140</v>
      </c>
      <c r="F7" s="59" t="s">
        <v>136</v>
      </c>
      <c r="G7" s="60" t="s">
        <v>146</v>
      </c>
      <c r="H7" s="61">
        <v>43995</v>
      </c>
      <c r="I7" s="62">
        <v>0.5</v>
      </c>
      <c r="J7" s="63" t="s">
        <v>244</v>
      </c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5"/>
      <c r="AN7" s="63" t="s">
        <v>251</v>
      </c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5"/>
      <c r="BR7" s="63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5"/>
      <c r="CV7" s="67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</row>
    <row r="8" spans="1:150" x14ac:dyDescent="0.15">
      <c r="B8" s="58" t="str">
        <f>IF(G8&lt;&gt;"",SUBTOTAL(3,$G$5:G8),"")</f>
        <v/>
      </c>
      <c r="C8" s="58"/>
      <c r="D8" s="58"/>
      <c r="E8" s="59"/>
      <c r="F8" s="59"/>
      <c r="G8" s="60"/>
      <c r="H8" s="61"/>
      <c r="I8" s="68">
        <v>0.5</v>
      </c>
      <c r="J8" s="63" t="s">
        <v>246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5"/>
      <c r="AN8" s="63" t="s">
        <v>247</v>
      </c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5"/>
      <c r="BR8" s="63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5"/>
      <c r="CV8" s="67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</row>
    <row r="9" spans="1:15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245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5"/>
      <c r="AN9" s="63" t="s">
        <v>248</v>
      </c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5"/>
      <c r="BR9" s="63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5"/>
      <c r="CV9" s="67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</row>
    <row r="10" spans="1:15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5"/>
      <c r="AN10" s="63" t="s">
        <v>249</v>
      </c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5"/>
      <c r="BR10" s="63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5"/>
      <c r="CV10" s="67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</row>
    <row r="11" spans="1:15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5"/>
      <c r="AN11" s="63" t="s">
        <v>250</v>
      </c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5"/>
      <c r="BR11" s="63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5"/>
      <c r="CV11" s="67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</row>
    <row r="12" spans="1:15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5"/>
      <c r="AN12" s="63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5"/>
      <c r="BR12" s="63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5"/>
      <c r="CV12" s="67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</row>
    <row r="13" spans="1:150" x14ac:dyDescent="0.15">
      <c r="B13" s="58">
        <f>IF(G13&lt;&gt;"",SUBTOTAL(3,$G$5:G13),"")</f>
        <v>4</v>
      </c>
      <c r="C13" s="58"/>
      <c r="D13" s="58"/>
      <c r="E13" s="59" t="s">
        <v>140</v>
      </c>
      <c r="F13" s="59" t="s">
        <v>136</v>
      </c>
      <c r="G13" s="60" t="s">
        <v>147</v>
      </c>
      <c r="H13" s="61">
        <v>43995</v>
      </c>
      <c r="I13" s="62"/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5"/>
      <c r="AN13" s="63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5"/>
      <c r="BR13" s="63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5"/>
      <c r="CV13" s="60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</row>
    <row r="14" spans="1:150" x14ac:dyDescent="0.15">
      <c r="B14" s="58">
        <f>IF(G14&lt;&gt;"",SUBTOTAL(3,$G$5:G14),"")</f>
        <v>5</v>
      </c>
      <c r="C14" s="58"/>
      <c r="D14" s="58"/>
      <c r="E14" s="59" t="s">
        <v>140</v>
      </c>
      <c r="F14" s="59" t="s">
        <v>136</v>
      </c>
      <c r="G14" s="60" t="s">
        <v>148</v>
      </c>
      <c r="H14" s="61">
        <v>43869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5"/>
      <c r="AN14" s="63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5"/>
      <c r="BR14" s="63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5"/>
      <c r="CV14" s="60"/>
      <c r="DB14" s="64"/>
      <c r="DC14" s="64"/>
      <c r="DD14" s="69"/>
      <c r="DE14" s="69"/>
      <c r="DF14" s="69"/>
      <c r="DG14" s="69"/>
      <c r="DH14" s="69"/>
      <c r="DI14" s="69"/>
      <c r="DJ14" s="69"/>
      <c r="DK14" s="69"/>
      <c r="DL14" s="69"/>
      <c r="DM14" s="69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9"/>
      <c r="EB14" s="69"/>
      <c r="EC14" s="69"/>
      <c r="ED14" s="69"/>
      <c r="EE14" s="69"/>
      <c r="EF14" s="69"/>
      <c r="EG14" s="69"/>
      <c r="EH14" s="69"/>
      <c r="EI14" s="69"/>
      <c r="EJ14" s="69"/>
      <c r="EK14" s="64"/>
      <c r="EL14" s="64"/>
      <c r="EM14" s="64"/>
      <c r="EN14" s="64"/>
      <c r="EO14" s="64"/>
      <c r="EP14" s="64"/>
      <c r="EQ14" s="64"/>
      <c r="ER14" s="64"/>
      <c r="ES14" s="64"/>
      <c r="ET14" s="64"/>
    </row>
    <row r="15" spans="1:150" x14ac:dyDescent="0.15">
      <c r="B15" s="58">
        <f>IF(G15&lt;&gt;"",SUBTOTAL(3,$G$5:G15),"")</f>
        <v>6</v>
      </c>
      <c r="C15" s="58"/>
      <c r="D15" s="58"/>
      <c r="E15" s="59" t="s">
        <v>140</v>
      </c>
      <c r="F15" s="59" t="s">
        <v>136</v>
      </c>
      <c r="G15" s="60" t="s">
        <v>149</v>
      </c>
      <c r="H15" s="61">
        <v>43871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5"/>
      <c r="AN15" s="63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5"/>
      <c r="BR15" s="63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5"/>
      <c r="CV15" s="60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4"/>
      <c r="EB15" s="64"/>
      <c r="EC15" s="64"/>
      <c r="ED15" s="64"/>
      <c r="EE15" s="64"/>
      <c r="EF15" s="64"/>
      <c r="EG15" s="64"/>
      <c r="EH15" s="64"/>
      <c r="EI15" s="64"/>
      <c r="EJ15" s="64"/>
      <c r="EK15" s="64"/>
      <c r="EL15" s="64"/>
      <c r="EM15" s="64"/>
      <c r="EN15" s="64"/>
      <c r="EO15" s="64"/>
      <c r="EP15" s="64"/>
      <c r="EQ15" s="64"/>
      <c r="ER15" s="64"/>
      <c r="ES15" s="64"/>
      <c r="ET15" s="64"/>
    </row>
    <row r="16" spans="1:150" x14ac:dyDescent="0.15">
      <c r="B16" s="58">
        <f>IF(G16&lt;&gt;"",SUBTOTAL(3,$G$5:G16),"")</f>
        <v>7</v>
      </c>
      <c r="C16" s="58"/>
      <c r="D16" s="58"/>
      <c r="E16" s="59" t="s">
        <v>140</v>
      </c>
      <c r="F16" s="59" t="s">
        <v>136</v>
      </c>
      <c r="G16" s="60" t="s">
        <v>150</v>
      </c>
      <c r="H16" s="61">
        <v>44006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5"/>
      <c r="AN16" s="63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5"/>
      <c r="BR16" s="63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5"/>
      <c r="CV16" s="60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</row>
    <row r="17" spans="2:150" x14ac:dyDescent="0.15">
      <c r="B17" s="58">
        <f>IF(G17&lt;&gt;"",SUBTOTAL(3,$G$5:G17),"")</f>
        <v>8</v>
      </c>
      <c r="C17" s="58"/>
      <c r="D17" s="58"/>
      <c r="E17" s="59" t="s">
        <v>140</v>
      </c>
      <c r="F17" s="59" t="s">
        <v>136</v>
      </c>
      <c r="G17" s="60" t="s">
        <v>151</v>
      </c>
      <c r="H17" s="61">
        <v>43869</v>
      </c>
      <c r="I17" s="62">
        <v>1</v>
      </c>
      <c r="J17" s="63" t="s">
        <v>252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5"/>
      <c r="AN17" s="63" t="s">
        <v>210</v>
      </c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5"/>
      <c r="BR17" s="63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5"/>
      <c r="CV17" s="60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</row>
    <row r="18" spans="2:150" x14ac:dyDescent="0.15">
      <c r="B18" s="58" t="str">
        <f>IF(G18&lt;&gt;"",SUBTOTAL(3,$G$5:G18),"")</f>
        <v/>
      </c>
      <c r="C18" s="58"/>
      <c r="D18" s="58"/>
      <c r="E18" s="59"/>
      <c r="F18" s="59"/>
      <c r="G18" s="60"/>
      <c r="H18" s="61"/>
      <c r="I18" s="70">
        <v>1</v>
      </c>
      <c r="J18" s="63" t="s">
        <v>253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5"/>
      <c r="AN18" s="63" t="s">
        <v>210</v>
      </c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5"/>
      <c r="BR18" s="63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5"/>
      <c r="CV18" s="60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  <c r="EA18" s="64"/>
      <c r="EB18" s="64"/>
      <c r="EC18" s="64"/>
      <c r="ED18" s="64"/>
      <c r="EE18" s="64"/>
      <c r="EF18" s="64"/>
      <c r="EG18" s="64"/>
      <c r="EH18" s="64"/>
      <c r="EI18" s="64"/>
      <c r="EJ18" s="64"/>
      <c r="EK18" s="64"/>
      <c r="EL18" s="64"/>
      <c r="EM18" s="64"/>
      <c r="EN18" s="64"/>
      <c r="EO18" s="64"/>
      <c r="EP18" s="64"/>
      <c r="EQ18" s="64"/>
      <c r="ER18" s="64"/>
      <c r="ES18" s="64"/>
      <c r="ET18" s="64"/>
    </row>
    <row r="19" spans="2:15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5"/>
      <c r="AN19" s="63" t="s">
        <v>210</v>
      </c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5"/>
      <c r="BR19" s="63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5"/>
      <c r="CV19" s="60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</row>
    <row r="20" spans="2:150" x14ac:dyDescent="0.15">
      <c r="B20" s="58">
        <f>IF(G20&lt;&gt;"",SUBTOTAL(3,$G$5:G20),"")</f>
        <v>9</v>
      </c>
      <c r="C20" s="58"/>
      <c r="D20" s="58"/>
      <c r="E20" s="59" t="s">
        <v>140</v>
      </c>
      <c r="F20" s="59" t="s">
        <v>136</v>
      </c>
      <c r="G20" s="60" t="s">
        <v>152</v>
      </c>
      <c r="H20" s="61">
        <v>43869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5"/>
      <c r="AN20" s="63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5"/>
      <c r="BR20" s="63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5"/>
      <c r="CV20" s="60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</row>
    <row r="21" spans="2:150" x14ac:dyDescent="0.15">
      <c r="B21" s="58">
        <f>IF(G21&lt;&gt;"",SUBTOTAL(3,$G$5:G21),"")</f>
        <v>10</v>
      </c>
      <c r="C21" s="58"/>
      <c r="D21" s="58"/>
      <c r="E21" s="59" t="s">
        <v>140</v>
      </c>
      <c r="F21" s="59" t="s">
        <v>136</v>
      </c>
      <c r="G21" s="60" t="s">
        <v>153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5"/>
      <c r="AN21" s="63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5"/>
      <c r="BR21" s="63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5"/>
      <c r="CV21" s="60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  <c r="EH21" s="64"/>
      <c r="EI21" s="64"/>
      <c r="EJ21" s="64"/>
      <c r="EK21" s="64"/>
      <c r="EL21" s="64"/>
      <c r="EM21" s="64"/>
      <c r="EN21" s="64"/>
      <c r="EO21" s="64"/>
      <c r="EP21" s="64"/>
      <c r="EQ21" s="64"/>
      <c r="ER21" s="64"/>
      <c r="ES21" s="64"/>
      <c r="ET21" s="64"/>
    </row>
    <row r="22" spans="2:150" x14ac:dyDescent="0.15">
      <c r="B22" s="58">
        <f>IF(G22&lt;&gt;"",SUBTOTAL(3,$G$5:G22),"")</f>
        <v>11</v>
      </c>
      <c r="C22" s="58"/>
      <c r="D22" s="58"/>
      <c r="E22" s="59" t="s">
        <v>140</v>
      </c>
      <c r="F22" s="59" t="s">
        <v>136</v>
      </c>
      <c r="G22" s="60" t="s">
        <v>154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5"/>
      <c r="AN22" s="63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5"/>
      <c r="BR22" s="63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5"/>
      <c r="CV22" s="60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  <c r="EH22" s="64"/>
      <c r="EI22" s="64"/>
      <c r="EJ22" s="64"/>
      <c r="EK22" s="64"/>
      <c r="EL22" s="64"/>
      <c r="EM22" s="64"/>
      <c r="EN22" s="64"/>
      <c r="EO22" s="64"/>
      <c r="EP22" s="64"/>
      <c r="EQ22" s="64"/>
      <c r="ER22" s="64"/>
      <c r="ES22" s="64"/>
      <c r="ET22" s="64"/>
    </row>
    <row r="23" spans="2:150" x14ac:dyDescent="0.15">
      <c r="B23" s="58">
        <f>IF(G23&lt;&gt;"",SUBTOTAL(3,$G$5:G23),"")</f>
        <v>12</v>
      </c>
      <c r="C23" s="58"/>
      <c r="D23" s="58"/>
      <c r="E23" s="59" t="s">
        <v>140</v>
      </c>
      <c r="F23" s="59" t="s">
        <v>136</v>
      </c>
      <c r="G23" s="60" t="s">
        <v>155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5"/>
      <c r="AN23" s="63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5"/>
      <c r="BR23" s="63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5"/>
      <c r="CV23" s="60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</row>
    <row r="24" spans="2:150" x14ac:dyDescent="0.15">
      <c r="B24" s="58">
        <f>IF(G24&lt;&gt;"",SUBTOTAL(3,$G$5:G24),"")</f>
        <v>13</v>
      </c>
      <c r="C24" s="58"/>
      <c r="D24" s="58"/>
      <c r="E24" s="59" t="s">
        <v>140</v>
      </c>
      <c r="F24" s="59" t="s">
        <v>136</v>
      </c>
      <c r="G24" s="60" t="s">
        <v>156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5"/>
      <c r="AN24" s="63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5"/>
      <c r="BR24" s="63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5"/>
      <c r="CV24" s="60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  <c r="EH24" s="64"/>
      <c r="EI24" s="64"/>
      <c r="EJ24" s="64"/>
      <c r="EK24" s="64"/>
      <c r="EL24" s="64"/>
      <c r="EM24" s="64"/>
      <c r="EN24" s="64"/>
      <c r="EO24" s="64"/>
      <c r="EP24" s="64"/>
      <c r="EQ24" s="64"/>
      <c r="ER24" s="64"/>
      <c r="ES24" s="64"/>
      <c r="ET24" s="64"/>
    </row>
    <row r="25" spans="2:150" x14ac:dyDescent="0.15">
      <c r="B25" s="58">
        <f>IF(G25&lt;&gt;"",SUBTOTAL(3,$G$5:G25),"")</f>
        <v>14</v>
      </c>
      <c r="C25" s="58"/>
      <c r="D25" s="58"/>
      <c r="E25" s="59" t="s">
        <v>140</v>
      </c>
      <c r="F25" s="59" t="s">
        <v>136</v>
      </c>
      <c r="G25" s="60" t="s">
        <v>157</v>
      </c>
      <c r="H25" s="61">
        <v>43871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5"/>
      <c r="AN25" s="63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5"/>
      <c r="BR25" s="63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5"/>
      <c r="CV25" s="60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  <c r="EH25" s="64"/>
      <c r="EI25" s="64"/>
      <c r="EJ25" s="64"/>
      <c r="EK25" s="64"/>
      <c r="EL25" s="64"/>
      <c r="EM25" s="64"/>
      <c r="EN25" s="64"/>
      <c r="EO25" s="64"/>
      <c r="EP25" s="64"/>
      <c r="EQ25" s="64"/>
      <c r="ER25" s="64"/>
      <c r="ES25" s="64"/>
      <c r="ET25" s="64"/>
    </row>
    <row r="26" spans="2:150" x14ac:dyDescent="0.15">
      <c r="B26" s="58">
        <f>IF(G26&lt;&gt;"",SUBTOTAL(3,$G$5:G26),"")</f>
        <v>15</v>
      </c>
      <c r="C26" s="58"/>
      <c r="D26" s="58"/>
      <c r="E26" s="59" t="s">
        <v>140</v>
      </c>
      <c r="F26" s="59" t="s">
        <v>143</v>
      </c>
      <c r="G26" s="60" t="s">
        <v>236</v>
      </c>
      <c r="H26" s="61">
        <v>44087</v>
      </c>
      <c r="I26" s="62">
        <v>1</v>
      </c>
      <c r="J26" s="63" t="s">
        <v>254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5"/>
      <c r="AN26" s="63" t="s">
        <v>211</v>
      </c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5"/>
      <c r="BR26" s="63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5"/>
      <c r="CV26" s="60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</row>
    <row r="27" spans="2:15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70">
        <v>1</v>
      </c>
      <c r="J27" s="63" t="s">
        <v>255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5"/>
      <c r="AN27" s="63" t="s">
        <v>211</v>
      </c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5"/>
      <c r="BR27" s="63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5"/>
      <c r="CV27" s="60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</row>
    <row r="28" spans="2:15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70">
        <v>1</v>
      </c>
      <c r="J28" s="63" t="s">
        <v>256</v>
      </c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5"/>
      <c r="AN28" s="63" t="s">
        <v>211</v>
      </c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5"/>
      <c r="BR28" s="63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5"/>
      <c r="CV28" s="60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</row>
    <row r="29" spans="2:15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70">
        <v>1</v>
      </c>
      <c r="J29" s="63" t="s">
        <v>257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5"/>
      <c r="AN29" s="63" t="s">
        <v>211</v>
      </c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5"/>
      <c r="BR29" s="63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5"/>
      <c r="CV29" s="60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</row>
    <row r="30" spans="2:15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70">
        <v>1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5"/>
      <c r="AN30" s="63" t="s">
        <v>211</v>
      </c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5"/>
      <c r="BR30" s="63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5"/>
      <c r="CV30" s="60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</row>
    <row r="31" spans="2:150" x14ac:dyDescent="0.15">
      <c r="B31" s="58">
        <f>IF(G31&lt;&gt;"",SUBTOTAL(3,$G$5:G31),"")</f>
        <v>16</v>
      </c>
      <c r="C31" s="58"/>
      <c r="D31" s="58"/>
      <c r="E31" s="59" t="s">
        <v>140</v>
      </c>
      <c r="F31" s="59" t="s">
        <v>143</v>
      </c>
      <c r="G31" s="60" t="s">
        <v>235</v>
      </c>
      <c r="H31" s="61">
        <v>44076</v>
      </c>
      <c r="I31" s="62">
        <v>1</v>
      </c>
      <c r="J31" s="63" t="s">
        <v>258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5"/>
      <c r="AN31" s="63" t="s">
        <v>211</v>
      </c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5"/>
      <c r="BR31" s="63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5"/>
      <c r="CV31" s="60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</row>
    <row r="32" spans="2:15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259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5"/>
      <c r="AN32" s="63" t="s">
        <v>211</v>
      </c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5"/>
      <c r="BR32" s="63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5"/>
      <c r="CV32" s="60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</row>
    <row r="33" spans="2:15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260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5"/>
      <c r="AN33" s="63" t="s">
        <v>211</v>
      </c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5"/>
      <c r="BR33" s="63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5"/>
      <c r="CV33" s="60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</row>
    <row r="34" spans="2:15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261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5"/>
      <c r="AN34" s="63" t="s">
        <v>211</v>
      </c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5"/>
      <c r="BR34" s="63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5"/>
      <c r="CV34" s="60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</row>
    <row r="35" spans="2:15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262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5"/>
      <c r="AN35" s="63" t="s">
        <v>211</v>
      </c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5"/>
      <c r="BR35" s="63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5"/>
      <c r="CV35" s="60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</row>
    <row r="36" spans="2:150" x14ac:dyDescent="0.15">
      <c r="B36" s="58" t="str">
        <f>IF(G36&lt;&gt;"",SUBTOTAL(3,$G$5:G36),"")</f>
        <v/>
      </c>
      <c r="C36" s="58"/>
      <c r="D36" s="58"/>
      <c r="E36" s="59"/>
      <c r="F36" s="59"/>
      <c r="G36" s="60"/>
      <c r="H36" s="61"/>
      <c r="I36" s="70">
        <v>1</v>
      </c>
      <c r="J36" s="63"/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5"/>
      <c r="AN36" s="63" t="s">
        <v>211</v>
      </c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5"/>
      <c r="BR36" s="63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5"/>
      <c r="CV36" s="60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  <c r="EH36" s="64"/>
      <c r="EI36" s="64"/>
      <c r="EJ36" s="64"/>
      <c r="EK36" s="64"/>
      <c r="EL36" s="64"/>
      <c r="EM36" s="64"/>
      <c r="EN36" s="64"/>
      <c r="EO36" s="64"/>
      <c r="EP36" s="64"/>
      <c r="EQ36" s="64"/>
      <c r="ER36" s="64"/>
      <c r="ES36" s="64"/>
      <c r="ET36" s="64"/>
    </row>
    <row r="37" spans="2:150" x14ac:dyDescent="0.15">
      <c r="B37" s="58">
        <f>IF(G37&lt;&gt;"",SUBTOTAL(3,$G$5:G37),"")</f>
        <v>17</v>
      </c>
      <c r="C37" s="58"/>
      <c r="D37" s="58"/>
      <c r="E37" s="59" t="s">
        <v>140</v>
      </c>
      <c r="F37" s="59" t="s">
        <v>143</v>
      </c>
      <c r="G37" s="60" t="s">
        <v>234</v>
      </c>
      <c r="H37" s="61">
        <v>44080</v>
      </c>
      <c r="I37" s="62">
        <v>1</v>
      </c>
      <c r="J37" s="63" t="s">
        <v>240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5"/>
      <c r="AN37" s="63" t="s">
        <v>211</v>
      </c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5"/>
      <c r="BR37" s="63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5"/>
      <c r="CV37" s="60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  <c r="EH37" s="64"/>
      <c r="EI37" s="64"/>
      <c r="EJ37" s="64"/>
      <c r="EK37" s="64"/>
      <c r="EL37" s="64"/>
      <c r="EM37" s="64"/>
      <c r="EN37" s="64"/>
      <c r="EO37" s="64"/>
      <c r="EP37" s="64"/>
      <c r="EQ37" s="64"/>
      <c r="ER37" s="64"/>
      <c r="ES37" s="64"/>
      <c r="ET37" s="64"/>
    </row>
    <row r="38" spans="2:15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5"/>
      <c r="AN38" s="63" t="s">
        <v>211</v>
      </c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5"/>
      <c r="BR38" s="63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5"/>
      <c r="CV38" s="60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  <c r="EH38" s="64"/>
      <c r="EI38" s="64"/>
      <c r="EJ38" s="64"/>
      <c r="EK38" s="64"/>
      <c r="EL38" s="64"/>
      <c r="EM38" s="64"/>
      <c r="EN38" s="64"/>
      <c r="EO38" s="64"/>
      <c r="EP38" s="64"/>
      <c r="EQ38" s="64"/>
      <c r="ER38" s="64"/>
      <c r="ES38" s="64"/>
      <c r="ET38" s="64"/>
    </row>
    <row r="39" spans="2:150" x14ac:dyDescent="0.15">
      <c r="B39" s="58">
        <f>IF(G39&lt;&gt;"",SUBTOTAL(3,$G$5:G39),"")</f>
        <v>18</v>
      </c>
      <c r="C39" s="58"/>
      <c r="D39" s="58"/>
      <c r="E39" s="59" t="s">
        <v>140</v>
      </c>
      <c r="F39" s="59" t="s">
        <v>143</v>
      </c>
      <c r="G39" s="60" t="s">
        <v>232</v>
      </c>
      <c r="H39" s="61">
        <v>43871</v>
      </c>
      <c r="I39" s="62">
        <v>0.3</v>
      </c>
      <c r="J39" s="63" t="s">
        <v>263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5"/>
      <c r="AN39" s="63" t="s">
        <v>265</v>
      </c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5"/>
      <c r="BR39" s="63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5"/>
      <c r="CV39" s="60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</row>
    <row r="40" spans="2:15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68">
        <v>0.3</v>
      </c>
      <c r="J40" s="63" t="s">
        <v>419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5"/>
      <c r="AN40" s="63" t="s">
        <v>266</v>
      </c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5"/>
      <c r="BR40" s="63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5"/>
      <c r="CV40" s="60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</row>
    <row r="41" spans="2:15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68">
        <v>0.3</v>
      </c>
      <c r="J41" s="63" t="s">
        <v>420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5"/>
      <c r="AN41" s="63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5"/>
      <c r="BR41" s="63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5"/>
      <c r="CV41" s="60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</row>
    <row r="42" spans="2:150" x14ac:dyDescent="0.15">
      <c r="B42" s="58" t="str">
        <f>IF(G42&lt;&gt;"",SUBTOTAL(3,$G$5:G42),"")</f>
        <v/>
      </c>
      <c r="C42" s="58"/>
      <c r="D42" s="58"/>
      <c r="E42" s="59"/>
      <c r="F42" s="59"/>
      <c r="G42" s="60"/>
      <c r="H42" s="61"/>
      <c r="I42" s="68">
        <v>0.3</v>
      </c>
      <c r="J42" s="63" t="s">
        <v>264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5"/>
      <c r="AN42" s="63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5"/>
      <c r="BR42" s="63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5"/>
      <c r="CV42" s="60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</row>
    <row r="43" spans="2:150" x14ac:dyDescent="0.15">
      <c r="B43" s="58"/>
      <c r="C43" s="58"/>
      <c r="D43" s="58"/>
      <c r="E43" s="59"/>
      <c r="F43" s="59"/>
      <c r="G43" s="60"/>
      <c r="H43" s="61"/>
      <c r="I43" s="68">
        <v>0.3</v>
      </c>
      <c r="J43" s="71" t="s">
        <v>233</v>
      </c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3"/>
      <c r="AN43" s="63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5"/>
      <c r="BR43" s="63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5"/>
      <c r="CV43" s="60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</row>
    <row r="44" spans="2:150" x14ac:dyDescent="0.15">
      <c r="B44" s="58"/>
      <c r="C44" s="58"/>
      <c r="D44" s="58"/>
      <c r="E44" s="59"/>
      <c r="F44" s="59"/>
      <c r="G44" s="60"/>
      <c r="H44" s="61"/>
      <c r="I44" s="68">
        <v>0.3</v>
      </c>
      <c r="J44" s="71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3"/>
      <c r="AN44" s="63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5"/>
      <c r="BR44" s="63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5"/>
      <c r="CV44" s="60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</row>
    <row r="45" spans="2:150" x14ac:dyDescent="0.15">
      <c r="B45" s="58">
        <f>IF(G45&lt;&gt;"",SUBTOTAL(3,$G$5:G45),"")</f>
        <v>19</v>
      </c>
      <c r="C45" s="58"/>
      <c r="D45" s="58"/>
      <c r="E45" s="59" t="s">
        <v>140</v>
      </c>
      <c r="F45" s="59" t="s">
        <v>136</v>
      </c>
      <c r="G45" s="60" t="s">
        <v>230</v>
      </c>
      <c r="H45" s="61">
        <v>44072</v>
      </c>
      <c r="I45" s="62">
        <v>0.8</v>
      </c>
      <c r="J45" s="63" t="s">
        <v>267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5"/>
      <c r="AN45" s="63" t="s">
        <v>269</v>
      </c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5"/>
      <c r="BR45" s="63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5"/>
      <c r="CV45" s="60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</row>
    <row r="46" spans="2:15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0.8</v>
      </c>
      <c r="J46" s="63" t="s">
        <v>268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5"/>
      <c r="AN46" s="63" t="s">
        <v>270</v>
      </c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5"/>
      <c r="BR46" s="63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5"/>
      <c r="CV46" s="60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  <c r="EL46" s="64"/>
      <c r="EM46" s="64"/>
      <c r="EN46" s="64"/>
      <c r="EO46" s="64"/>
      <c r="EP46" s="64"/>
      <c r="EQ46" s="64"/>
      <c r="ER46" s="64"/>
      <c r="ES46" s="64"/>
      <c r="ET46" s="64"/>
    </row>
    <row r="47" spans="2:15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0.8</v>
      </c>
      <c r="J47" s="63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5"/>
      <c r="AN47" s="63" t="s">
        <v>271</v>
      </c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5"/>
      <c r="BR47" s="63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5"/>
      <c r="CV47" s="60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  <c r="EK47" s="64"/>
      <c r="EL47" s="64"/>
      <c r="EM47" s="64"/>
      <c r="EN47" s="64"/>
      <c r="EO47" s="64"/>
      <c r="EP47" s="64"/>
      <c r="EQ47" s="64"/>
      <c r="ER47" s="64"/>
      <c r="ES47" s="64"/>
      <c r="ET47" s="64"/>
    </row>
    <row r="48" spans="2:150" x14ac:dyDescent="0.15">
      <c r="B48" s="58" t="str">
        <f>IF(G48&lt;&gt;"",SUBTOTAL(3,$G$5:G48),"")</f>
        <v/>
      </c>
      <c r="C48" s="58"/>
      <c r="D48" s="58"/>
      <c r="E48" s="59"/>
      <c r="F48" s="59"/>
      <c r="G48" s="60"/>
      <c r="H48" s="61"/>
      <c r="I48" s="68">
        <v>0.8</v>
      </c>
      <c r="J48" s="63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5"/>
      <c r="AN48" s="63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5"/>
      <c r="BR48" s="63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5"/>
      <c r="CV48" s="60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  <c r="EK48" s="64"/>
      <c r="EL48" s="64"/>
      <c r="EM48" s="64"/>
      <c r="EN48" s="64"/>
      <c r="EO48" s="64"/>
      <c r="EP48" s="64"/>
      <c r="EQ48" s="64"/>
      <c r="ER48" s="64"/>
      <c r="ES48" s="64"/>
      <c r="ET48" s="64"/>
    </row>
    <row r="49" spans="2:150" x14ac:dyDescent="0.15">
      <c r="B49" s="58">
        <f>IF(G49&lt;&gt;"",SUBTOTAL(3,$G$5:G49),"")</f>
        <v>20</v>
      </c>
      <c r="C49" s="58"/>
      <c r="D49" s="58"/>
      <c r="E49" s="59" t="s">
        <v>140</v>
      </c>
      <c r="F49" s="59" t="s">
        <v>136</v>
      </c>
      <c r="G49" s="60" t="s">
        <v>228</v>
      </c>
      <c r="H49" s="61">
        <v>44070</v>
      </c>
      <c r="I49" s="62">
        <v>0.8</v>
      </c>
      <c r="J49" s="63" t="s">
        <v>272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5"/>
      <c r="AN49" s="63" t="s">
        <v>276</v>
      </c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5"/>
      <c r="BR49" s="63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5"/>
      <c r="CV49" s="60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  <c r="EK49" s="64"/>
      <c r="EL49" s="64"/>
      <c r="EM49" s="64"/>
      <c r="EN49" s="64"/>
      <c r="EO49" s="64"/>
      <c r="EP49" s="64"/>
      <c r="EQ49" s="64"/>
      <c r="ER49" s="64"/>
      <c r="ES49" s="64"/>
      <c r="ET49" s="64"/>
    </row>
    <row r="50" spans="2:150" x14ac:dyDescent="0.15">
      <c r="B50" s="58" t="str">
        <f>IF(G50&lt;&gt;"",SUBTOTAL(3,$G$5:G50),"")</f>
        <v/>
      </c>
      <c r="C50" s="58"/>
      <c r="D50" s="58"/>
      <c r="E50" s="59"/>
      <c r="F50" s="59"/>
      <c r="G50" s="60"/>
      <c r="H50" s="61"/>
      <c r="I50" s="68">
        <v>0.8</v>
      </c>
      <c r="J50" s="63" t="s">
        <v>273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5"/>
      <c r="AN50" s="63" t="s">
        <v>277</v>
      </c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5"/>
      <c r="BR50" s="63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5"/>
      <c r="CV50" s="60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  <c r="EK50" s="64"/>
      <c r="EL50" s="64"/>
      <c r="EM50" s="64"/>
      <c r="EN50" s="64"/>
      <c r="EO50" s="64"/>
      <c r="EP50" s="64"/>
      <c r="EQ50" s="64"/>
      <c r="ER50" s="64"/>
      <c r="ES50" s="64"/>
      <c r="ET50" s="64"/>
    </row>
    <row r="51" spans="2:15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274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5"/>
      <c r="AN51" s="63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5"/>
      <c r="BR51" s="63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5"/>
      <c r="CV51" s="60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  <c r="EK51" s="64"/>
      <c r="EL51" s="64"/>
      <c r="EM51" s="64"/>
      <c r="EN51" s="64"/>
      <c r="EO51" s="64"/>
      <c r="EP51" s="64"/>
      <c r="EQ51" s="64"/>
      <c r="ER51" s="64"/>
      <c r="ES51" s="64"/>
      <c r="ET51" s="64"/>
    </row>
    <row r="52" spans="2:15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 t="s">
        <v>275</v>
      </c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5"/>
      <c r="AN52" s="63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5"/>
      <c r="BR52" s="63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5"/>
      <c r="CV52" s="60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  <c r="EK52" s="64"/>
      <c r="EL52" s="64"/>
      <c r="EM52" s="64"/>
      <c r="EN52" s="64"/>
      <c r="EO52" s="64"/>
      <c r="EP52" s="64"/>
      <c r="EQ52" s="64"/>
      <c r="ER52" s="64"/>
      <c r="ES52" s="64"/>
      <c r="ET52" s="64"/>
    </row>
    <row r="53" spans="2:150" x14ac:dyDescent="0.15">
      <c r="B53" s="58" t="str">
        <f>IF(G53&lt;&gt;"",SUBTOTAL(3,$G$5:G53),"")</f>
        <v/>
      </c>
      <c r="C53" s="58"/>
      <c r="D53" s="58"/>
      <c r="E53" s="59"/>
      <c r="F53" s="59"/>
      <c r="G53" s="60"/>
      <c r="H53" s="61"/>
      <c r="I53" s="68">
        <v>0.8</v>
      </c>
      <c r="J53" s="71" t="s">
        <v>229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5"/>
      <c r="AN53" s="63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5"/>
      <c r="BR53" s="63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5"/>
      <c r="CV53" s="60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  <c r="EK53" s="64"/>
      <c r="EL53" s="64"/>
      <c r="EM53" s="64"/>
      <c r="EN53" s="64"/>
      <c r="EO53" s="64"/>
      <c r="EP53" s="64"/>
      <c r="EQ53" s="64"/>
      <c r="ER53" s="64"/>
      <c r="ES53" s="64"/>
      <c r="ET53" s="64"/>
    </row>
    <row r="54" spans="2:15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71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3"/>
      <c r="AN54" s="63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5"/>
      <c r="BR54" s="71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3"/>
      <c r="CV54" s="60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  <c r="EK54" s="64"/>
      <c r="EL54" s="64"/>
      <c r="EM54" s="64"/>
      <c r="EN54" s="64"/>
      <c r="EO54" s="64"/>
      <c r="EP54" s="64"/>
      <c r="EQ54" s="64"/>
      <c r="ER54" s="64"/>
      <c r="ES54" s="64"/>
      <c r="ET54" s="64"/>
    </row>
    <row r="55" spans="2:150" x14ac:dyDescent="0.15">
      <c r="B55" s="58">
        <f>IF(G55&lt;&gt;"",SUBTOTAL(3,$G$5:G55),"")</f>
        <v>21</v>
      </c>
      <c r="C55" s="58"/>
      <c r="D55" s="58"/>
      <c r="E55" s="59" t="s">
        <v>140</v>
      </c>
      <c r="F55" s="59" t="s">
        <v>136</v>
      </c>
      <c r="G55" s="60" t="s">
        <v>224</v>
      </c>
      <c r="H55" s="61">
        <v>44066</v>
      </c>
      <c r="I55" s="62">
        <v>0</v>
      </c>
      <c r="J55" s="63" t="s">
        <v>278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5"/>
      <c r="AN55" s="63" t="s">
        <v>225</v>
      </c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5"/>
      <c r="BR55" s="63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5"/>
      <c r="CV55" s="60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  <c r="EH55" s="64"/>
      <c r="EI55" s="64"/>
      <c r="EJ55" s="64"/>
      <c r="EK55" s="64"/>
      <c r="EL55" s="64"/>
      <c r="EM55" s="64"/>
      <c r="EN55" s="64"/>
      <c r="EO55" s="64"/>
      <c r="EP55" s="64"/>
      <c r="EQ55" s="64"/>
      <c r="ER55" s="64"/>
      <c r="ES55" s="64"/>
      <c r="ET55" s="64"/>
    </row>
    <row r="56" spans="2:15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</v>
      </c>
      <c r="J56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5"/>
      <c r="AN56" s="63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5"/>
      <c r="BR56" s="63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5"/>
      <c r="CV56" s="60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  <c r="EO56" s="64"/>
      <c r="EP56" s="64"/>
      <c r="EQ56" s="64"/>
      <c r="ER56" s="64"/>
      <c r="ES56" s="64"/>
      <c r="ET56" s="64"/>
    </row>
    <row r="57" spans="2:15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</v>
      </c>
      <c r="J57" s="122" t="s">
        <v>436</v>
      </c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3"/>
      <c r="AN57" s="63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5"/>
      <c r="BR57" s="63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5"/>
      <c r="CV57" s="60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  <c r="EO57" s="64"/>
      <c r="EP57" s="64"/>
      <c r="EQ57" s="64"/>
      <c r="ER57" s="64"/>
      <c r="ES57" s="64"/>
      <c r="ET57" s="64"/>
    </row>
    <row r="58" spans="2:15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</v>
      </c>
      <c r="J58" s="122" t="s">
        <v>437</v>
      </c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3"/>
      <c r="AN58" s="63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5"/>
      <c r="BR58" s="63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5"/>
      <c r="CV58" s="60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  <c r="EO58" s="64"/>
      <c r="EP58" s="64"/>
      <c r="EQ58" s="64"/>
      <c r="ER58" s="64"/>
      <c r="ES58" s="64"/>
      <c r="ET58" s="64"/>
    </row>
    <row r="59" spans="2:150" x14ac:dyDescent="0.15">
      <c r="B59" s="58" t="str">
        <f>IF(G59&lt;&gt;"",SUBTOTAL(3,$G$5:G59),"")</f>
        <v/>
      </c>
      <c r="C59" s="58"/>
      <c r="D59" s="58"/>
      <c r="E59" s="59"/>
      <c r="F59" s="59"/>
      <c r="G59" s="60"/>
      <c r="H59" s="61"/>
      <c r="I59" s="68">
        <v>0</v>
      </c>
      <c r="J59" s="123" t="s">
        <v>438</v>
      </c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3"/>
      <c r="AN59" s="63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5"/>
      <c r="BR59" s="63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5"/>
      <c r="CV59" s="60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  <c r="EO59" s="64"/>
      <c r="EP59" s="64"/>
      <c r="EQ59" s="64"/>
      <c r="ER59" s="64"/>
      <c r="ES59" s="64"/>
      <c r="ET59" s="64"/>
    </row>
    <row r="60" spans="2:15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12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3"/>
      <c r="AN60" s="63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5"/>
      <c r="BR60" s="63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5"/>
      <c r="CV60" s="60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  <c r="EH60" s="64"/>
      <c r="EI60" s="64"/>
      <c r="EJ60" s="64"/>
      <c r="EK60" s="64"/>
      <c r="EL60" s="64"/>
      <c r="EM60" s="64"/>
      <c r="EN60" s="64"/>
      <c r="EO60" s="64"/>
      <c r="EP60" s="64"/>
      <c r="EQ60" s="64"/>
      <c r="ER60" s="64"/>
      <c r="ES60" s="64"/>
      <c r="ET60" s="64"/>
    </row>
    <row r="61" spans="2:150" x14ac:dyDescent="0.15">
      <c r="B61" s="58">
        <f>IF(G61&lt;&gt;"",SUBTOTAL(3,$G$5:G61),"")</f>
        <v>22</v>
      </c>
      <c r="C61" s="58"/>
      <c r="D61" s="58"/>
      <c r="E61" s="59" t="s">
        <v>140</v>
      </c>
      <c r="F61" s="59" t="s">
        <v>136</v>
      </c>
      <c r="G61" s="60" t="s">
        <v>117</v>
      </c>
      <c r="H61" s="61">
        <v>43869</v>
      </c>
      <c r="I61" s="62"/>
      <c r="J61" s="63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65"/>
      <c r="AN61" s="63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5"/>
      <c r="BR61" s="63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5"/>
      <c r="CV61" s="60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  <c r="EO61" s="64"/>
      <c r="EP61" s="64"/>
      <c r="EQ61" s="64"/>
      <c r="ER61" s="64"/>
      <c r="ES61" s="64"/>
      <c r="ET61" s="64"/>
    </row>
    <row r="62" spans="2:150" x14ac:dyDescent="0.15">
      <c r="B62" s="58">
        <f>IF(G62&lt;&gt;"",SUBTOTAL(3,$G$5:G62),"")</f>
        <v>23</v>
      </c>
      <c r="C62" s="58"/>
      <c r="D62" s="58"/>
      <c r="E62" s="59" t="s">
        <v>140</v>
      </c>
      <c r="F62" s="59" t="s">
        <v>136</v>
      </c>
      <c r="G62" s="60" t="s">
        <v>158</v>
      </c>
      <c r="H62" s="61">
        <v>43995</v>
      </c>
      <c r="I62" s="62"/>
      <c r="J62" s="63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5"/>
      <c r="AN62" s="63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5"/>
      <c r="BR62" s="63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5"/>
      <c r="CV62" s="67" t="s">
        <v>14</v>
      </c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  <c r="EO62" s="64"/>
      <c r="EP62" s="64"/>
      <c r="EQ62" s="64"/>
      <c r="ER62" s="64"/>
      <c r="ES62" s="64"/>
      <c r="ET62" s="64"/>
    </row>
    <row r="63" spans="2:150" x14ac:dyDescent="0.15">
      <c r="B63" s="58">
        <f>IF(G63&lt;&gt;"",SUBTOTAL(3,$G$5:G63),"")</f>
        <v>24</v>
      </c>
      <c r="C63" s="58"/>
      <c r="D63" s="58"/>
      <c r="E63" s="59" t="s">
        <v>140</v>
      </c>
      <c r="F63" s="59" t="s">
        <v>136</v>
      </c>
      <c r="G63" s="60" t="s">
        <v>159</v>
      </c>
      <c r="H63" s="61">
        <v>43961</v>
      </c>
      <c r="I63" s="62"/>
      <c r="J63" s="63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5"/>
      <c r="AN63" s="63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5"/>
      <c r="BR63" s="63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5"/>
      <c r="CV63" s="60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  <c r="EO63" s="64"/>
      <c r="EP63" s="64"/>
      <c r="EQ63" s="64"/>
      <c r="ER63" s="64"/>
      <c r="ES63" s="64"/>
      <c r="ET63" s="64"/>
    </row>
    <row r="64" spans="2:150" x14ac:dyDescent="0.15">
      <c r="B64" s="58">
        <f>IF(G64&lt;&gt;"",SUBTOTAL(3,$G$5:G64),"")</f>
        <v>25</v>
      </c>
      <c r="C64" s="58"/>
      <c r="D64" s="58"/>
      <c r="E64" s="59" t="s">
        <v>140</v>
      </c>
      <c r="F64" s="59" t="s">
        <v>136</v>
      </c>
      <c r="G64" s="60" t="s">
        <v>160</v>
      </c>
      <c r="H64" s="61">
        <v>43995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5"/>
      <c r="AN64" s="63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5"/>
      <c r="BR64" s="63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5"/>
      <c r="CV64" s="60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  <c r="EO64" s="64"/>
      <c r="EP64" s="64"/>
      <c r="EQ64" s="64"/>
      <c r="ER64" s="64"/>
      <c r="ES64" s="64"/>
      <c r="ET64" s="64"/>
    </row>
    <row r="65" spans="2:150" x14ac:dyDescent="0.15">
      <c r="B65" s="58">
        <f>IF(G65&lt;&gt;"",SUBTOTAL(3,$G$5:G65),"")</f>
        <v>26</v>
      </c>
      <c r="C65" s="58"/>
      <c r="D65" s="58"/>
      <c r="E65" s="59" t="s">
        <v>140</v>
      </c>
      <c r="F65" s="59" t="s">
        <v>136</v>
      </c>
      <c r="G65" s="60" t="s">
        <v>223</v>
      </c>
      <c r="H65" s="61">
        <v>44058</v>
      </c>
      <c r="I65" s="62">
        <v>1</v>
      </c>
      <c r="J65" s="63" t="s">
        <v>279</v>
      </c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5"/>
      <c r="AN65" s="63" t="s">
        <v>211</v>
      </c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5"/>
      <c r="BR65" s="63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5"/>
      <c r="CV65" s="60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  <c r="EH65" s="64"/>
      <c r="EI65" s="64"/>
      <c r="EJ65" s="64"/>
      <c r="EK65" s="64"/>
      <c r="EL65" s="64"/>
      <c r="EM65" s="64"/>
      <c r="EN65" s="64"/>
      <c r="EO65" s="64"/>
      <c r="EP65" s="64"/>
      <c r="EQ65" s="64"/>
      <c r="ER65" s="64"/>
      <c r="ES65" s="64"/>
      <c r="ET65" s="64"/>
    </row>
    <row r="66" spans="2:150" x14ac:dyDescent="0.15">
      <c r="B66" s="58" t="str">
        <f>IF(G66&lt;&gt;"",SUBTOTAL(3,$G$5:G66),"")</f>
        <v/>
      </c>
      <c r="C66" s="58"/>
      <c r="D66" s="58"/>
      <c r="E66" s="59"/>
      <c r="F66" s="59"/>
      <c r="G66" s="60"/>
      <c r="H66" s="61"/>
      <c r="I66" s="70">
        <v>1</v>
      </c>
      <c r="J66" s="63" t="s">
        <v>280</v>
      </c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5"/>
      <c r="AN66" s="63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5"/>
      <c r="BR66" s="63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5"/>
      <c r="CV66" s="60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  <c r="EH66" s="64"/>
      <c r="EI66" s="64"/>
      <c r="EJ66" s="64"/>
      <c r="EK66" s="64"/>
      <c r="EL66" s="64"/>
      <c r="EM66" s="64"/>
      <c r="EN66" s="64"/>
      <c r="EO66" s="64"/>
      <c r="EP66" s="64"/>
      <c r="EQ66" s="64"/>
      <c r="ER66" s="64"/>
      <c r="ES66" s="64"/>
      <c r="ET66" s="64"/>
    </row>
    <row r="67" spans="2:150" x14ac:dyDescent="0.15">
      <c r="B67" s="58" t="str">
        <f>IF(G67&lt;&gt;"",SUBTOTAL(3,$G$5:G67),"")</f>
        <v/>
      </c>
      <c r="C67" s="58"/>
      <c r="D67" s="58"/>
      <c r="E67" s="59"/>
      <c r="F67" s="59"/>
      <c r="G67" s="60"/>
      <c r="H67" s="61"/>
      <c r="I67" s="70">
        <v>1</v>
      </c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5"/>
      <c r="AN67" s="63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5"/>
      <c r="BR67" s="63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5"/>
      <c r="CV67" s="60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  <c r="EH67" s="64"/>
      <c r="EI67" s="64"/>
      <c r="EJ67" s="64"/>
      <c r="EK67" s="64"/>
      <c r="EL67" s="64"/>
      <c r="EM67" s="64"/>
      <c r="EN67" s="64"/>
      <c r="EO67" s="64"/>
      <c r="EP67" s="64"/>
      <c r="EQ67" s="64"/>
      <c r="ER67" s="64"/>
      <c r="ES67" s="64"/>
      <c r="ET67" s="64"/>
    </row>
    <row r="68" spans="2:150" x14ac:dyDescent="0.15">
      <c r="B68" s="58">
        <f>IF(G68&lt;&gt;"",SUBTOTAL(3,$G$5:G68),"")</f>
        <v>27</v>
      </c>
      <c r="C68" s="58"/>
      <c r="D68" s="58"/>
      <c r="E68" s="59" t="s">
        <v>140</v>
      </c>
      <c r="F68" s="59" t="s">
        <v>136</v>
      </c>
      <c r="G68" s="60" t="s">
        <v>222</v>
      </c>
      <c r="H68" s="61">
        <v>44057</v>
      </c>
      <c r="I68" s="62">
        <v>1</v>
      </c>
      <c r="J68" s="63" t="s">
        <v>281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5"/>
      <c r="AN68" s="63" t="s">
        <v>211</v>
      </c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5"/>
      <c r="BR68" s="63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5"/>
      <c r="CV68" s="60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  <c r="EH68" s="64"/>
      <c r="EI68" s="64"/>
      <c r="EJ68" s="64"/>
      <c r="EK68" s="64"/>
      <c r="EL68" s="64"/>
      <c r="EM68" s="64"/>
      <c r="EN68" s="64"/>
      <c r="EO68" s="64"/>
      <c r="EP68" s="64"/>
      <c r="EQ68" s="64"/>
      <c r="ER68" s="64"/>
      <c r="ES68" s="64"/>
      <c r="ET68" s="64"/>
    </row>
    <row r="69" spans="2:15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 t="s">
        <v>282</v>
      </c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5"/>
      <c r="AN69" s="63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5"/>
      <c r="BR69" s="63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5"/>
      <c r="CV69" s="60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</row>
    <row r="70" spans="2:150" x14ac:dyDescent="0.15">
      <c r="B70" s="58" t="str">
        <f>IF(G70&lt;&gt;"",SUBTOTAL(3,$G$5:G70),"")</f>
        <v/>
      </c>
      <c r="C70" s="58"/>
      <c r="D70" s="58"/>
      <c r="E70" s="59"/>
      <c r="F70" s="59"/>
      <c r="G70" s="60"/>
      <c r="H70" s="61"/>
      <c r="I70" s="70">
        <v>1</v>
      </c>
      <c r="J70" s="63" t="s">
        <v>283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5"/>
      <c r="AN70" s="63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5"/>
      <c r="BR70" s="63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5"/>
      <c r="CV70" s="60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  <c r="EH70" s="64"/>
      <c r="EI70" s="64"/>
      <c r="EJ70" s="64"/>
      <c r="EK70" s="64"/>
      <c r="EL70" s="64"/>
      <c r="EM70" s="64"/>
      <c r="EN70" s="64"/>
      <c r="EO70" s="64"/>
      <c r="EP70" s="64"/>
      <c r="EQ70" s="64"/>
      <c r="ER70" s="64"/>
      <c r="ES70" s="64"/>
      <c r="ET70" s="64"/>
    </row>
    <row r="71" spans="2:15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284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5"/>
      <c r="AN71" s="63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5"/>
      <c r="BR71" s="63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5"/>
      <c r="CV71" s="60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  <c r="EH71" s="64"/>
      <c r="EI71" s="64"/>
      <c r="EJ71" s="64"/>
      <c r="EK71" s="64"/>
      <c r="EL71" s="64"/>
      <c r="EM71" s="64"/>
      <c r="EN71" s="64"/>
      <c r="EO71" s="64"/>
      <c r="EP71" s="64"/>
      <c r="EQ71" s="64"/>
      <c r="ER71" s="64"/>
      <c r="ES71" s="64"/>
      <c r="ET71" s="64"/>
    </row>
    <row r="72" spans="2:15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285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5"/>
      <c r="AN72" s="63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5"/>
      <c r="BR72" s="63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5"/>
      <c r="CV72" s="60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  <c r="EH72" s="64"/>
      <c r="EI72" s="64"/>
      <c r="EJ72" s="64"/>
      <c r="EK72" s="64"/>
      <c r="EL72" s="64"/>
      <c r="EM72" s="64"/>
      <c r="EN72" s="64"/>
      <c r="EO72" s="64"/>
      <c r="EP72" s="64"/>
      <c r="EQ72" s="64"/>
      <c r="ER72" s="64"/>
      <c r="ES72" s="64"/>
      <c r="ET72" s="64"/>
    </row>
    <row r="73" spans="2:15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286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5"/>
      <c r="AN73" s="63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5"/>
      <c r="BR73" s="63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5"/>
      <c r="CV73" s="60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  <c r="EH73" s="64"/>
      <c r="EI73" s="64"/>
      <c r="EJ73" s="64"/>
      <c r="EK73" s="64"/>
      <c r="EL73" s="64"/>
      <c r="EM73" s="64"/>
      <c r="EN73" s="64"/>
      <c r="EO73" s="64"/>
      <c r="EP73" s="64"/>
      <c r="EQ73" s="64"/>
      <c r="ER73" s="64"/>
      <c r="ES73" s="64"/>
      <c r="ET73" s="64"/>
    </row>
    <row r="74" spans="2:15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287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5"/>
      <c r="AN74" s="63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5"/>
      <c r="BR74" s="63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5"/>
      <c r="CV74" s="60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  <c r="EH74" s="64"/>
      <c r="EI74" s="64"/>
      <c r="EJ74" s="64"/>
      <c r="EK74" s="64"/>
      <c r="EL74" s="64"/>
      <c r="EM74" s="64"/>
      <c r="EN74" s="64"/>
      <c r="EO74" s="64"/>
      <c r="EP74" s="64"/>
      <c r="EQ74" s="64"/>
      <c r="ER74" s="64"/>
      <c r="ES74" s="64"/>
      <c r="ET74" s="64"/>
    </row>
    <row r="75" spans="2:15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288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5"/>
      <c r="AN75" s="63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5"/>
      <c r="BR75" s="63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5"/>
      <c r="CV75" s="60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</row>
    <row r="76" spans="2:15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289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5"/>
      <c r="AN76" s="63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5"/>
      <c r="BR76" s="63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5"/>
      <c r="CV76" s="60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  <c r="EH76" s="64"/>
      <c r="EI76" s="64"/>
      <c r="EJ76" s="64"/>
      <c r="EK76" s="64"/>
      <c r="EL76" s="64"/>
      <c r="EM76" s="64"/>
      <c r="EN76" s="64"/>
      <c r="EO76" s="64"/>
      <c r="EP76" s="64"/>
      <c r="EQ76" s="64"/>
      <c r="ER76" s="64"/>
      <c r="ES76" s="64"/>
      <c r="ET76" s="64"/>
    </row>
    <row r="77" spans="2:15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290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5"/>
      <c r="AN77" s="63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5"/>
      <c r="BR77" s="63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5"/>
      <c r="CV77" s="60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</row>
    <row r="78" spans="2:15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291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5"/>
      <c r="AN78" s="63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5"/>
      <c r="BR78" s="63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5"/>
      <c r="CV78" s="60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</row>
    <row r="79" spans="2:15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292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5"/>
      <c r="AN79" s="63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5"/>
      <c r="BR79" s="63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5"/>
      <c r="CV79" s="60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</row>
    <row r="80" spans="2:15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293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5"/>
      <c r="AN80" s="63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5"/>
      <c r="BR80" s="63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5"/>
      <c r="CV80" s="60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</row>
    <row r="81" spans="2:15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/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5"/>
      <c r="AN81" s="63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5"/>
      <c r="BR81" s="63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5"/>
      <c r="CV81" s="60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</row>
    <row r="82" spans="2:150" x14ac:dyDescent="0.15">
      <c r="B82" s="58">
        <f>IF(G82&lt;&gt;"",SUBTOTAL(3,$G$5:G82),"")</f>
        <v>28</v>
      </c>
      <c r="C82" s="58"/>
      <c r="D82" s="58"/>
      <c r="E82" s="59" t="s">
        <v>140</v>
      </c>
      <c r="F82" s="59" t="s">
        <v>136</v>
      </c>
      <c r="G82" s="60" t="s">
        <v>221</v>
      </c>
      <c r="H82" s="61">
        <v>44053</v>
      </c>
      <c r="I82" s="62">
        <v>0.3</v>
      </c>
      <c r="J82" s="63" t="s">
        <v>294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5"/>
      <c r="AN82" s="63" t="s">
        <v>297</v>
      </c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5"/>
      <c r="BR82" s="63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5"/>
      <c r="CV82" s="60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</row>
    <row r="83" spans="2:15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68">
        <v>0.3</v>
      </c>
      <c r="J83" s="63" t="s">
        <v>295</v>
      </c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5"/>
      <c r="AN83" s="63" t="s">
        <v>298</v>
      </c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5"/>
      <c r="BR83" s="63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5"/>
      <c r="CV83" s="60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</row>
    <row r="84" spans="2:150" x14ac:dyDescent="0.15">
      <c r="B84" s="58" t="str">
        <f>IF(G84&lt;&gt;"",SUBTOTAL(3,$G$5:G84),"")</f>
        <v/>
      </c>
      <c r="C84" s="58"/>
      <c r="D84" s="58"/>
      <c r="E84" s="59"/>
      <c r="F84" s="59"/>
      <c r="G84" s="60"/>
      <c r="H84" s="61"/>
      <c r="I84" s="68">
        <v>0.3</v>
      </c>
      <c r="J84" s="63" t="s">
        <v>296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5"/>
      <c r="AN84" s="63" t="s">
        <v>299</v>
      </c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5"/>
      <c r="BR84" s="63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5"/>
      <c r="CV84" s="60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  <c r="EH84" s="64"/>
      <c r="EI84" s="64"/>
      <c r="EJ84" s="64"/>
      <c r="EK84" s="64"/>
      <c r="EL84" s="64"/>
      <c r="EM84" s="64"/>
      <c r="EN84" s="64"/>
      <c r="EO84" s="64"/>
      <c r="EP84" s="64"/>
      <c r="EQ84" s="64"/>
      <c r="ER84" s="64"/>
      <c r="ES84" s="64"/>
      <c r="ET84" s="64"/>
    </row>
    <row r="85" spans="2:15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/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5"/>
      <c r="AN85" s="63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5"/>
      <c r="BR85" s="63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5"/>
      <c r="CV85" s="60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</row>
    <row r="86" spans="2:150" x14ac:dyDescent="0.15">
      <c r="B86" s="58">
        <f>IF(G86&lt;&gt;"",SUBTOTAL(3,$G$5:G86),"")</f>
        <v>29</v>
      </c>
      <c r="C86" s="58"/>
      <c r="D86" s="58"/>
      <c r="E86" s="59" t="s">
        <v>140</v>
      </c>
      <c r="F86" s="59" t="s">
        <v>136</v>
      </c>
      <c r="G86" s="60" t="s">
        <v>220</v>
      </c>
      <c r="H86" s="61">
        <v>44045</v>
      </c>
      <c r="I86" s="62">
        <v>1</v>
      </c>
      <c r="J86" s="63" t="s">
        <v>300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5"/>
      <c r="AN86" s="63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5"/>
      <c r="BR86" s="63" t="s">
        <v>302</v>
      </c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5"/>
      <c r="CV86" s="60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  <c r="EH86" s="64"/>
      <c r="EI86" s="64"/>
      <c r="EJ86" s="64"/>
      <c r="EK86" s="64"/>
      <c r="EL86" s="64"/>
      <c r="EM86" s="64"/>
      <c r="EN86" s="64"/>
      <c r="EO86" s="64"/>
      <c r="EP86" s="64"/>
      <c r="EQ86" s="64"/>
      <c r="ER86" s="64"/>
      <c r="ES86" s="64"/>
      <c r="ET86" s="64"/>
    </row>
    <row r="87" spans="2:15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2">
        <v>1</v>
      </c>
      <c r="J87" s="63" t="s">
        <v>301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5"/>
      <c r="AN87" s="63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5"/>
      <c r="BR87" s="63" t="s">
        <v>303</v>
      </c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5"/>
      <c r="CV87" s="60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</row>
    <row r="88" spans="2:150" x14ac:dyDescent="0.15">
      <c r="B88" s="58" t="str">
        <f>IF(G88&lt;&gt;"",SUBTOTAL(3,$G$5:G88),"")</f>
        <v/>
      </c>
      <c r="C88" s="58"/>
      <c r="D88" s="58"/>
      <c r="E88" s="59"/>
      <c r="F88" s="59"/>
      <c r="G88" s="60"/>
      <c r="H88" s="61"/>
      <c r="I88" s="62">
        <v>1</v>
      </c>
      <c r="J88" s="63"/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5"/>
      <c r="AN88" s="63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5"/>
      <c r="BR88" s="63" t="s">
        <v>304</v>
      </c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5"/>
      <c r="CV88" s="60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  <c r="EH88" s="64"/>
      <c r="EI88" s="64"/>
      <c r="EJ88" s="64"/>
      <c r="EK88" s="64"/>
      <c r="EL88" s="64"/>
      <c r="EM88" s="64"/>
      <c r="EN88" s="64"/>
      <c r="EO88" s="64"/>
      <c r="EP88" s="64"/>
      <c r="EQ88" s="64"/>
      <c r="ER88" s="64"/>
      <c r="ES88" s="64"/>
      <c r="ET88" s="64"/>
    </row>
    <row r="89" spans="2:15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5"/>
      <c r="AN89" s="63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5"/>
      <c r="BR89" s="63" t="s">
        <v>305</v>
      </c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5"/>
      <c r="CV89" s="60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  <c r="EH89" s="64"/>
      <c r="EI89" s="64"/>
      <c r="EJ89" s="64"/>
      <c r="EK89" s="64"/>
      <c r="EL89" s="64"/>
      <c r="EM89" s="64"/>
      <c r="EN89" s="64"/>
      <c r="EO89" s="64"/>
      <c r="EP89" s="64"/>
      <c r="EQ89" s="64"/>
      <c r="ER89" s="64"/>
      <c r="ES89" s="64"/>
      <c r="ET89" s="64"/>
    </row>
    <row r="90" spans="2:15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5"/>
      <c r="AN90" s="63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5"/>
      <c r="BR90" s="63" t="s">
        <v>305</v>
      </c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5"/>
      <c r="CV90" s="60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  <c r="EH90" s="64"/>
      <c r="EI90" s="64"/>
      <c r="EJ90" s="64"/>
      <c r="EK90" s="64"/>
      <c r="EL90" s="64"/>
      <c r="EM90" s="64"/>
      <c r="EN90" s="64"/>
      <c r="EO90" s="64"/>
      <c r="EP90" s="64"/>
      <c r="EQ90" s="64"/>
      <c r="ER90" s="64"/>
      <c r="ES90" s="64"/>
      <c r="ET90" s="64"/>
    </row>
    <row r="91" spans="2:15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5"/>
      <c r="AN91" s="63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5"/>
      <c r="BR91" s="63" t="s">
        <v>306</v>
      </c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5"/>
      <c r="CV91" s="60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  <c r="EH91" s="64"/>
      <c r="EI91" s="64"/>
      <c r="EJ91" s="64"/>
      <c r="EK91" s="64"/>
      <c r="EL91" s="64"/>
      <c r="EM91" s="64"/>
      <c r="EN91" s="64"/>
      <c r="EO91" s="64"/>
      <c r="EP91" s="64"/>
      <c r="EQ91" s="64"/>
      <c r="ER91" s="64"/>
      <c r="ES91" s="64"/>
      <c r="ET91" s="64"/>
    </row>
    <row r="92" spans="2:15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5"/>
      <c r="AN92" s="63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5"/>
      <c r="BR92" s="63" t="s">
        <v>307</v>
      </c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5"/>
      <c r="CV92" s="60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  <c r="EH92" s="64"/>
      <c r="EI92" s="64"/>
      <c r="EJ92" s="64"/>
      <c r="EK92" s="64"/>
      <c r="EL92" s="64"/>
      <c r="EM92" s="64"/>
      <c r="EN92" s="64"/>
      <c r="EO92" s="64"/>
      <c r="EP92" s="64"/>
      <c r="EQ92" s="64"/>
      <c r="ER92" s="64"/>
      <c r="ES92" s="64"/>
      <c r="ET92" s="64"/>
    </row>
    <row r="93" spans="2:15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5"/>
      <c r="AN93" s="63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5"/>
      <c r="BR93" s="63" t="s">
        <v>308</v>
      </c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5"/>
      <c r="CV93" s="60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  <c r="EH93" s="64"/>
      <c r="EI93" s="64"/>
      <c r="EJ93" s="64"/>
      <c r="EK93" s="64"/>
      <c r="EL93" s="64"/>
      <c r="EM93" s="64"/>
      <c r="EN93" s="64"/>
      <c r="EO93" s="64"/>
      <c r="EP93" s="64"/>
      <c r="EQ93" s="64"/>
      <c r="ER93" s="64"/>
      <c r="ES93" s="64"/>
      <c r="ET93" s="64"/>
    </row>
    <row r="94" spans="2:150" x14ac:dyDescent="0.15">
      <c r="B94" s="58">
        <f>IF(G94&lt;&gt;"",SUBTOTAL(3,$G$5:G94),"")</f>
        <v>30</v>
      </c>
      <c r="C94" s="58"/>
      <c r="D94" s="58"/>
      <c r="E94" s="59" t="s">
        <v>140</v>
      </c>
      <c r="F94" s="59" t="s">
        <v>136</v>
      </c>
      <c r="G94" s="60" t="s">
        <v>217</v>
      </c>
      <c r="H94" s="61">
        <v>44045</v>
      </c>
      <c r="I94" s="62">
        <v>0.8</v>
      </c>
      <c r="J94" s="63" t="s">
        <v>309</v>
      </c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5"/>
      <c r="AN94" s="63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5"/>
      <c r="BR94" s="63" t="s">
        <v>314</v>
      </c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5"/>
      <c r="CV94" s="60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  <c r="EH94" s="64"/>
      <c r="EI94" s="64"/>
      <c r="EJ94" s="64"/>
      <c r="EK94" s="64"/>
      <c r="EL94" s="64"/>
      <c r="EM94" s="64"/>
      <c r="EN94" s="64"/>
      <c r="EO94" s="64"/>
      <c r="EP94" s="64"/>
      <c r="EQ94" s="64"/>
      <c r="ER94" s="64"/>
      <c r="ES94" s="64"/>
      <c r="ET94" s="64"/>
    </row>
    <row r="95" spans="2:15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8">
        <v>0.8</v>
      </c>
      <c r="J95" s="63" t="s">
        <v>310</v>
      </c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5"/>
      <c r="AN95" s="63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5"/>
      <c r="BR95" s="63" t="s">
        <v>315</v>
      </c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5"/>
      <c r="CV95" s="60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  <c r="EH95" s="64"/>
      <c r="EI95" s="64"/>
      <c r="EJ95" s="64"/>
      <c r="EK95" s="64"/>
      <c r="EL95" s="64"/>
      <c r="EM95" s="64"/>
      <c r="EN95" s="64"/>
      <c r="EO95" s="64"/>
      <c r="EP95" s="64"/>
      <c r="EQ95" s="64"/>
      <c r="ER95" s="64"/>
      <c r="ES95" s="64"/>
      <c r="ET95" s="64"/>
    </row>
    <row r="96" spans="2:150" x14ac:dyDescent="0.15">
      <c r="B96" s="58" t="str">
        <f>IF(G96&lt;&gt;"",SUBTOTAL(3,$G$5:G96),"")</f>
        <v/>
      </c>
      <c r="C96" s="58"/>
      <c r="D96" s="58"/>
      <c r="E96" s="59"/>
      <c r="F96" s="59"/>
      <c r="G96" s="60"/>
      <c r="H96" s="61"/>
      <c r="I96" s="68">
        <v>0.8</v>
      </c>
      <c r="J96" s="63" t="s">
        <v>311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5"/>
      <c r="AN96" s="63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5"/>
      <c r="BR96" s="63" t="s">
        <v>316</v>
      </c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5"/>
      <c r="CV96" s="60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  <c r="EH96" s="64"/>
      <c r="EI96" s="64"/>
      <c r="EJ96" s="64"/>
      <c r="EK96" s="64"/>
      <c r="EL96" s="64"/>
      <c r="EM96" s="64"/>
      <c r="EN96" s="64"/>
      <c r="EO96" s="64"/>
      <c r="EP96" s="64"/>
      <c r="EQ96" s="64"/>
      <c r="ER96" s="64"/>
      <c r="ES96" s="64"/>
      <c r="ET96" s="64"/>
    </row>
    <row r="97" spans="2:15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312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5"/>
      <c r="AN97" s="63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5"/>
      <c r="BR97" s="63" t="s">
        <v>319</v>
      </c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5"/>
      <c r="CV97" s="60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  <c r="EH97" s="64"/>
      <c r="EI97" s="64"/>
      <c r="EJ97" s="64"/>
      <c r="EK97" s="64"/>
      <c r="EL97" s="64"/>
      <c r="EM97" s="64"/>
      <c r="EN97" s="64"/>
      <c r="EO97" s="64"/>
      <c r="EP97" s="64"/>
      <c r="EQ97" s="64"/>
      <c r="ER97" s="64"/>
      <c r="ES97" s="64"/>
      <c r="ET97" s="64"/>
    </row>
    <row r="98" spans="2:15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313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5"/>
      <c r="AN98" s="63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5"/>
      <c r="BR98" s="63" t="s">
        <v>320</v>
      </c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5"/>
      <c r="CV98" s="60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  <c r="EH98" s="64"/>
      <c r="EI98" s="64"/>
      <c r="EJ98" s="64"/>
      <c r="EK98" s="64"/>
      <c r="EL98" s="64"/>
      <c r="EM98" s="64"/>
      <c r="EN98" s="64"/>
      <c r="EO98" s="64"/>
      <c r="EP98" s="64"/>
      <c r="EQ98" s="64"/>
      <c r="ER98" s="64"/>
      <c r="ES98" s="64"/>
      <c r="ET98" s="64"/>
    </row>
    <row r="99" spans="2:15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71" t="s">
        <v>218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5"/>
      <c r="BR99" s="63" t="s">
        <v>317</v>
      </c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5"/>
      <c r="CV99" s="60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  <c r="EH99" s="64"/>
      <c r="EI99" s="64"/>
      <c r="EJ99" s="64"/>
      <c r="EK99" s="64"/>
      <c r="EL99" s="64"/>
      <c r="EM99" s="64"/>
      <c r="EN99" s="64"/>
      <c r="EO99" s="64"/>
      <c r="EP99" s="64"/>
      <c r="EQ99" s="64"/>
      <c r="ER99" s="64"/>
      <c r="ES99" s="64"/>
      <c r="ET99" s="64"/>
    </row>
    <row r="100" spans="2:15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/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5"/>
      <c r="AN100" s="63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5"/>
      <c r="BR100" s="63" t="s">
        <v>318</v>
      </c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5"/>
      <c r="CV100" s="60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  <c r="EH100" s="64"/>
      <c r="EI100" s="64"/>
      <c r="EJ100" s="64"/>
      <c r="EK100" s="64"/>
      <c r="EL100" s="64"/>
      <c r="EM100" s="64"/>
      <c r="EN100" s="64"/>
      <c r="EO100" s="64"/>
      <c r="EP100" s="64"/>
      <c r="EQ100" s="64"/>
      <c r="ER100" s="64"/>
      <c r="ES100" s="64"/>
      <c r="ET100" s="64"/>
    </row>
    <row r="101" spans="2:15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5"/>
      <c r="AN101" s="63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5"/>
      <c r="BR101" s="63"/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5"/>
      <c r="CV101" s="60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  <c r="EH101" s="64"/>
      <c r="EI101" s="64"/>
      <c r="EJ101" s="64"/>
      <c r="EK101" s="64"/>
      <c r="EL101" s="64"/>
      <c r="EM101" s="64"/>
      <c r="EN101" s="64"/>
      <c r="EO101" s="64"/>
      <c r="EP101" s="64"/>
      <c r="EQ101" s="64"/>
      <c r="ER101" s="64"/>
      <c r="ES101" s="64"/>
      <c r="ET101" s="64"/>
    </row>
    <row r="102" spans="2:150" x14ac:dyDescent="0.15">
      <c r="B102" s="58">
        <f>IF(G102&lt;&gt;"",SUBTOTAL(3,$G$5:G102),"")</f>
        <v>31</v>
      </c>
      <c r="C102" s="58"/>
      <c r="D102" s="58"/>
      <c r="E102" s="59" t="s">
        <v>140</v>
      </c>
      <c r="F102" s="59" t="s">
        <v>136</v>
      </c>
      <c r="G102" s="60" t="s">
        <v>216</v>
      </c>
      <c r="H102" s="61">
        <v>44045</v>
      </c>
      <c r="I102" s="62">
        <v>1</v>
      </c>
      <c r="J102" s="63" t="s">
        <v>321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5"/>
      <c r="AN102" s="63" t="s">
        <v>210</v>
      </c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5"/>
      <c r="BR102" s="63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5"/>
      <c r="CV102" s="60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  <c r="EH102" s="64"/>
      <c r="EI102" s="64"/>
      <c r="EJ102" s="64"/>
      <c r="EK102" s="64"/>
      <c r="EL102" s="64"/>
      <c r="EM102" s="64"/>
      <c r="EN102" s="64"/>
      <c r="EO102" s="64"/>
      <c r="EP102" s="64"/>
      <c r="EQ102" s="64"/>
      <c r="ER102" s="64"/>
      <c r="ES102" s="64"/>
      <c r="ET102" s="64"/>
    </row>
    <row r="103" spans="2:15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70">
        <v>1</v>
      </c>
      <c r="J103" s="63" t="s">
        <v>322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5"/>
      <c r="AN103" s="63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5"/>
      <c r="BR103" s="63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5"/>
      <c r="CV103" s="60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  <c r="EO103" s="64"/>
      <c r="EP103" s="64"/>
      <c r="EQ103" s="64"/>
      <c r="ER103" s="64"/>
      <c r="ES103" s="64"/>
      <c r="ET103" s="64"/>
    </row>
    <row r="104" spans="2:150" x14ac:dyDescent="0.15">
      <c r="B104" s="58" t="str">
        <f>IF(G104&lt;&gt;"",SUBTOTAL(3,$G$5:G104),"")</f>
        <v/>
      </c>
      <c r="C104" s="58"/>
      <c r="D104" s="58"/>
      <c r="E104" s="59"/>
      <c r="F104" s="59"/>
      <c r="G104" s="60"/>
      <c r="H104" s="61"/>
      <c r="I104" s="70">
        <v>1</v>
      </c>
      <c r="J104" s="63" t="s">
        <v>323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5"/>
      <c r="AN104" s="63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5"/>
      <c r="BR104" s="63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5"/>
      <c r="CV104" s="60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  <c r="EO104" s="64"/>
      <c r="EP104" s="64"/>
      <c r="EQ104" s="64"/>
      <c r="ER104" s="64"/>
      <c r="ES104" s="64"/>
      <c r="ET104" s="64"/>
    </row>
    <row r="105" spans="2:15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324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5"/>
      <c r="AN105" s="63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5"/>
      <c r="BR105" s="63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5"/>
      <c r="CV105" s="60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  <c r="EO105" s="64"/>
      <c r="EP105" s="64"/>
      <c r="EQ105" s="64"/>
      <c r="ER105" s="64"/>
      <c r="ES105" s="64"/>
      <c r="ET105" s="64"/>
    </row>
    <row r="106" spans="2:15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325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5"/>
      <c r="AN106" s="63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5"/>
      <c r="BR106" s="63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5"/>
      <c r="CV106" s="60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  <c r="EO106" s="64"/>
      <c r="EP106" s="64"/>
      <c r="EQ106" s="64"/>
      <c r="ER106" s="64"/>
      <c r="ES106" s="64"/>
      <c r="ET106" s="64"/>
    </row>
    <row r="107" spans="2:15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5"/>
      <c r="AN107" s="63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5"/>
      <c r="BR107" s="63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5"/>
      <c r="CV107" s="60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  <c r="EO107" s="64"/>
      <c r="EP107" s="64"/>
      <c r="EQ107" s="64"/>
      <c r="ER107" s="64"/>
      <c r="ES107" s="64"/>
      <c r="ET107" s="64"/>
    </row>
    <row r="108" spans="2:150" x14ac:dyDescent="0.15">
      <c r="B108" s="58">
        <f>IF(G108&lt;&gt;"",SUBTOTAL(3,$G$5:G108),"")</f>
        <v>32</v>
      </c>
      <c r="C108" s="58"/>
      <c r="D108" s="58"/>
      <c r="E108" s="59" t="s">
        <v>140</v>
      </c>
      <c r="F108" s="59" t="s">
        <v>136</v>
      </c>
      <c r="G108" s="60" t="s">
        <v>215</v>
      </c>
      <c r="H108" s="61">
        <v>44044</v>
      </c>
      <c r="I108" s="62">
        <v>1</v>
      </c>
      <c r="J108" s="63" t="s">
        <v>326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5"/>
      <c r="AN108" s="63" t="s">
        <v>210</v>
      </c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5"/>
      <c r="BR108" s="63" t="s">
        <v>302</v>
      </c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5"/>
      <c r="CV108" s="60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  <c r="EO108" s="64"/>
      <c r="EP108" s="64"/>
      <c r="EQ108" s="64"/>
      <c r="ER108" s="64"/>
      <c r="ES108" s="64"/>
      <c r="ET108" s="64"/>
    </row>
    <row r="109" spans="2:15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421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5"/>
      <c r="AN109" s="63" t="s">
        <v>210</v>
      </c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5"/>
      <c r="BR109" s="63" t="s">
        <v>328</v>
      </c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5"/>
      <c r="CV109" s="60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  <c r="EO109" s="64"/>
      <c r="EP109" s="64"/>
      <c r="EQ109" s="64"/>
      <c r="ER109" s="64"/>
      <c r="ES109" s="64"/>
      <c r="ET109" s="64"/>
    </row>
    <row r="110" spans="2:150" x14ac:dyDescent="0.15">
      <c r="B110" s="58" t="str">
        <f>IF(G110&lt;&gt;"",SUBTOTAL(3,$G$5:G110),"")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327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5"/>
      <c r="AN110" s="63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5"/>
      <c r="BR110" s="63" t="s">
        <v>329</v>
      </c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5"/>
      <c r="CV110" s="60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  <c r="EO110" s="64"/>
      <c r="EP110" s="64"/>
      <c r="EQ110" s="64"/>
      <c r="ER110" s="64"/>
      <c r="ES110" s="64"/>
      <c r="ET110" s="64"/>
    </row>
    <row r="111" spans="2:15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5"/>
      <c r="AN111" s="63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5"/>
      <c r="BR111" s="63" t="s">
        <v>330</v>
      </c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5"/>
      <c r="CV111" s="60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  <c r="EO111" s="64"/>
      <c r="EP111" s="64"/>
      <c r="EQ111" s="64"/>
      <c r="ER111" s="64"/>
      <c r="ES111" s="64"/>
      <c r="ET111" s="64"/>
    </row>
    <row r="112" spans="2:15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5"/>
      <c r="AN112" s="63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5"/>
      <c r="BR112" s="63" t="s">
        <v>331</v>
      </c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5"/>
      <c r="CV112" s="60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  <c r="EH112" s="64"/>
      <c r="EI112" s="64"/>
      <c r="EJ112" s="64"/>
      <c r="EK112" s="64"/>
      <c r="EL112" s="64"/>
      <c r="EM112" s="64"/>
      <c r="EN112" s="64"/>
      <c r="EO112" s="64"/>
      <c r="EP112" s="64"/>
      <c r="EQ112" s="64"/>
      <c r="ER112" s="64"/>
      <c r="ES112" s="64"/>
      <c r="ET112" s="64"/>
    </row>
    <row r="113" spans="2:15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5"/>
      <c r="AN113" s="63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5"/>
      <c r="BR113" s="63" t="s">
        <v>332</v>
      </c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5"/>
      <c r="CV113" s="60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  <c r="EH113" s="64"/>
      <c r="EI113" s="64"/>
      <c r="EJ113" s="64"/>
      <c r="EK113" s="64"/>
      <c r="EL113" s="64"/>
      <c r="EM113" s="64"/>
      <c r="EN113" s="64"/>
      <c r="EO113" s="64"/>
      <c r="EP113" s="64"/>
      <c r="EQ113" s="64"/>
      <c r="ER113" s="64"/>
      <c r="ES113" s="64"/>
      <c r="ET113" s="64"/>
    </row>
    <row r="114" spans="2:15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5"/>
      <c r="AN114" s="63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5"/>
      <c r="BR114" s="63" t="s">
        <v>306</v>
      </c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5"/>
      <c r="CV114" s="60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  <c r="EH114" s="64"/>
      <c r="EI114" s="64"/>
      <c r="EJ114" s="64"/>
      <c r="EK114" s="64"/>
      <c r="EL114" s="64"/>
      <c r="EM114" s="64"/>
      <c r="EN114" s="64"/>
      <c r="EO114" s="64"/>
      <c r="EP114" s="64"/>
      <c r="EQ114" s="64"/>
      <c r="ER114" s="64"/>
      <c r="ES114" s="64"/>
      <c r="ET114" s="64"/>
    </row>
    <row r="115" spans="2:15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5"/>
      <c r="AN115" s="63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5"/>
      <c r="BR115" s="63" t="s">
        <v>333</v>
      </c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5"/>
      <c r="CV115" s="60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  <c r="EH115" s="64"/>
      <c r="EI115" s="64"/>
      <c r="EJ115" s="64"/>
      <c r="EK115" s="64"/>
      <c r="EL115" s="64"/>
      <c r="EM115" s="64"/>
      <c r="EN115" s="64"/>
      <c r="EO115" s="64"/>
      <c r="EP115" s="64"/>
      <c r="EQ115" s="64"/>
      <c r="ER115" s="64"/>
      <c r="ES115" s="64"/>
      <c r="ET115" s="64"/>
    </row>
    <row r="116" spans="2:15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5"/>
      <c r="AN116" s="63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5"/>
      <c r="BR116" s="63" t="s">
        <v>334</v>
      </c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5"/>
      <c r="CV116" s="60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  <c r="EH116" s="64"/>
      <c r="EI116" s="64"/>
      <c r="EJ116" s="64"/>
      <c r="EK116" s="64"/>
      <c r="EL116" s="64"/>
      <c r="EM116" s="64"/>
      <c r="EN116" s="64"/>
      <c r="EO116" s="64"/>
      <c r="EP116" s="64"/>
      <c r="EQ116" s="64"/>
      <c r="ER116" s="64"/>
      <c r="ES116" s="64"/>
      <c r="ET116" s="64"/>
    </row>
    <row r="117" spans="2:15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5"/>
      <c r="AN117" s="63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5"/>
      <c r="BR117" s="63" t="s">
        <v>335</v>
      </c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5"/>
      <c r="CV117" s="60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  <c r="EH117" s="64"/>
      <c r="EI117" s="64"/>
      <c r="EJ117" s="64"/>
      <c r="EK117" s="64"/>
      <c r="EL117" s="64"/>
      <c r="EM117" s="64"/>
      <c r="EN117" s="64"/>
      <c r="EO117" s="64"/>
      <c r="EP117" s="64"/>
      <c r="EQ117" s="64"/>
      <c r="ER117" s="64"/>
      <c r="ES117" s="64"/>
      <c r="ET117" s="64"/>
    </row>
    <row r="118" spans="2:15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5"/>
      <c r="AN118" s="63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5"/>
      <c r="BR118" s="63"/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5"/>
      <c r="CV118" s="60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</row>
    <row r="119" spans="2:15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5"/>
      <c r="AN119" s="63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5"/>
      <c r="BR119" s="63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5"/>
      <c r="CV119" s="60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  <c r="EH119" s="64"/>
      <c r="EI119" s="64"/>
      <c r="EJ119" s="64"/>
      <c r="EK119" s="64"/>
      <c r="EL119" s="64"/>
      <c r="EM119" s="64"/>
      <c r="EN119" s="64"/>
      <c r="EO119" s="64"/>
      <c r="EP119" s="64"/>
      <c r="EQ119" s="64"/>
      <c r="ER119" s="64"/>
      <c r="ES119" s="64"/>
      <c r="ET119" s="64"/>
    </row>
    <row r="120" spans="2:150" x14ac:dyDescent="0.15">
      <c r="B120" s="58">
        <f>IF(G120&lt;&gt;"",SUBTOTAL(3,$G$5:G120),"")</f>
        <v>33</v>
      </c>
      <c r="C120" s="58"/>
      <c r="D120" s="58"/>
      <c r="E120" s="59" t="s">
        <v>140</v>
      </c>
      <c r="F120" s="59" t="s">
        <v>136</v>
      </c>
      <c r="G120" s="60" t="s">
        <v>214</v>
      </c>
      <c r="H120" s="61">
        <v>44038</v>
      </c>
      <c r="I120" s="62">
        <v>1</v>
      </c>
      <c r="J120" s="63" t="s">
        <v>336</v>
      </c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5"/>
      <c r="AN120" s="63" t="s">
        <v>210</v>
      </c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5"/>
      <c r="BR120" s="63" t="s">
        <v>302</v>
      </c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5"/>
      <c r="CV120" s="60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  <c r="EH120" s="64"/>
      <c r="EI120" s="64"/>
      <c r="EJ120" s="64"/>
      <c r="EK120" s="64"/>
      <c r="EL120" s="64"/>
      <c r="EM120" s="64"/>
      <c r="EN120" s="64"/>
      <c r="EO120" s="64"/>
      <c r="EP120" s="64"/>
      <c r="EQ120" s="64"/>
      <c r="ER120" s="64"/>
      <c r="ES120" s="64"/>
      <c r="ET120" s="64"/>
    </row>
    <row r="121" spans="2:150" x14ac:dyDescent="0.15">
      <c r="B121" s="58" t="str">
        <f>IF(G121&lt;&gt;"",SUBTOTAL(3,$G$5:G121),"")</f>
        <v/>
      </c>
      <c r="C121" s="58"/>
      <c r="D121" s="58"/>
      <c r="E121" s="59"/>
      <c r="F121" s="59"/>
      <c r="G121" s="60"/>
      <c r="H121" s="61"/>
      <c r="I121" s="70">
        <v>1</v>
      </c>
      <c r="J121" s="63" t="s">
        <v>337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5"/>
      <c r="AN121" s="63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5"/>
      <c r="BR121" s="63" t="s">
        <v>340</v>
      </c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5"/>
      <c r="CV121" s="60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</row>
    <row r="122" spans="2:15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422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5"/>
      <c r="AN122" s="63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5"/>
      <c r="BR122" s="63" t="s">
        <v>341</v>
      </c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5"/>
      <c r="CV122" s="60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</row>
    <row r="123" spans="2:15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423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5"/>
      <c r="AN123" s="63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5"/>
      <c r="BR123" s="63"/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5"/>
      <c r="CV123" s="60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</row>
    <row r="124" spans="2:15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338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5"/>
      <c r="AN124" s="63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5"/>
      <c r="BR124" s="63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5"/>
      <c r="CV124" s="60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</row>
    <row r="125" spans="2:15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339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5"/>
      <c r="AN125" s="63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5"/>
      <c r="BR125" s="63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5"/>
      <c r="CV125" s="60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</row>
    <row r="126" spans="2:15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5"/>
      <c r="AN126" s="63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5"/>
      <c r="BR126" s="63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5"/>
      <c r="CV126" s="60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  <c r="EH126" s="64"/>
      <c r="EI126" s="64"/>
      <c r="EJ126" s="64"/>
      <c r="EK126" s="64"/>
      <c r="EL126" s="64"/>
      <c r="EM126" s="64"/>
      <c r="EN126" s="64"/>
      <c r="EO126" s="64"/>
      <c r="EP126" s="64"/>
      <c r="EQ126" s="64"/>
      <c r="ER126" s="64"/>
      <c r="ES126" s="64"/>
      <c r="ET126" s="64"/>
    </row>
    <row r="127" spans="2:150" x14ac:dyDescent="0.15">
      <c r="B127" s="58">
        <f>IF(G127&lt;&gt;"",SUBTOTAL(3,$G$5:G127),"")</f>
        <v>34</v>
      </c>
      <c r="C127" s="58"/>
      <c r="D127" s="58"/>
      <c r="E127" s="59" t="s">
        <v>140</v>
      </c>
      <c r="F127" s="59" t="s">
        <v>136</v>
      </c>
      <c r="G127" s="60" t="s">
        <v>213</v>
      </c>
      <c r="H127" s="61">
        <v>44038</v>
      </c>
      <c r="I127" s="62">
        <v>1</v>
      </c>
      <c r="J127" s="63" t="s">
        <v>342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5"/>
      <c r="AN127" s="63" t="s">
        <v>210</v>
      </c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5"/>
      <c r="BR127" s="63" t="s">
        <v>302</v>
      </c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5"/>
      <c r="CV127" s="67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  <c r="EH127" s="64"/>
      <c r="EI127" s="64"/>
      <c r="EJ127" s="64"/>
      <c r="EK127" s="64"/>
      <c r="EL127" s="64"/>
      <c r="EM127" s="64"/>
      <c r="EN127" s="64"/>
      <c r="EO127" s="64"/>
      <c r="EP127" s="64"/>
      <c r="EQ127" s="64"/>
      <c r="ER127" s="64"/>
      <c r="ES127" s="64"/>
      <c r="ET127" s="64"/>
    </row>
    <row r="128" spans="2:150" x14ac:dyDescent="0.15">
      <c r="B128" s="58" t="str">
        <f>IF(G128&lt;&gt;"",SUBTOTAL(3,$G$5:G128),"")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343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5"/>
      <c r="AN128" s="63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5"/>
      <c r="BR128" s="63" t="s">
        <v>344</v>
      </c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5"/>
      <c r="CV128" s="67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  <c r="EH128" s="64"/>
      <c r="EI128" s="64"/>
      <c r="EJ128" s="64"/>
      <c r="EK128" s="64"/>
      <c r="EL128" s="64"/>
      <c r="EM128" s="64"/>
      <c r="EN128" s="64"/>
      <c r="EO128" s="64"/>
      <c r="EP128" s="64"/>
      <c r="EQ128" s="64"/>
      <c r="ER128" s="64"/>
      <c r="ES128" s="64"/>
      <c r="ET128" s="64"/>
    </row>
    <row r="129" spans="2:15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/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5"/>
      <c r="AN129" s="63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5"/>
      <c r="BR129" s="63" t="s">
        <v>345</v>
      </c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5"/>
      <c r="CV129" s="67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  <c r="EH129" s="64"/>
      <c r="EI129" s="64"/>
      <c r="EJ129" s="64"/>
      <c r="EK129" s="64"/>
      <c r="EL129" s="64"/>
      <c r="EM129" s="64"/>
      <c r="EN129" s="64"/>
      <c r="EO129" s="64"/>
      <c r="EP129" s="64"/>
      <c r="EQ129" s="64"/>
      <c r="ER129" s="64"/>
      <c r="ES129" s="64"/>
      <c r="ET129" s="64"/>
    </row>
    <row r="130" spans="2:15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5"/>
      <c r="AN130" s="63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5"/>
      <c r="BR130" s="63" t="s">
        <v>346</v>
      </c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5"/>
      <c r="CV130" s="67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  <c r="EH130" s="64"/>
      <c r="EI130" s="64"/>
      <c r="EJ130" s="64"/>
      <c r="EK130" s="64"/>
      <c r="EL130" s="64"/>
      <c r="EM130" s="64"/>
      <c r="EN130" s="64"/>
      <c r="EO130" s="64"/>
      <c r="EP130" s="64"/>
      <c r="EQ130" s="64"/>
      <c r="ER130" s="64"/>
      <c r="ES130" s="64"/>
      <c r="ET130" s="64"/>
    </row>
    <row r="131" spans="2:15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5"/>
      <c r="AN131" s="63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5"/>
      <c r="BR131" s="63" t="s">
        <v>347</v>
      </c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5"/>
      <c r="CV131" s="67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  <c r="EH131" s="64"/>
      <c r="EI131" s="64"/>
      <c r="EJ131" s="64"/>
      <c r="EK131" s="64"/>
      <c r="EL131" s="64"/>
      <c r="EM131" s="64"/>
      <c r="EN131" s="64"/>
      <c r="EO131" s="64"/>
      <c r="EP131" s="64"/>
      <c r="EQ131" s="64"/>
      <c r="ER131" s="64"/>
      <c r="ES131" s="64"/>
      <c r="ET131" s="64"/>
    </row>
    <row r="132" spans="2:15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5"/>
      <c r="AN132" s="63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5"/>
      <c r="BR132" s="63" t="s">
        <v>348</v>
      </c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5"/>
      <c r="CV132" s="67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  <c r="EH132" s="64"/>
      <c r="EI132" s="64"/>
      <c r="EJ132" s="64"/>
      <c r="EK132" s="64"/>
      <c r="EL132" s="64"/>
      <c r="EM132" s="64"/>
      <c r="EN132" s="64"/>
      <c r="EO132" s="64"/>
      <c r="EP132" s="64"/>
      <c r="EQ132" s="64"/>
      <c r="ER132" s="64"/>
      <c r="ES132" s="64"/>
      <c r="ET132" s="64"/>
    </row>
    <row r="133" spans="2:15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5"/>
      <c r="AN133" s="63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5"/>
      <c r="BR133" s="63" t="s">
        <v>349</v>
      </c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5"/>
      <c r="CV133" s="67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  <c r="EH133" s="64"/>
      <c r="EI133" s="64"/>
      <c r="EJ133" s="64"/>
      <c r="EK133" s="64"/>
      <c r="EL133" s="64"/>
      <c r="EM133" s="64"/>
      <c r="EN133" s="64"/>
      <c r="EO133" s="64"/>
      <c r="EP133" s="64"/>
      <c r="EQ133" s="64"/>
      <c r="ER133" s="64"/>
      <c r="ES133" s="64"/>
      <c r="ET133" s="64"/>
    </row>
    <row r="134" spans="2:150" x14ac:dyDescent="0.15">
      <c r="B134" s="58">
        <f>IF(G134&lt;&gt;"",SUBTOTAL(3,$G$5:G134),"")</f>
        <v>35</v>
      </c>
      <c r="C134" s="58"/>
      <c r="D134" s="58"/>
      <c r="E134" s="59" t="s">
        <v>140</v>
      </c>
      <c r="F134" s="59" t="s">
        <v>136</v>
      </c>
      <c r="G134" s="60" t="s">
        <v>161</v>
      </c>
      <c r="H134" s="61">
        <v>43960</v>
      </c>
      <c r="I134" s="62">
        <v>1</v>
      </c>
      <c r="J134" s="63" t="s">
        <v>350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5"/>
      <c r="AN134" s="63" t="s">
        <v>210</v>
      </c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5"/>
      <c r="BR134" s="63" t="s">
        <v>302</v>
      </c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5"/>
      <c r="CV134" s="67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  <c r="EH134" s="64"/>
      <c r="EI134" s="64"/>
      <c r="EJ134" s="64"/>
      <c r="EK134" s="64"/>
      <c r="EL134" s="64"/>
      <c r="EM134" s="64"/>
      <c r="EN134" s="64"/>
      <c r="EO134" s="64"/>
      <c r="EP134" s="64"/>
      <c r="EQ134" s="64"/>
      <c r="ER134" s="64"/>
      <c r="ES134" s="64"/>
      <c r="ET134" s="64"/>
    </row>
    <row r="135" spans="2:15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351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5"/>
      <c r="AN135" s="63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5"/>
      <c r="BR135" s="63" t="s">
        <v>352</v>
      </c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5"/>
      <c r="CV135" s="67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  <c r="EH135" s="64"/>
      <c r="EI135" s="64"/>
      <c r="EJ135" s="64"/>
      <c r="EK135" s="64"/>
      <c r="EL135" s="64"/>
      <c r="EM135" s="64"/>
      <c r="EN135" s="64"/>
      <c r="EO135" s="64"/>
      <c r="EP135" s="64"/>
      <c r="EQ135" s="64"/>
      <c r="ER135" s="64"/>
      <c r="ES135" s="64"/>
      <c r="ET135" s="64"/>
    </row>
    <row r="136" spans="2:15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5"/>
      <c r="AN136" s="63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5"/>
      <c r="BR136" s="63" t="s">
        <v>353</v>
      </c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5"/>
      <c r="CV136" s="67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  <c r="EO136" s="64"/>
      <c r="EP136" s="64"/>
      <c r="EQ136" s="64"/>
      <c r="ER136" s="64"/>
      <c r="ES136" s="64"/>
      <c r="ET136" s="64"/>
    </row>
    <row r="137" spans="2:150" x14ac:dyDescent="0.15">
      <c r="B137" s="58" t="str">
        <f>IF(G137&lt;&gt;"",SUBTOTAL(3,$G$5:G137),"")</f>
        <v/>
      </c>
      <c r="C137" s="58"/>
      <c r="D137" s="58"/>
      <c r="E137" s="59"/>
      <c r="F137" s="59"/>
      <c r="G137" s="60"/>
      <c r="H137" s="61"/>
      <c r="I137" s="70">
        <v>1</v>
      </c>
      <c r="J137" s="63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5"/>
      <c r="AN137" s="63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5"/>
      <c r="BR137" s="63"/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5"/>
      <c r="CV137" s="67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  <c r="EO137" s="64"/>
      <c r="EP137" s="64"/>
      <c r="EQ137" s="64"/>
      <c r="ER137" s="64"/>
      <c r="ES137" s="64"/>
      <c r="ET137" s="64"/>
    </row>
    <row r="138" spans="2:150" ht="15.75" x14ac:dyDescent="0.15">
      <c r="B138" s="58">
        <f>IF(G138&lt;&gt;"",SUBTOTAL(3,$G$5:G138),"")</f>
        <v>36</v>
      </c>
      <c r="C138" s="58"/>
      <c r="D138" s="58"/>
      <c r="E138" s="59" t="s">
        <v>140</v>
      </c>
      <c r="F138" s="59" t="s">
        <v>136</v>
      </c>
      <c r="G138" s="60" t="s">
        <v>162</v>
      </c>
      <c r="H138" s="61">
        <v>44036</v>
      </c>
      <c r="I138" s="62">
        <v>0.3</v>
      </c>
      <c r="J138" s="63" t="s">
        <v>354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5"/>
      <c r="AN138" s="63" t="s">
        <v>424</v>
      </c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 t="s">
        <v>302</v>
      </c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5"/>
      <c r="CV138" s="60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  <c r="EO138" s="64"/>
      <c r="EP138" s="64"/>
      <c r="EQ138" s="64"/>
      <c r="ER138" s="64"/>
      <c r="ES138" s="64"/>
      <c r="ET138" s="64"/>
    </row>
    <row r="139" spans="2:15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425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5"/>
      <c r="AN139" s="63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 t="s">
        <v>356</v>
      </c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5"/>
      <c r="CV139" s="60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</row>
    <row r="140" spans="2:15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426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5"/>
      <c r="AN140" s="63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5"/>
      <c r="CV140" s="60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</row>
    <row r="141" spans="2:15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427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5"/>
      <c r="AN141" s="63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5"/>
      <c r="CV141" s="60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</row>
    <row r="142" spans="2:15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5"/>
      <c r="AN142" s="63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5"/>
      <c r="CV142" s="60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</row>
    <row r="143" spans="2:15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5"/>
      <c r="AN143" s="63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5"/>
      <c r="CV143" s="60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</row>
    <row r="144" spans="2:150" x14ac:dyDescent="0.15">
      <c r="B144" s="58">
        <f>IF(G144&lt;&gt;"",SUBTOTAL(3,$G$5:G144),"")</f>
        <v>37</v>
      </c>
      <c r="C144" s="58"/>
      <c r="D144" s="58"/>
      <c r="E144" s="59" t="s">
        <v>140</v>
      </c>
      <c r="F144" s="59" t="s">
        <v>136</v>
      </c>
      <c r="G144" s="60" t="s">
        <v>163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5"/>
      <c r="AN144" s="63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5"/>
      <c r="BR144" s="63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5"/>
      <c r="CV144" s="60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</row>
    <row r="145" spans="2:150" x14ac:dyDescent="0.15">
      <c r="B145" s="58">
        <f>IF(G145&lt;&gt;"",SUBTOTAL(3,$G$5:G145),"")</f>
        <v>38</v>
      </c>
      <c r="C145" s="58"/>
      <c r="D145" s="58"/>
      <c r="E145" s="59" t="s">
        <v>140</v>
      </c>
      <c r="F145" s="59" t="s">
        <v>136</v>
      </c>
      <c r="G145" s="60" t="s">
        <v>164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5"/>
      <c r="AN145" s="63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5"/>
      <c r="BR145" s="63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5"/>
      <c r="CV145" s="60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</row>
    <row r="146" spans="2:150" x14ac:dyDescent="0.15">
      <c r="B146" s="58">
        <f>IF(G146&lt;&gt;"",SUBTOTAL(3,$G$5:G146),"")</f>
        <v>39</v>
      </c>
      <c r="C146" s="58"/>
      <c r="D146" s="58"/>
      <c r="E146" s="59" t="s">
        <v>140</v>
      </c>
      <c r="F146" s="59" t="s">
        <v>136</v>
      </c>
      <c r="G146" s="60" t="s">
        <v>165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5"/>
      <c r="AN146" s="63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5"/>
      <c r="BR146" s="63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5"/>
      <c r="CV146" s="60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</row>
    <row r="147" spans="2:150" x14ac:dyDescent="0.15">
      <c r="B147" s="58">
        <f>IF(G147&lt;&gt;"",SUBTOTAL(3,$G$5:G147),"")</f>
        <v>40</v>
      </c>
      <c r="C147" s="58"/>
      <c r="D147" s="58"/>
      <c r="E147" s="59" t="s">
        <v>140</v>
      </c>
      <c r="F147" s="59" t="s">
        <v>136</v>
      </c>
      <c r="G147" s="60" t="s">
        <v>166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5"/>
      <c r="AN147" s="63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5"/>
      <c r="BR147" s="63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5"/>
      <c r="CV147" s="60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</row>
    <row r="148" spans="2:150" x14ac:dyDescent="0.15">
      <c r="B148" s="58">
        <f>IF(G148&lt;&gt;"",SUBTOTAL(3,$G$5:G148),"")</f>
        <v>41</v>
      </c>
      <c r="C148" s="58"/>
      <c r="D148" s="58"/>
      <c r="E148" s="59" t="s">
        <v>140</v>
      </c>
      <c r="F148" s="59" t="s">
        <v>136</v>
      </c>
      <c r="G148" s="60" t="s">
        <v>167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5"/>
      <c r="AN148" s="63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5"/>
      <c r="BR148" s="63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5"/>
      <c r="CV148" s="60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</row>
    <row r="149" spans="2:150" x14ac:dyDescent="0.15">
      <c r="B149" s="58">
        <f>IF(G149&lt;&gt;"",SUBTOTAL(3,$G$5:G149),"")</f>
        <v>42</v>
      </c>
      <c r="C149" s="58"/>
      <c r="D149" s="58"/>
      <c r="E149" s="59" t="s">
        <v>140</v>
      </c>
      <c r="F149" s="59" t="s">
        <v>136</v>
      </c>
      <c r="G149" s="60" t="s">
        <v>168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5"/>
      <c r="AN149" s="63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5"/>
      <c r="BR149" s="63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5"/>
      <c r="CV149" s="60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</row>
    <row r="150" spans="2:150" x14ac:dyDescent="0.15">
      <c r="B150" s="58">
        <f>IF(G150&lt;&gt;"",SUBTOTAL(3,$G$5:G150),"")</f>
        <v>43</v>
      </c>
      <c r="C150" s="58"/>
      <c r="D150" s="58"/>
      <c r="E150" s="59" t="s">
        <v>140</v>
      </c>
      <c r="F150" s="59" t="s">
        <v>136</v>
      </c>
      <c r="G150" s="60" t="s">
        <v>169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5"/>
      <c r="AN150" s="63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5"/>
      <c r="BR150" s="63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5"/>
      <c r="CV150" s="60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</row>
    <row r="151" spans="2:150" x14ac:dyDescent="0.15">
      <c r="B151" s="58">
        <f>IF(G151&lt;&gt;"",SUBTOTAL(3,$G$5:G151),"")</f>
        <v>44</v>
      </c>
      <c r="C151" s="58"/>
      <c r="D151" s="58"/>
      <c r="E151" s="59" t="s">
        <v>140</v>
      </c>
      <c r="F151" s="59" t="s">
        <v>136</v>
      </c>
      <c r="G151" s="60" t="s">
        <v>170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5"/>
      <c r="AN151" s="63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5"/>
      <c r="BR151" s="63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5"/>
      <c r="CV151" s="60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</row>
    <row r="152" spans="2:150" x14ac:dyDescent="0.15">
      <c r="B152" s="58">
        <f>IF(G152&lt;&gt;"",SUBTOTAL(3,$G$5:G152),"")</f>
        <v>45</v>
      </c>
      <c r="C152" s="58"/>
      <c r="D152" s="58"/>
      <c r="E152" s="59" t="s">
        <v>140</v>
      </c>
      <c r="F152" s="59" t="s">
        <v>136</v>
      </c>
      <c r="G152" s="60" t="s">
        <v>171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5"/>
      <c r="AN152" s="63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5"/>
      <c r="BR152" s="63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5"/>
      <c r="CV152" s="60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</row>
    <row r="153" spans="2:150" x14ac:dyDescent="0.15">
      <c r="B153" s="58">
        <f>IF(G153&lt;&gt;"",SUBTOTAL(3,$G$5:G153),"")</f>
        <v>46</v>
      </c>
      <c r="C153" s="58"/>
      <c r="D153" s="58"/>
      <c r="E153" s="59" t="s">
        <v>140</v>
      </c>
      <c r="F153" s="59" t="s">
        <v>136</v>
      </c>
      <c r="G153" s="60" t="s">
        <v>172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5"/>
      <c r="AN153" s="63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5"/>
      <c r="BR153" s="63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5"/>
      <c r="CV153" s="60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</row>
    <row r="154" spans="2:150" x14ac:dyDescent="0.15">
      <c r="B154" s="58">
        <f>IF(G154&lt;&gt;"",SUBTOTAL(3,$G$5:G154),"")</f>
        <v>47</v>
      </c>
      <c r="C154" s="58"/>
      <c r="D154" s="58"/>
      <c r="E154" s="59" t="s">
        <v>140</v>
      </c>
      <c r="F154" s="59" t="s">
        <v>136</v>
      </c>
      <c r="G154" s="60" t="s">
        <v>173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5"/>
      <c r="AN154" s="63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5"/>
      <c r="BR154" s="63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5"/>
      <c r="CV154" s="60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</row>
    <row r="155" spans="2:150" x14ac:dyDescent="0.15">
      <c r="B155" s="58">
        <f>IF(G155&lt;&gt;"",SUBTOTAL(3,$G$5:G155),"")</f>
        <v>48</v>
      </c>
      <c r="C155" s="58"/>
      <c r="D155" s="58"/>
      <c r="E155" s="59" t="s">
        <v>140</v>
      </c>
      <c r="F155" s="59" t="s">
        <v>136</v>
      </c>
      <c r="G155" s="60" t="s">
        <v>174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5"/>
      <c r="AN155" s="63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5"/>
      <c r="BR155" s="63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5"/>
      <c r="CV155" s="60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</row>
    <row r="156" spans="2:150" x14ac:dyDescent="0.15">
      <c r="B156" s="58">
        <f>IF(G156&lt;&gt;"",SUBTOTAL(3,$G$5:G156),"")</f>
        <v>49</v>
      </c>
      <c r="C156" s="58"/>
      <c r="D156" s="58"/>
      <c r="E156" s="59" t="s">
        <v>140</v>
      </c>
      <c r="F156" s="59" t="s">
        <v>136</v>
      </c>
      <c r="G156" s="74" t="s">
        <v>175</v>
      </c>
      <c r="H156" s="61">
        <v>43982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5"/>
      <c r="AN156" s="63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5"/>
      <c r="BR156" s="63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5"/>
      <c r="CV156" s="60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</row>
    <row r="157" spans="2:150" s="46" customFormat="1" ht="13.5" customHeight="1" x14ac:dyDescent="0.15">
      <c r="B157" s="75">
        <f>IF(G157&lt;&gt;"",SUBTOTAL(3,$G$5:G157),"")</f>
        <v>50</v>
      </c>
      <c r="C157" s="75"/>
      <c r="D157" s="75"/>
      <c r="E157" s="76" t="s">
        <v>140</v>
      </c>
      <c r="F157" s="76" t="s">
        <v>136</v>
      </c>
      <c r="G157" s="74" t="s">
        <v>176</v>
      </c>
      <c r="H157" s="61">
        <v>43995</v>
      </c>
      <c r="I157" s="62"/>
      <c r="J157" s="77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78"/>
      <c r="AN157" s="77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78"/>
      <c r="BR157" s="77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78"/>
      <c r="CV157" s="74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</row>
    <row r="158" spans="2:150" s="46" customFormat="1" x14ac:dyDescent="0.15">
      <c r="B158" s="75">
        <f>IF(G158&lt;&gt;"",SUBTOTAL(3,$G$5:G158),"")</f>
        <v>51</v>
      </c>
      <c r="C158" s="75"/>
      <c r="D158" s="75"/>
      <c r="E158" s="76" t="s">
        <v>140</v>
      </c>
      <c r="F158" s="76" t="s">
        <v>136</v>
      </c>
      <c r="G158" s="74" t="s">
        <v>177</v>
      </c>
      <c r="H158" s="61">
        <v>43955</v>
      </c>
      <c r="I158" s="62">
        <v>1</v>
      </c>
      <c r="J158" s="79" t="s">
        <v>357</v>
      </c>
      <c r="K158" s="80"/>
      <c r="L158" s="80"/>
      <c r="M158" s="80"/>
      <c r="N158" s="80"/>
      <c r="O158" s="80"/>
      <c r="P158" s="80"/>
      <c r="Q158" s="80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J158" s="80"/>
      <c r="AK158" s="80"/>
      <c r="AL158" s="80"/>
      <c r="AM158" s="81"/>
      <c r="AN158" s="77" t="s">
        <v>210</v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78"/>
      <c r="BR158" s="63"/>
      <c r="BS158" s="64"/>
      <c r="BT158" s="64"/>
      <c r="BU158" s="64"/>
      <c r="BV158" s="64"/>
      <c r="BW158" s="64"/>
      <c r="BX158" s="64"/>
      <c r="BY158" s="64"/>
      <c r="BZ158" s="64"/>
      <c r="CA158" s="64"/>
      <c r="CB158" s="64"/>
      <c r="CC158" s="64"/>
      <c r="CD158" s="64"/>
      <c r="CE158" s="64"/>
      <c r="CF158" s="64"/>
      <c r="CG158" s="64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5"/>
      <c r="CV158" s="74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</row>
    <row r="159" spans="2:150" s="46" customFormat="1" x14ac:dyDescent="0.15">
      <c r="B159" s="75" t="str">
        <f>IF(G159&lt;&gt;"",SUBTOTAL(3,$G$5:G159),"")</f>
        <v/>
      </c>
      <c r="C159" s="75"/>
      <c r="D159" s="75"/>
      <c r="E159" s="76"/>
      <c r="F159" s="76"/>
      <c r="G159" s="74"/>
      <c r="H159" s="61"/>
      <c r="I159" s="70">
        <v>1</v>
      </c>
      <c r="J159" s="79" t="s">
        <v>282</v>
      </c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1"/>
      <c r="AN159" s="77" t="s">
        <v>210</v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78"/>
      <c r="BR159" s="63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5"/>
      <c r="CV159" s="74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</row>
    <row r="160" spans="2:150" s="46" customFormat="1" x14ac:dyDescent="0.15">
      <c r="B160" s="75" t="str">
        <f>IF(G160&lt;&gt;"",SUBTOTAL(3,$G$5:G160),"")</f>
        <v/>
      </c>
      <c r="C160" s="75"/>
      <c r="D160" s="75"/>
      <c r="E160" s="76"/>
      <c r="F160" s="76"/>
      <c r="G160" s="74"/>
      <c r="H160" s="61"/>
      <c r="I160" s="70">
        <v>1</v>
      </c>
      <c r="J160" s="79" t="s">
        <v>358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1"/>
      <c r="AN160" s="77" t="s">
        <v>210</v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78"/>
      <c r="BR160" s="63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5"/>
      <c r="CV160" s="74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</row>
    <row r="161" spans="2:15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359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1"/>
      <c r="AN161" s="77" t="s">
        <v>210</v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78"/>
      <c r="BR161" s="63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5"/>
      <c r="CV161" s="74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3"/>
      <c r="EM161" s="43"/>
      <c r="EN161" s="43"/>
      <c r="EO161" s="43"/>
      <c r="EP161" s="43"/>
      <c r="EQ161" s="43"/>
      <c r="ER161" s="43"/>
      <c r="ES161" s="43"/>
      <c r="ET161" s="43"/>
    </row>
    <row r="162" spans="2:15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286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1"/>
      <c r="AN162" s="77" t="s">
        <v>210</v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78"/>
      <c r="BR162" s="63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5"/>
      <c r="CV162" s="74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3"/>
      <c r="EM162" s="43"/>
      <c r="EN162" s="43"/>
      <c r="EO162" s="43"/>
      <c r="EP162" s="43"/>
      <c r="EQ162" s="43"/>
      <c r="ER162" s="43"/>
      <c r="ES162" s="43"/>
      <c r="ET162" s="43"/>
    </row>
    <row r="163" spans="2:15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360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1"/>
      <c r="AN163" s="77" t="s">
        <v>210</v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78"/>
      <c r="BR163" s="63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5"/>
      <c r="CV163" s="74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</row>
    <row r="164" spans="2:15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361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1"/>
      <c r="AN164" s="77" t="s">
        <v>210</v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78"/>
      <c r="BR164" s="63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5"/>
      <c r="CV164" s="74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</row>
    <row r="165" spans="2:15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362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1"/>
      <c r="AN165" s="77" t="s">
        <v>210</v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78"/>
      <c r="BR165" s="63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5"/>
      <c r="CV165" s="74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</row>
    <row r="166" spans="2:15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363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1"/>
      <c r="AN166" s="77" t="s">
        <v>210</v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78"/>
      <c r="BR166" s="63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5"/>
      <c r="CV166" s="74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3"/>
      <c r="EM166" s="43"/>
      <c r="EN166" s="43"/>
      <c r="EO166" s="43"/>
      <c r="EP166" s="43"/>
      <c r="EQ166" s="43"/>
      <c r="ER166" s="43"/>
      <c r="ES166" s="43"/>
      <c r="ET166" s="43"/>
    </row>
    <row r="167" spans="2:15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364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1"/>
      <c r="AN167" s="77" t="s">
        <v>210</v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78"/>
      <c r="BR167" s="63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5"/>
      <c r="CV167" s="74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3"/>
      <c r="EM167" s="43"/>
      <c r="EN167" s="43"/>
      <c r="EO167" s="43"/>
      <c r="EP167" s="43"/>
      <c r="EQ167" s="43"/>
      <c r="ER167" s="43"/>
      <c r="ES167" s="43"/>
      <c r="ET167" s="43"/>
    </row>
    <row r="168" spans="2:15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292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1"/>
      <c r="AN168" s="77" t="s">
        <v>210</v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78"/>
      <c r="BR168" s="63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5"/>
      <c r="CV168" s="74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43"/>
      <c r="EM168" s="43"/>
      <c r="EN168" s="43"/>
      <c r="EO168" s="43"/>
      <c r="EP168" s="43"/>
      <c r="EQ168" s="43"/>
      <c r="ER168" s="43"/>
      <c r="ES168" s="43"/>
      <c r="ET168" s="43"/>
    </row>
    <row r="169" spans="2:15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365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1"/>
      <c r="AN169" s="77" t="s">
        <v>210</v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78"/>
      <c r="BR169" s="63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5"/>
      <c r="CV169" s="74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</row>
    <row r="170" spans="2:15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/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1"/>
      <c r="AN170" s="77" t="s">
        <v>210</v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78"/>
      <c r="BR170" s="63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5"/>
      <c r="CV170" s="74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</row>
    <row r="171" spans="2:150" s="46" customFormat="1" ht="13.5" customHeight="1" x14ac:dyDescent="0.15">
      <c r="B171" s="75">
        <f>IF(G171&lt;&gt;"",SUBTOTAL(3,$G$5:G171),"")</f>
        <v>52</v>
      </c>
      <c r="C171" s="75"/>
      <c r="D171" s="75"/>
      <c r="E171" s="76" t="s">
        <v>140</v>
      </c>
      <c r="F171" s="76" t="s">
        <v>136</v>
      </c>
      <c r="G171" s="74" t="s">
        <v>178</v>
      </c>
      <c r="H171" s="61">
        <v>43967</v>
      </c>
      <c r="I171" s="62"/>
      <c r="J171" s="77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78"/>
      <c r="AN171" s="77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78"/>
      <c r="BR171" s="77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78"/>
      <c r="CV171" s="74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  <c r="EA171" s="43"/>
      <c r="EB171" s="43"/>
      <c r="EC171" s="43"/>
      <c r="ED171" s="43"/>
      <c r="EE171" s="43"/>
      <c r="EF171" s="43"/>
      <c r="EG171" s="43"/>
      <c r="EH171" s="43"/>
      <c r="EI171" s="43"/>
      <c r="EJ171" s="43"/>
      <c r="EK171" s="43"/>
      <c r="EL171" s="43"/>
      <c r="EM171" s="43"/>
      <c r="EN171" s="43"/>
      <c r="EO171" s="43"/>
      <c r="EP171" s="43"/>
      <c r="EQ171" s="43"/>
      <c r="ER171" s="43"/>
      <c r="ES171" s="43"/>
      <c r="ET171" s="43"/>
    </row>
    <row r="172" spans="2:150" s="46" customFormat="1" ht="13.5" customHeight="1" x14ac:dyDescent="0.15">
      <c r="B172" s="75">
        <f>IF(G172&lt;&gt;"",SUBTOTAL(3,$G$5:G172),"")</f>
        <v>53</v>
      </c>
      <c r="C172" s="75"/>
      <c r="D172" s="75"/>
      <c r="E172" s="76" t="s">
        <v>140</v>
      </c>
      <c r="F172" s="76" t="s">
        <v>136</v>
      </c>
      <c r="G172" s="74" t="s">
        <v>179</v>
      </c>
      <c r="H172" s="61">
        <v>43870</v>
      </c>
      <c r="I172" s="62"/>
      <c r="J172" s="77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78"/>
      <c r="AN172" s="77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78"/>
      <c r="BR172" s="77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78"/>
      <c r="CV172" s="74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43"/>
      <c r="EM172" s="43"/>
      <c r="EN172" s="43"/>
      <c r="EO172" s="43"/>
      <c r="EP172" s="43"/>
      <c r="EQ172" s="43"/>
      <c r="ER172" s="43"/>
      <c r="ES172" s="43"/>
      <c r="ET172" s="43"/>
    </row>
    <row r="173" spans="2:150" s="46" customFormat="1" x14ac:dyDescent="0.15">
      <c r="B173" s="75">
        <f>IF(G173&lt;&gt;"",SUBTOTAL(3,$G$5:G173),"")</f>
        <v>54</v>
      </c>
      <c r="C173" s="75"/>
      <c r="D173" s="75"/>
      <c r="E173" s="76" t="s">
        <v>140</v>
      </c>
      <c r="F173" s="76" t="s">
        <v>136</v>
      </c>
      <c r="G173" s="74" t="s">
        <v>180</v>
      </c>
      <c r="H173" s="61">
        <v>43869</v>
      </c>
      <c r="I173" s="62"/>
      <c r="J173" s="77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78"/>
      <c r="AN173" s="77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78"/>
      <c r="BR173" s="77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78"/>
      <c r="CV173" s="74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43"/>
      <c r="EM173" s="43"/>
      <c r="EN173" s="43"/>
      <c r="EO173" s="43"/>
      <c r="EP173" s="43"/>
      <c r="EQ173" s="43"/>
      <c r="ER173" s="43"/>
      <c r="ES173" s="43"/>
      <c r="ET173" s="43"/>
    </row>
    <row r="174" spans="2:150" s="46" customFormat="1" x14ac:dyDescent="0.15">
      <c r="B174" s="75">
        <f>IF(G174&lt;&gt;"",SUBTOTAL(3,$G$5:G174),"")</f>
        <v>55</v>
      </c>
      <c r="C174" s="75"/>
      <c r="D174" s="75"/>
      <c r="E174" s="76" t="s">
        <v>140</v>
      </c>
      <c r="F174" s="76" t="s">
        <v>136</v>
      </c>
      <c r="G174" s="74" t="s">
        <v>90</v>
      </c>
      <c r="H174" s="61">
        <v>43961</v>
      </c>
      <c r="I174" s="62">
        <v>1</v>
      </c>
      <c r="J174" s="79" t="s">
        <v>366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1"/>
      <c r="AN174" s="77" t="s">
        <v>211</v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78"/>
      <c r="BR174" s="63"/>
      <c r="BS174" s="64"/>
      <c r="BT174" s="64"/>
      <c r="BU174" s="64"/>
      <c r="BV174" s="64"/>
      <c r="BW174" s="64"/>
      <c r="BX174" s="64"/>
      <c r="BY174" s="64"/>
      <c r="BZ174" s="64"/>
      <c r="CA174" s="64"/>
      <c r="CB174" s="64"/>
      <c r="CC174" s="64"/>
      <c r="CD174" s="64"/>
      <c r="CE174" s="64"/>
      <c r="CF174" s="64"/>
      <c r="CG174" s="64"/>
      <c r="CH174" s="64"/>
      <c r="CI174" s="64"/>
      <c r="CJ174" s="64"/>
      <c r="CK174" s="64"/>
      <c r="CL174" s="64"/>
      <c r="CM174" s="64"/>
      <c r="CN174" s="64"/>
      <c r="CO174" s="64"/>
      <c r="CP174" s="64"/>
      <c r="CQ174" s="64"/>
      <c r="CR174" s="64"/>
      <c r="CS174" s="64"/>
      <c r="CT174" s="64"/>
      <c r="CU174" s="65"/>
      <c r="CV174" s="74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43"/>
      <c r="EM174" s="43"/>
      <c r="EN174" s="43"/>
      <c r="EO174" s="43"/>
      <c r="EP174" s="43"/>
      <c r="EQ174" s="43"/>
      <c r="ER174" s="43"/>
      <c r="ES174" s="43"/>
      <c r="ET174" s="43"/>
    </row>
    <row r="175" spans="2:15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 t="s">
        <v>282</v>
      </c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1"/>
      <c r="AN175" s="77" t="s">
        <v>211</v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78"/>
      <c r="BR175" s="63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5"/>
      <c r="CV175" s="74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43"/>
      <c r="EM175" s="43"/>
      <c r="EN175" s="43"/>
      <c r="EO175" s="43"/>
      <c r="EP175" s="43"/>
      <c r="EQ175" s="43"/>
      <c r="ER175" s="43"/>
      <c r="ES175" s="43"/>
      <c r="ET175" s="43"/>
    </row>
    <row r="176" spans="2:150" s="46" customFormat="1" x14ac:dyDescent="0.15">
      <c r="B176" s="75" t="str">
        <f>IF(G176&lt;&gt;"",SUBTOTAL(3,$G$5:G176),"")</f>
        <v/>
      </c>
      <c r="C176" s="75"/>
      <c r="D176" s="75"/>
      <c r="E176" s="76"/>
      <c r="F176" s="76"/>
      <c r="G176" s="74"/>
      <c r="H176" s="61"/>
      <c r="I176" s="70">
        <v>1</v>
      </c>
      <c r="J176" s="79" t="s">
        <v>367</v>
      </c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1"/>
      <c r="AN176" s="77" t="s">
        <v>211</v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78"/>
      <c r="BR176" s="63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5"/>
      <c r="CV176" s="74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43"/>
      <c r="EM176" s="43"/>
      <c r="EN176" s="43"/>
      <c r="EO176" s="43"/>
      <c r="EP176" s="43"/>
      <c r="EQ176" s="43"/>
      <c r="ER176" s="43"/>
      <c r="ES176" s="43"/>
      <c r="ET176" s="43"/>
    </row>
    <row r="177" spans="2:150" s="46" customFormat="1" x14ac:dyDescent="0.15">
      <c r="B177" s="75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9" t="s">
        <v>368</v>
      </c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1"/>
      <c r="AN177" s="77" t="s">
        <v>211</v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78"/>
      <c r="BR177" s="63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5"/>
      <c r="CV177" s="74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43"/>
      <c r="EM177" s="43"/>
      <c r="EN177" s="43"/>
      <c r="EO177" s="43"/>
      <c r="EP177" s="43"/>
      <c r="EQ177" s="43"/>
      <c r="ER177" s="43"/>
      <c r="ES177" s="43"/>
      <c r="ET177" s="43"/>
    </row>
    <row r="178" spans="2:150" s="46" customFormat="1" x14ac:dyDescent="0.15">
      <c r="B178" s="75" t="str">
        <f>IF(G178&lt;&gt;"",SUBTOTAL(3,$G$5:G178),"")</f>
        <v/>
      </c>
      <c r="C178" s="75"/>
      <c r="D178" s="75"/>
      <c r="E178" s="76"/>
      <c r="F178" s="76"/>
      <c r="G178" s="74"/>
      <c r="H178" s="61"/>
      <c r="I178" s="70">
        <v>1</v>
      </c>
      <c r="J178" s="79" t="s">
        <v>286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1"/>
      <c r="AN178" s="77" t="s">
        <v>211</v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78"/>
      <c r="BR178" s="63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5"/>
      <c r="CV178" s="74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</row>
    <row r="179" spans="2:15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360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1"/>
      <c r="AN179" s="77" t="s">
        <v>211</v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78"/>
      <c r="BR179" s="63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5"/>
      <c r="CV179" s="74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43"/>
      <c r="EM179" s="43"/>
      <c r="EN179" s="43"/>
      <c r="EO179" s="43"/>
      <c r="EP179" s="43"/>
      <c r="EQ179" s="43"/>
      <c r="ER179" s="43"/>
      <c r="ES179" s="43"/>
      <c r="ET179" s="43"/>
    </row>
    <row r="180" spans="2:15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 t="s">
        <v>369</v>
      </c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1"/>
      <c r="AN180" s="77" t="s">
        <v>211</v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78"/>
      <c r="BR180" s="63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5"/>
      <c r="CV180" s="74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43"/>
      <c r="EM180" s="43"/>
      <c r="EN180" s="43"/>
      <c r="EO180" s="43"/>
      <c r="EP180" s="43"/>
      <c r="EQ180" s="43"/>
      <c r="ER180" s="43"/>
      <c r="ES180" s="43"/>
      <c r="ET180" s="43"/>
    </row>
    <row r="181" spans="2:15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9" t="s">
        <v>370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1"/>
      <c r="AN181" s="77" t="s">
        <v>211</v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78"/>
      <c r="BR181" s="63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5"/>
      <c r="CV181" s="74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43"/>
      <c r="EM181" s="43"/>
      <c r="EN181" s="43"/>
      <c r="EO181" s="43"/>
      <c r="EP181" s="43"/>
      <c r="EQ181" s="43"/>
      <c r="ER181" s="43"/>
      <c r="ES181" s="43"/>
      <c r="ET181" s="43"/>
    </row>
    <row r="182" spans="2:15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363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1"/>
      <c r="AN182" s="77" t="s">
        <v>211</v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78"/>
      <c r="BR182" s="63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5"/>
      <c r="CV182" s="74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43"/>
      <c r="EM182" s="43"/>
      <c r="EN182" s="43"/>
      <c r="EO182" s="43"/>
      <c r="EP182" s="43"/>
      <c r="EQ182" s="43"/>
      <c r="ER182" s="43"/>
      <c r="ES182" s="43"/>
      <c r="ET182" s="43"/>
    </row>
    <row r="183" spans="2:15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292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1"/>
      <c r="AN183" s="77" t="s">
        <v>211</v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78"/>
      <c r="BR183" s="63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5"/>
      <c r="CV183" s="74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  <c r="EA183" s="43"/>
      <c r="EB183" s="43"/>
      <c r="EC183" s="43"/>
      <c r="ED183" s="43"/>
      <c r="EE183" s="43"/>
      <c r="EF183" s="43"/>
      <c r="EG183" s="43"/>
      <c r="EH183" s="43"/>
      <c r="EI183" s="43"/>
      <c r="EJ183" s="43"/>
      <c r="EK183" s="43"/>
      <c r="EL183" s="43"/>
      <c r="EM183" s="43"/>
      <c r="EN183" s="43"/>
      <c r="EO183" s="43"/>
      <c r="EP183" s="43"/>
      <c r="EQ183" s="43"/>
      <c r="ER183" s="43"/>
      <c r="ES183" s="43"/>
      <c r="ET183" s="43"/>
    </row>
    <row r="184" spans="2:15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/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1"/>
      <c r="AN184" s="77" t="s">
        <v>211</v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78"/>
      <c r="BR184" s="63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5"/>
      <c r="CV184" s="74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  <c r="EA184" s="43"/>
      <c r="EB184" s="43"/>
      <c r="EC184" s="43"/>
      <c r="ED184" s="43"/>
      <c r="EE184" s="43"/>
      <c r="EF184" s="43"/>
      <c r="EG184" s="43"/>
      <c r="EH184" s="43"/>
      <c r="EI184" s="43"/>
      <c r="EJ184" s="43"/>
      <c r="EK184" s="43"/>
      <c r="EL184" s="43"/>
      <c r="EM184" s="43"/>
      <c r="EN184" s="43"/>
      <c r="EO184" s="43"/>
      <c r="EP184" s="43"/>
      <c r="EQ184" s="43"/>
      <c r="ER184" s="43"/>
      <c r="ES184" s="43"/>
      <c r="ET184" s="43"/>
    </row>
    <row r="185" spans="2:150" s="46" customFormat="1" ht="13.5" customHeight="1" x14ac:dyDescent="0.15">
      <c r="B185" s="75">
        <f>IF(G185&lt;&gt;"",SUBTOTAL(3,$G$5:G185),"")</f>
        <v>56</v>
      </c>
      <c r="C185" s="75"/>
      <c r="D185" s="75"/>
      <c r="E185" s="76" t="s">
        <v>140</v>
      </c>
      <c r="F185" s="76" t="s">
        <v>136</v>
      </c>
      <c r="G185" s="74" t="s">
        <v>181</v>
      </c>
      <c r="H185" s="61">
        <v>43961</v>
      </c>
      <c r="I185" s="62"/>
      <c r="J185" s="77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78"/>
      <c r="AN185" s="77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78"/>
      <c r="BR185" s="77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78"/>
      <c r="CV185" s="82" t="s">
        <v>14</v>
      </c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  <c r="EA185" s="43"/>
      <c r="EB185" s="43"/>
      <c r="EC185" s="43"/>
      <c r="ED185" s="43"/>
      <c r="EE185" s="43"/>
      <c r="EF185" s="43"/>
      <c r="EG185" s="43"/>
      <c r="EH185" s="43"/>
      <c r="EI185" s="43"/>
      <c r="EJ185" s="43"/>
      <c r="EK185" s="43"/>
      <c r="EL185" s="43"/>
      <c r="EM185" s="43"/>
      <c r="EN185" s="43"/>
      <c r="EO185" s="43"/>
      <c r="EP185" s="43"/>
      <c r="EQ185" s="43"/>
      <c r="ER185" s="43"/>
      <c r="ES185" s="43"/>
      <c r="ET185" s="43"/>
    </row>
    <row r="186" spans="2:150" s="46" customFormat="1" ht="13.5" customHeight="1" x14ac:dyDescent="0.15">
      <c r="B186" s="75">
        <f>IF(G186&lt;&gt;"",SUBTOTAL(3,$G$5:G186),"")</f>
        <v>57</v>
      </c>
      <c r="C186" s="75"/>
      <c r="D186" s="75"/>
      <c r="E186" s="76" t="s">
        <v>140</v>
      </c>
      <c r="F186" s="76" t="s">
        <v>136</v>
      </c>
      <c r="G186" s="74" t="s">
        <v>182</v>
      </c>
      <c r="H186" s="61">
        <v>43995</v>
      </c>
      <c r="I186" s="62"/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78"/>
      <c r="AN186" s="77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78"/>
      <c r="BR186" s="77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78"/>
      <c r="CV186" s="74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  <c r="EA186" s="43"/>
      <c r="EB186" s="43"/>
      <c r="EC186" s="43"/>
      <c r="ED186" s="43"/>
      <c r="EE186" s="43"/>
      <c r="EF186" s="43"/>
      <c r="EG186" s="43"/>
      <c r="EH186" s="43"/>
      <c r="EI186" s="43"/>
      <c r="EJ186" s="43"/>
      <c r="EK186" s="43"/>
      <c r="EL186" s="43"/>
      <c r="EM186" s="43"/>
      <c r="EN186" s="43"/>
      <c r="EO186" s="43"/>
      <c r="EP186" s="43"/>
      <c r="EQ186" s="43"/>
      <c r="ER186" s="43"/>
      <c r="ES186" s="43"/>
      <c r="ET186" s="43"/>
    </row>
    <row r="187" spans="2:150" s="46" customFormat="1" ht="13.5" customHeight="1" x14ac:dyDescent="0.15">
      <c r="B187" s="75">
        <f>IF(G187&lt;&gt;"",SUBTOTAL(3,$G$5:G187),"")</f>
        <v>58</v>
      </c>
      <c r="C187" s="75"/>
      <c r="D187" s="75"/>
      <c r="E187" s="76" t="s">
        <v>140</v>
      </c>
      <c r="F187" s="76" t="s">
        <v>136</v>
      </c>
      <c r="G187" s="74" t="s">
        <v>183</v>
      </c>
      <c r="H187" s="61">
        <v>43961</v>
      </c>
      <c r="I187" s="62"/>
      <c r="J187" s="77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78"/>
      <c r="AN187" s="77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78"/>
      <c r="BR187" s="77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78"/>
      <c r="CV187" s="74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  <c r="EA187" s="43"/>
      <c r="EB187" s="43"/>
      <c r="EC187" s="43"/>
      <c r="ED187" s="43"/>
      <c r="EE187" s="43"/>
      <c r="EF187" s="43"/>
      <c r="EG187" s="43"/>
      <c r="EH187" s="43"/>
      <c r="EI187" s="43"/>
      <c r="EJ187" s="43"/>
      <c r="EK187" s="43"/>
      <c r="EL187" s="43"/>
      <c r="EM187" s="43"/>
      <c r="EN187" s="43"/>
      <c r="EO187" s="43"/>
      <c r="EP187" s="43"/>
      <c r="EQ187" s="43"/>
      <c r="ER187" s="43"/>
      <c r="ES187" s="43"/>
      <c r="ET187" s="43"/>
    </row>
    <row r="188" spans="2:150" s="46" customFormat="1" ht="13.5" customHeight="1" x14ac:dyDescent="0.15">
      <c r="B188" s="75">
        <f>IF(G188&lt;&gt;"",SUBTOTAL(3,$G$5:G188),"")</f>
        <v>59</v>
      </c>
      <c r="C188" s="75"/>
      <c r="D188" s="75"/>
      <c r="E188" s="76" t="s">
        <v>140</v>
      </c>
      <c r="F188" s="76" t="s">
        <v>136</v>
      </c>
      <c r="G188" s="74" t="s">
        <v>184</v>
      </c>
      <c r="H188" s="61">
        <v>43961</v>
      </c>
      <c r="I188" s="62"/>
      <c r="J188" s="77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78"/>
      <c r="AN188" s="77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78"/>
      <c r="BR188" s="77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78"/>
      <c r="CV188" s="74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  <c r="EA188" s="43"/>
      <c r="EB188" s="43"/>
      <c r="EC188" s="43"/>
      <c r="ED188" s="43"/>
      <c r="EE188" s="43"/>
      <c r="EF188" s="43"/>
      <c r="EG188" s="43"/>
      <c r="EH188" s="43"/>
      <c r="EI188" s="43"/>
      <c r="EJ188" s="43"/>
      <c r="EK188" s="43"/>
      <c r="EL188" s="43"/>
      <c r="EM188" s="43"/>
      <c r="EN188" s="43"/>
      <c r="EO188" s="43"/>
      <c r="EP188" s="43"/>
      <c r="EQ188" s="43"/>
      <c r="ER188" s="43"/>
      <c r="ES188" s="43"/>
      <c r="ET188" s="43"/>
    </row>
    <row r="189" spans="2:150" s="46" customFormat="1" ht="13.5" customHeight="1" x14ac:dyDescent="0.15">
      <c r="B189" s="75">
        <f>IF(G189&lt;&gt;"",SUBTOTAL(3,$G$5:G189),"")</f>
        <v>60</v>
      </c>
      <c r="C189" s="75"/>
      <c r="D189" s="75"/>
      <c r="E189" s="76" t="s">
        <v>140</v>
      </c>
      <c r="F189" s="76" t="s">
        <v>136</v>
      </c>
      <c r="G189" s="74" t="s">
        <v>185</v>
      </c>
      <c r="H189" s="61">
        <v>43995</v>
      </c>
      <c r="I189" s="62"/>
      <c r="J189" s="77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78"/>
      <c r="AN189" s="77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78"/>
      <c r="BR189" s="77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78"/>
      <c r="CV189" s="74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  <c r="EA189" s="43"/>
      <c r="EB189" s="43"/>
      <c r="EC189" s="43"/>
      <c r="ED189" s="43"/>
      <c r="EE189" s="43"/>
      <c r="EF189" s="43"/>
      <c r="EG189" s="43"/>
      <c r="EH189" s="43"/>
      <c r="EI189" s="43"/>
      <c r="EJ189" s="43"/>
      <c r="EK189" s="43"/>
      <c r="EL189" s="43"/>
      <c r="EM189" s="43"/>
      <c r="EN189" s="43"/>
      <c r="EO189" s="43"/>
      <c r="EP189" s="43"/>
      <c r="EQ189" s="43"/>
      <c r="ER189" s="43"/>
      <c r="ES189" s="43"/>
      <c r="ET189" s="43"/>
    </row>
    <row r="190" spans="2:150" s="46" customFormat="1" ht="13.5" customHeight="1" x14ac:dyDescent="0.15">
      <c r="B190" s="75">
        <f>IF(G190&lt;&gt;"",SUBTOTAL(3,$G$5:G190),"")</f>
        <v>61</v>
      </c>
      <c r="C190" s="75"/>
      <c r="D190" s="75"/>
      <c r="E190" s="76" t="s">
        <v>140</v>
      </c>
      <c r="F190" s="76" t="s">
        <v>136</v>
      </c>
      <c r="G190" s="74" t="s">
        <v>186</v>
      </c>
      <c r="H190" s="61">
        <v>44006</v>
      </c>
      <c r="I190" s="62"/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78"/>
      <c r="AN190" s="77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78"/>
      <c r="BR190" s="77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78"/>
      <c r="CV190" s="82" t="s">
        <v>14</v>
      </c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  <c r="EA190" s="43"/>
      <c r="EB190" s="43"/>
      <c r="EC190" s="43"/>
      <c r="ED190" s="43"/>
      <c r="EE190" s="43"/>
      <c r="EF190" s="43"/>
      <c r="EG190" s="43"/>
      <c r="EH190" s="43"/>
      <c r="EI190" s="43"/>
      <c r="EJ190" s="43"/>
      <c r="EK190" s="43"/>
      <c r="EL190" s="43"/>
      <c r="EM190" s="43"/>
      <c r="EN190" s="43"/>
      <c r="EO190" s="43"/>
      <c r="EP190" s="43"/>
      <c r="EQ190" s="43"/>
      <c r="ER190" s="43"/>
      <c r="ES190" s="43"/>
      <c r="ET190" s="43"/>
    </row>
    <row r="191" spans="2:150" s="46" customFormat="1" ht="13.5" customHeight="1" x14ac:dyDescent="0.15">
      <c r="B191" s="75">
        <f>IF(G191&lt;&gt;"",SUBTOTAL(3,$G$5:G191),"")</f>
        <v>62</v>
      </c>
      <c r="C191" s="75"/>
      <c r="D191" s="75"/>
      <c r="E191" s="76" t="s">
        <v>140</v>
      </c>
      <c r="F191" s="76" t="s">
        <v>136</v>
      </c>
      <c r="G191" s="74" t="s">
        <v>16</v>
      </c>
      <c r="H191" s="61">
        <v>43995</v>
      </c>
      <c r="I191" s="62"/>
      <c r="J191" s="77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78"/>
      <c r="AN191" s="77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78"/>
      <c r="BR191" s="77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78"/>
      <c r="CV191" s="82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  <c r="EA191" s="43"/>
      <c r="EB191" s="43"/>
      <c r="EC191" s="43"/>
      <c r="ED191" s="43"/>
      <c r="EE191" s="43"/>
      <c r="EF191" s="43"/>
      <c r="EG191" s="43"/>
      <c r="EH191" s="43"/>
      <c r="EI191" s="43"/>
      <c r="EJ191" s="43"/>
      <c r="EK191" s="43"/>
      <c r="EL191" s="43"/>
      <c r="EM191" s="43"/>
      <c r="EN191" s="43"/>
      <c r="EO191" s="43"/>
      <c r="EP191" s="43"/>
      <c r="EQ191" s="43"/>
      <c r="ER191" s="43"/>
      <c r="ES191" s="43"/>
      <c r="ET191" s="43"/>
    </row>
    <row r="192" spans="2:150" s="46" customFormat="1" ht="13.5" customHeight="1" x14ac:dyDescent="0.15">
      <c r="B192" s="75">
        <f>IF(G192&lt;&gt;"",SUBTOTAL(3,$G$5:G192),"")</f>
        <v>63</v>
      </c>
      <c r="C192" s="75"/>
      <c r="D192" s="75"/>
      <c r="E192" s="76" t="s">
        <v>140</v>
      </c>
      <c r="F192" s="76" t="s">
        <v>136</v>
      </c>
      <c r="G192" s="74" t="s">
        <v>187</v>
      </c>
      <c r="H192" s="61">
        <v>43871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78"/>
      <c r="AN192" s="77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78"/>
      <c r="BR192" s="77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78"/>
      <c r="CV192" s="82" t="s">
        <v>14</v>
      </c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  <c r="EA192" s="43"/>
      <c r="EB192" s="43"/>
      <c r="EC192" s="43"/>
      <c r="ED192" s="43"/>
      <c r="EE192" s="43"/>
      <c r="EF192" s="43"/>
      <c r="EG192" s="43"/>
      <c r="EH192" s="43"/>
      <c r="EI192" s="43"/>
      <c r="EJ192" s="43"/>
      <c r="EK192" s="43"/>
      <c r="EL192" s="43"/>
      <c r="EM192" s="43"/>
      <c r="EN192" s="43"/>
      <c r="EO192" s="43"/>
      <c r="EP192" s="43"/>
      <c r="EQ192" s="43"/>
      <c r="ER192" s="43"/>
      <c r="ES192" s="43"/>
      <c r="ET192" s="43"/>
    </row>
    <row r="193" spans="2:150" s="46" customFormat="1" ht="13.5" customHeight="1" x14ac:dyDescent="0.15">
      <c r="B193" s="75">
        <f>IF(G193&lt;&gt;"",SUBTOTAL(3,$G$5:G193),"")</f>
        <v>64</v>
      </c>
      <c r="C193" s="75"/>
      <c r="D193" s="75"/>
      <c r="E193" s="76" t="s">
        <v>140</v>
      </c>
      <c r="F193" s="76" t="s">
        <v>136</v>
      </c>
      <c r="G193" s="74" t="s">
        <v>188</v>
      </c>
      <c r="H193" s="61">
        <v>43936</v>
      </c>
      <c r="I193" s="62"/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78"/>
      <c r="AN193" s="77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78"/>
      <c r="BR193" s="77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78"/>
      <c r="CV193" s="74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  <c r="EA193" s="43"/>
      <c r="EB193" s="43"/>
      <c r="EC193" s="43"/>
      <c r="ED193" s="43"/>
      <c r="EE193" s="43"/>
      <c r="EF193" s="43"/>
      <c r="EG193" s="43"/>
      <c r="EH193" s="43"/>
      <c r="EI193" s="43"/>
      <c r="EJ193" s="43"/>
      <c r="EK193" s="43"/>
      <c r="EL193" s="43"/>
      <c r="EM193" s="43"/>
      <c r="EN193" s="43"/>
      <c r="EO193" s="43"/>
      <c r="EP193" s="43"/>
      <c r="EQ193" s="43"/>
      <c r="ER193" s="43"/>
      <c r="ES193" s="43"/>
      <c r="ET193" s="43"/>
    </row>
    <row r="194" spans="2:150" s="46" customFormat="1" ht="13.5" customHeight="1" x14ac:dyDescent="0.15">
      <c r="B194" s="75">
        <f>IF(G194&lt;&gt;"",SUBTOTAL(3,$G$5:G194),"")</f>
        <v>65</v>
      </c>
      <c r="C194" s="75"/>
      <c r="D194" s="75"/>
      <c r="E194" s="76" t="s">
        <v>140</v>
      </c>
      <c r="F194" s="76" t="s">
        <v>136</v>
      </c>
      <c r="G194" s="74" t="s">
        <v>189</v>
      </c>
      <c r="H194" s="61">
        <v>43935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78"/>
      <c r="AN194" s="77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78"/>
      <c r="BR194" s="77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78"/>
      <c r="CV194" s="74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  <c r="EA194" s="43"/>
      <c r="EB194" s="43"/>
      <c r="EC194" s="43"/>
      <c r="ED194" s="43"/>
      <c r="EE194" s="43"/>
      <c r="EF194" s="43"/>
      <c r="EG194" s="43"/>
      <c r="EH194" s="43"/>
      <c r="EI194" s="43"/>
      <c r="EJ194" s="43"/>
      <c r="EK194" s="43"/>
      <c r="EL194" s="43"/>
      <c r="EM194" s="43"/>
      <c r="EN194" s="43"/>
      <c r="EO194" s="43"/>
      <c r="EP194" s="43"/>
      <c r="EQ194" s="43"/>
      <c r="ER194" s="43"/>
      <c r="ES194" s="43"/>
      <c r="ET194" s="43"/>
    </row>
    <row r="195" spans="2:150" s="46" customFormat="1" ht="13.5" customHeight="1" x14ac:dyDescent="0.15">
      <c r="B195" s="75">
        <f>IF(G195&lt;&gt;"",SUBTOTAL(3,$G$5:G195),"")</f>
        <v>66</v>
      </c>
      <c r="C195" s="75"/>
      <c r="D195" s="75"/>
      <c r="E195" s="76" t="s">
        <v>140</v>
      </c>
      <c r="F195" s="76" t="s">
        <v>136</v>
      </c>
      <c r="G195" s="74" t="s">
        <v>190</v>
      </c>
      <c r="H195" s="61">
        <v>43919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78"/>
      <c r="AN195" s="77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78"/>
      <c r="BR195" s="77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78"/>
      <c r="CV195" s="74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  <c r="EA195" s="43"/>
      <c r="EB195" s="43"/>
      <c r="EC195" s="43"/>
      <c r="ED195" s="43"/>
      <c r="EE195" s="43"/>
      <c r="EF195" s="43"/>
      <c r="EG195" s="43"/>
      <c r="EH195" s="43"/>
      <c r="EI195" s="43"/>
      <c r="EJ195" s="43"/>
      <c r="EK195" s="43"/>
      <c r="EL195" s="43"/>
      <c r="EM195" s="43"/>
      <c r="EN195" s="43"/>
      <c r="EO195" s="43"/>
      <c r="EP195" s="43"/>
      <c r="EQ195" s="43"/>
      <c r="ER195" s="43"/>
      <c r="ES195" s="43"/>
      <c r="ET195" s="43"/>
    </row>
    <row r="196" spans="2:150" s="46" customFormat="1" ht="13.5" customHeight="1" x14ac:dyDescent="0.15">
      <c r="B196" s="75">
        <f>IF(G196&lt;&gt;"",SUBTOTAL(3,$G$5:G196),"")</f>
        <v>67</v>
      </c>
      <c r="C196" s="75"/>
      <c r="D196" s="75"/>
      <c r="E196" s="76" t="s">
        <v>140</v>
      </c>
      <c r="F196" s="76" t="s">
        <v>136</v>
      </c>
      <c r="G196" s="74" t="s">
        <v>191</v>
      </c>
      <c r="H196" s="61">
        <v>43995</v>
      </c>
      <c r="I196" s="62"/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78"/>
      <c r="AN196" s="77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78"/>
      <c r="BR196" s="77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78"/>
      <c r="CV196" s="74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  <c r="EA196" s="43"/>
      <c r="EB196" s="43"/>
      <c r="EC196" s="43"/>
      <c r="ED196" s="43"/>
      <c r="EE196" s="43"/>
      <c r="EF196" s="43"/>
      <c r="EG196" s="43"/>
      <c r="EH196" s="43"/>
      <c r="EI196" s="43"/>
      <c r="EJ196" s="43"/>
      <c r="EK196" s="43"/>
      <c r="EL196" s="43"/>
      <c r="EM196" s="43"/>
      <c r="EN196" s="43"/>
      <c r="EO196" s="43"/>
      <c r="EP196" s="43"/>
      <c r="EQ196" s="43"/>
      <c r="ER196" s="43"/>
      <c r="ES196" s="43"/>
      <c r="ET196" s="43"/>
    </row>
    <row r="197" spans="2:150" s="46" customFormat="1" ht="13.5" customHeight="1" x14ac:dyDescent="0.15">
      <c r="B197" s="75">
        <f>IF(G197&lt;&gt;"",SUBTOTAL(3,$G$5:G197),"")</f>
        <v>68</v>
      </c>
      <c r="C197" s="75"/>
      <c r="D197" s="75"/>
      <c r="E197" s="76" t="s">
        <v>140</v>
      </c>
      <c r="F197" s="76" t="s">
        <v>136</v>
      </c>
      <c r="G197" s="74" t="s">
        <v>192</v>
      </c>
      <c r="H197" s="61">
        <v>43975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78"/>
      <c r="AN197" s="77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78"/>
      <c r="BR197" s="77"/>
      <c r="BS197" s="43"/>
      <c r="BT197" s="43"/>
      <c r="BU197" s="43"/>
      <c r="BV197" s="43"/>
      <c r="BW197" s="43"/>
      <c r="BX197" s="43"/>
      <c r="BY197" s="43"/>
      <c r="BZ197" s="43"/>
      <c r="CA197" s="43"/>
      <c r="CB197" s="43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78"/>
      <c r="CV197" s="74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  <c r="EA197" s="43"/>
      <c r="EB197" s="43"/>
      <c r="EC197" s="43"/>
      <c r="ED197" s="43"/>
      <c r="EE197" s="43"/>
      <c r="EF197" s="43"/>
      <c r="EG197" s="43"/>
      <c r="EH197" s="43"/>
      <c r="EI197" s="43"/>
      <c r="EJ197" s="43"/>
      <c r="EK197" s="43"/>
      <c r="EL197" s="43"/>
      <c r="EM197" s="43"/>
      <c r="EN197" s="43"/>
      <c r="EO197" s="43"/>
      <c r="EP197" s="43"/>
      <c r="EQ197" s="43"/>
      <c r="ER197" s="43"/>
      <c r="ES197" s="43"/>
      <c r="ET197" s="43"/>
    </row>
    <row r="198" spans="2:150" s="46" customFormat="1" ht="13.5" customHeight="1" x14ac:dyDescent="0.15">
      <c r="B198" s="75">
        <f>IF(G198&lt;&gt;"",SUBTOTAL(3,$G$5:G198),"")</f>
        <v>69</v>
      </c>
      <c r="C198" s="75"/>
      <c r="D198" s="75"/>
      <c r="E198" s="76" t="s">
        <v>140</v>
      </c>
      <c r="F198" s="76" t="s">
        <v>136</v>
      </c>
      <c r="G198" s="74" t="s">
        <v>193</v>
      </c>
      <c r="H198" s="61">
        <v>43975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78"/>
      <c r="AN198" s="77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78"/>
      <c r="BR198" s="77"/>
      <c r="BS198" s="43"/>
      <c r="BT198" s="43"/>
      <c r="BU198" s="43"/>
      <c r="BV198" s="43"/>
      <c r="BW198" s="43"/>
      <c r="BX198" s="43"/>
      <c r="BY198" s="43"/>
      <c r="BZ198" s="43"/>
      <c r="CA198" s="43"/>
      <c r="CB198" s="43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78"/>
      <c r="CV198" s="74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  <c r="EA198" s="43"/>
      <c r="EB198" s="43"/>
      <c r="EC198" s="43"/>
      <c r="ED198" s="43"/>
      <c r="EE198" s="43"/>
      <c r="EF198" s="43"/>
      <c r="EG198" s="43"/>
      <c r="EH198" s="43"/>
      <c r="EI198" s="43"/>
      <c r="EJ198" s="43"/>
      <c r="EK198" s="43"/>
      <c r="EL198" s="43"/>
      <c r="EM198" s="43"/>
      <c r="EN198" s="43"/>
      <c r="EO198" s="43"/>
      <c r="EP198" s="43"/>
      <c r="EQ198" s="43"/>
      <c r="ER198" s="43"/>
      <c r="ES198" s="43"/>
      <c r="ET198" s="43"/>
    </row>
    <row r="199" spans="2:150" s="46" customFormat="1" ht="13.5" customHeight="1" x14ac:dyDescent="0.15">
      <c r="B199" s="75">
        <f>IF(G199&lt;&gt;"",SUBTOTAL(3,$G$5:G199),"")</f>
        <v>70</v>
      </c>
      <c r="C199" s="75"/>
      <c r="D199" s="75"/>
      <c r="E199" s="76" t="s">
        <v>140</v>
      </c>
      <c r="F199" s="76" t="s">
        <v>136</v>
      </c>
      <c r="G199" s="74" t="s">
        <v>194</v>
      </c>
      <c r="H199" s="61">
        <v>43975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78"/>
      <c r="AN199" s="77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78"/>
      <c r="BR199" s="77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78"/>
      <c r="CV199" s="74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  <c r="EA199" s="43"/>
      <c r="EB199" s="43"/>
      <c r="EC199" s="43"/>
      <c r="ED199" s="43"/>
      <c r="EE199" s="43"/>
      <c r="EF199" s="43"/>
      <c r="EG199" s="43"/>
      <c r="EH199" s="43"/>
      <c r="EI199" s="43"/>
      <c r="EJ199" s="43"/>
      <c r="EK199" s="43"/>
      <c r="EL199" s="43"/>
      <c r="EM199" s="43"/>
      <c r="EN199" s="43"/>
      <c r="EO199" s="43"/>
      <c r="EP199" s="43"/>
      <c r="EQ199" s="43"/>
      <c r="ER199" s="43"/>
      <c r="ES199" s="43"/>
      <c r="ET199" s="43"/>
    </row>
    <row r="200" spans="2:150" s="46" customFormat="1" ht="13.5" customHeight="1" x14ac:dyDescent="0.15">
      <c r="B200" s="75">
        <f>IF(G200&lt;&gt;"",SUBTOTAL(3,$G$5:G200),"")</f>
        <v>71</v>
      </c>
      <c r="C200" s="75"/>
      <c r="D200" s="75"/>
      <c r="E200" s="76" t="s">
        <v>140</v>
      </c>
      <c r="F200" s="76" t="s">
        <v>136</v>
      </c>
      <c r="G200" s="74" t="s">
        <v>195</v>
      </c>
      <c r="H200" s="61">
        <v>43975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78"/>
      <c r="AN200" s="77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78"/>
      <c r="BR200" s="77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78"/>
      <c r="CV200" s="74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  <c r="EA200" s="43"/>
      <c r="EB200" s="43"/>
      <c r="EC200" s="43"/>
      <c r="ED200" s="43"/>
      <c r="EE200" s="43"/>
      <c r="EF200" s="43"/>
      <c r="EG200" s="43"/>
      <c r="EH200" s="43"/>
      <c r="EI200" s="43"/>
      <c r="EJ200" s="43"/>
      <c r="EK200" s="43"/>
      <c r="EL200" s="43"/>
      <c r="EM200" s="43"/>
      <c r="EN200" s="43"/>
      <c r="EO200" s="43"/>
      <c r="EP200" s="43"/>
      <c r="EQ200" s="43"/>
      <c r="ER200" s="43"/>
      <c r="ES200" s="43"/>
      <c r="ET200" s="43"/>
    </row>
    <row r="201" spans="2:150" s="46" customFormat="1" ht="13.5" customHeight="1" x14ac:dyDescent="0.15">
      <c r="B201" s="75">
        <f>IF(G201&lt;&gt;"",SUBTOTAL(3,$G$5:G201),"")</f>
        <v>72</v>
      </c>
      <c r="C201" s="75"/>
      <c r="D201" s="75"/>
      <c r="E201" s="76" t="s">
        <v>140</v>
      </c>
      <c r="F201" s="76" t="s">
        <v>136</v>
      </c>
      <c r="G201" s="74" t="s">
        <v>196</v>
      </c>
      <c r="H201" s="61">
        <v>43977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78"/>
      <c r="AN201" s="77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78"/>
      <c r="BR201" s="77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78"/>
      <c r="CV201" s="74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  <c r="EA201" s="43"/>
      <c r="EB201" s="43"/>
      <c r="EC201" s="43"/>
      <c r="ED201" s="43"/>
      <c r="EE201" s="43"/>
      <c r="EF201" s="43"/>
      <c r="EG201" s="43"/>
      <c r="EH201" s="43"/>
      <c r="EI201" s="43"/>
      <c r="EJ201" s="43"/>
      <c r="EK201" s="43"/>
      <c r="EL201" s="43"/>
      <c r="EM201" s="43"/>
      <c r="EN201" s="43"/>
      <c r="EO201" s="43"/>
      <c r="EP201" s="43"/>
      <c r="EQ201" s="43"/>
      <c r="ER201" s="43"/>
      <c r="ES201" s="43"/>
      <c r="ET201" s="43"/>
    </row>
    <row r="202" spans="2:150" s="46" customFormat="1" ht="13.5" customHeight="1" x14ac:dyDescent="0.15">
      <c r="B202" s="75">
        <f>IF(G202&lt;&gt;"",SUBTOTAL(3,$G$5:G202),"")</f>
        <v>73</v>
      </c>
      <c r="C202" s="75"/>
      <c r="D202" s="75"/>
      <c r="E202" s="76" t="s">
        <v>140</v>
      </c>
      <c r="F202" s="76" t="s">
        <v>136</v>
      </c>
      <c r="G202" s="74" t="s">
        <v>197</v>
      </c>
      <c r="H202" s="61">
        <v>43977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78"/>
      <c r="AN202" s="77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78"/>
      <c r="BR202" s="77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78"/>
      <c r="CV202" s="74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  <c r="EA202" s="43"/>
      <c r="EB202" s="43"/>
      <c r="EC202" s="43"/>
      <c r="ED202" s="43"/>
      <c r="EE202" s="43"/>
      <c r="EF202" s="43"/>
      <c r="EG202" s="43"/>
      <c r="EH202" s="43"/>
      <c r="EI202" s="43"/>
      <c r="EJ202" s="43"/>
      <c r="EK202" s="43"/>
      <c r="EL202" s="43"/>
      <c r="EM202" s="43"/>
      <c r="EN202" s="43"/>
      <c r="EO202" s="43"/>
      <c r="EP202" s="43"/>
      <c r="EQ202" s="43"/>
      <c r="ER202" s="43"/>
      <c r="ES202" s="43"/>
      <c r="ET202" s="43"/>
    </row>
    <row r="203" spans="2:150" s="46" customFormat="1" ht="13.5" customHeight="1" x14ac:dyDescent="0.15">
      <c r="B203" s="75">
        <f>IF(G203&lt;&gt;"",SUBTOTAL(3,$G$5:G203),"")</f>
        <v>74</v>
      </c>
      <c r="C203" s="75"/>
      <c r="D203" s="75"/>
      <c r="E203" s="76" t="s">
        <v>140</v>
      </c>
      <c r="F203" s="76" t="s">
        <v>136</v>
      </c>
      <c r="G203" s="74" t="s">
        <v>198</v>
      </c>
      <c r="H203" s="61">
        <v>43977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78"/>
      <c r="AN203" s="77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78"/>
      <c r="BR203" s="77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78"/>
      <c r="CV203" s="74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  <c r="EA203" s="43"/>
      <c r="EB203" s="43"/>
      <c r="EC203" s="43"/>
      <c r="ED203" s="43"/>
      <c r="EE203" s="43"/>
      <c r="EF203" s="43"/>
      <c r="EG203" s="43"/>
      <c r="EH203" s="43"/>
      <c r="EI203" s="43"/>
      <c r="EJ203" s="43"/>
      <c r="EK203" s="43"/>
      <c r="EL203" s="43"/>
      <c r="EM203" s="43"/>
      <c r="EN203" s="43"/>
      <c r="EO203" s="43"/>
      <c r="EP203" s="43"/>
      <c r="EQ203" s="43"/>
      <c r="ER203" s="43"/>
      <c r="ES203" s="43"/>
      <c r="ET203" s="43"/>
    </row>
    <row r="204" spans="2:150" s="46" customFormat="1" ht="13.5" customHeight="1" x14ac:dyDescent="0.15">
      <c r="B204" s="75">
        <f>IF(G204&lt;&gt;"",SUBTOTAL(3,$G$5:G204),"")</f>
        <v>75</v>
      </c>
      <c r="C204" s="75"/>
      <c r="D204" s="75"/>
      <c r="E204" s="76" t="s">
        <v>140</v>
      </c>
      <c r="F204" s="76" t="s">
        <v>136</v>
      </c>
      <c r="G204" s="74" t="s">
        <v>199</v>
      </c>
      <c r="H204" s="61">
        <v>43995</v>
      </c>
      <c r="I204" s="62"/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78"/>
      <c r="AN204" s="77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78"/>
      <c r="BR204" s="77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78"/>
      <c r="CV204" s="74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  <c r="EA204" s="43"/>
      <c r="EB204" s="43"/>
      <c r="EC204" s="43"/>
      <c r="ED204" s="43"/>
      <c r="EE204" s="43"/>
      <c r="EF204" s="43"/>
      <c r="EG204" s="43"/>
      <c r="EH204" s="43"/>
      <c r="EI204" s="43"/>
      <c r="EJ204" s="43"/>
      <c r="EK204" s="43"/>
      <c r="EL204" s="43"/>
      <c r="EM204" s="43"/>
      <c r="EN204" s="43"/>
      <c r="EO204" s="43"/>
      <c r="EP204" s="43"/>
      <c r="EQ204" s="43"/>
      <c r="ER204" s="43"/>
      <c r="ES204" s="43"/>
      <c r="ET204" s="43"/>
    </row>
    <row r="205" spans="2:150" s="46" customFormat="1" ht="13.5" customHeight="1" x14ac:dyDescent="0.15">
      <c r="B205" s="75">
        <f>IF(G205&lt;&gt;"",SUBTOTAL(3,$G$5:G205),"")</f>
        <v>76</v>
      </c>
      <c r="C205" s="75"/>
      <c r="D205" s="75"/>
      <c r="E205" s="76" t="s">
        <v>140</v>
      </c>
      <c r="F205" s="76" t="s">
        <v>136</v>
      </c>
      <c r="G205" s="74" t="s">
        <v>200</v>
      </c>
      <c r="H205" s="61">
        <v>43982</v>
      </c>
      <c r="I205" s="62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78"/>
      <c r="AN205" s="77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78"/>
      <c r="BR205" s="77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78"/>
      <c r="CV205" s="74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  <c r="EA205" s="43"/>
      <c r="EB205" s="43"/>
      <c r="EC205" s="43"/>
      <c r="ED205" s="43"/>
      <c r="EE205" s="43"/>
      <c r="EF205" s="43"/>
      <c r="EG205" s="43"/>
      <c r="EH205" s="43"/>
      <c r="EI205" s="43"/>
      <c r="EJ205" s="43"/>
      <c r="EK205" s="43"/>
      <c r="EL205" s="43"/>
      <c r="EM205" s="43"/>
      <c r="EN205" s="43"/>
      <c r="EO205" s="43"/>
      <c r="EP205" s="43"/>
      <c r="EQ205" s="43"/>
      <c r="ER205" s="43"/>
      <c r="ES205" s="43"/>
      <c r="ET205" s="43"/>
    </row>
    <row r="206" spans="2:150" s="46" customFormat="1" ht="13.5" customHeight="1" x14ac:dyDescent="0.15">
      <c r="B206" s="75">
        <f>IF(G206&lt;&gt;"",SUBTOTAL(3,$G$5:G206),"")</f>
        <v>77</v>
      </c>
      <c r="C206" s="75"/>
      <c r="D206" s="75"/>
      <c r="E206" s="76" t="s">
        <v>140</v>
      </c>
      <c r="F206" s="76" t="s">
        <v>136</v>
      </c>
      <c r="G206" s="74" t="s">
        <v>201</v>
      </c>
      <c r="H206" s="61">
        <v>43989</v>
      </c>
      <c r="I206" s="62"/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78"/>
      <c r="AN206" s="77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78"/>
      <c r="BR206" s="77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78"/>
      <c r="CV206" s="74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  <c r="EA206" s="43"/>
      <c r="EB206" s="43"/>
      <c r="EC206" s="43"/>
      <c r="ED206" s="43"/>
      <c r="EE206" s="43"/>
      <c r="EF206" s="43"/>
      <c r="EG206" s="43"/>
      <c r="EH206" s="43"/>
      <c r="EI206" s="43"/>
      <c r="EJ206" s="43"/>
      <c r="EK206" s="43"/>
      <c r="EL206" s="43"/>
      <c r="EM206" s="43"/>
      <c r="EN206" s="43"/>
      <c r="EO206" s="43"/>
      <c r="EP206" s="43"/>
      <c r="EQ206" s="43"/>
      <c r="ER206" s="43"/>
      <c r="ES206" s="43"/>
      <c r="ET206" s="43"/>
    </row>
    <row r="207" spans="2:150" s="46" customFormat="1" ht="13.5" customHeight="1" x14ac:dyDescent="0.15">
      <c r="B207" s="75">
        <f>IF(G207&lt;&gt;"",SUBTOTAL(3,$G$5:G207),"")</f>
        <v>78</v>
      </c>
      <c r="C207" s="75"/>
      <c r="D207" s="75"/>
      <c r="E207" s="76" t="s">
        <v>140</v>
      </c>
      <c r="F207" s="76" t="s">
        <v>136</v>
      </c>
      <c r="G207" s="74" t="s">
        <v>202</v>
      </c>
      <c r="H207" s="61">
        <v>43989</v>
      </c>
      <c r="I207" s="62"/>
      <c r="J207" s="77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78"/>
      <c r="AN207" s="77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78"/>
      <c r="BR207" s="77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78"/>
      <c r="CV207" s="74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  <c r="EA207" s="43"/>
      <c r="EB207" s="43"/>
      <c r="EC207" s="43"/>
      <c r="ED207" s="43"/>
      <c r="EE207" s="43"/>
      <c r="EF207" s="43"/>
      <c r="EG207" s="43"/>
      <c r="EH207" s="43"/>
      <c r="EI207" s="43"/>
      <c r="EJ207" s="43"/>
      <c r="EK207" s="43"/>
      <c r="EL207" s="43"/>
      <c r="EM207" s="43"/>
      <c r="EN207" s="43"/>
      <c r="EO207" s="43"/>
      <c r="EP207" s="43"/>
      <c r="EQ207" s="43"/>
      <c r="ER207" s="43"/>
      <c r="ES207" s="43"/>
      <c r="ET207" s="43"/>
    </row>
    <row r="208" spans="2:150" s="46" customFormat="1" ht="13.5" customHeight="1" x14ac:dyDescent="0.15">
      <c r="B208" s="75">
        <f>IF(G208&lt;&gt;"",SUBTOTAL(3,$G$5:G208),"")</f>
        <v>79</v>
      </c>
      <c r="C208" s="75"/>
      <c r="D208" s="75"/>
      <c r="E208" s="76" t="s">
        <v>140</v>
      </c>
      <c r="F208" s="76" t="s">
        <v>136</v>
      </c>
      <c r="G208" s="74" t="s">
        <v>203</v>
      </c>
      <c r="H208" s="61">
        <v>43991</v>
      </c>
      <c r="I208" s="62"/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78"/>
      <c r="AN208" s="77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78"/>
      <c r="BR208" s="77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78"/>
      <c r="CV208" s="74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  <c r="EA208" s="43"/>
      <c r="EB208" s="43"/>
      <c r="EC208" s="43"/>
      <c r="ED208" s="43"/>
      <c r="EE208" s="43"/>
      <c r="EF208" s="43"/>
      <c r="EG208" s="43"/>
      <c r="EH208" s="43"/>
      <c r="EI208" s="43"/>
      <c r="EJ208" s="43"/>
      <c r="EK208" s="43"/>
      <c r="EL208" s="43"/>
      <c r="EM208" s="43"/>
      <c r="EN208" s="43"/>
      <c r="EO208" s="43"/>
      <c r="EP208" s="43"/>
      <c r="EQ208" s="43"/>
      <c r="ER208" s="43"/>
      <c r="ES208" s="43"/>
      <c r="ET208" s="43"/>
    </row>
    <row r="209" spans="2:150" s="46" customFormat="1" ht="13.5" customHeight="1" x14ac:dyDescent="0.15">
      <c r="B209" s="75">
        <f>IF(G209&lt;&gt;"",SUBTOTAL(3,$G$5:G209),"")</f>
        <v>80</v>
      </c>
      <c r="C209" s="75"/>
      <c r="D209" s="75"/>
      <c r="E209" s="76" t="s">
        <v>140</v>
      </c>
      <c r="F209" s="76" t="s">
        <v>136</v>
      </c>
      <c r="G209" s="74" t="s">
        <v>204</v>
      </c>
      <c r="H209" s="61">
        <v>43991</v>
      </c>
      <c r="I209" s="62"/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78"/>
      <c r="AN209" s="77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78"/>
      <c r="BR209" s="77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78"/>
      <c r="CV209" s="74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43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</row>
    <row r="210" spans="2:150" s="46" customFormat="1" ht="13.5" customHeight="1" x14ac:dyDescent="0.15">
      <c r="B210" s="75">
        <f>IF(G210&lt;&gt;"",SUBTOTAL(3,$G$5:G210),"")</f>
        <v>81</v>
      </c>
      <c r="C210" s="75"/>
      <c r="D210" s="75"/>
      <c r="E210" s="76" t="s">
        <v>140</v>
      </c>
      <c r="F210" s="76" t="s">
        <v>136</v>
      </c>
      <c r="G210" s="74" t="s">
        <v>205</v>
      </c>
      <c r="H210" s="61">
        <v>43992</v>
      </c>
      <c r="I210" s="62"/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78"/>
      <c r="AN210" s="77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78"/>
      <c r="BR210" s="77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78"/>
      <c r="CV210" s="74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  <c r="EA210" s="43"/>
      <c r="EB210" s="43"/>
      <c r="EC210" s="43"/>
      <c r="ED210" s="43"/>
      <c r="EE210" s="43"/>
      <c r="EF210" s="43"/>
      <c r="EG210" s="43"/>
      <c r="EH210" s="43"/>
      <c r="EI210" s="43"/>
      <c r="EJ210" s="43"/>
      <c r="EK210" s="43"/>
      <c r="EL210" s="43"/>
      <c r="EM210" s="43"/>
      <c r="EN210" s="43"/>
      <c r="EO210" s="43"/>
      <c r="EP210" s="43"/>
      <c r="EQ210" s="43"/>
      <c r="ER210" s="43"/>
      <c r="ES210" s="43"/>
      <c r="ET210" s="43"/>
    </row>
    <row r="211" spans="2:150" s="46" customFormat="1" x14ac:dyDescent="0.15">
      <c r="B211" s="75">
        <f>IF(G211&lt;&gt;"",SUBTOTAL(3,$G$5:G211),"")</f>
        <v>82</v>
      </c>
      <c r="C211" s="75"/>
      <c r="D211" s="75"/>
      <c r="E211" s="76" t="s">
        <v>140</v>
      </c>
      <c r="F211" s="76" t="s">
        <v>136</v>
      </c>
      <c r="G211" s="74" t="s">
        <v>206</v>
      </c>
      <c r="H211" s="61">
        <v>43994</v>
      </c>
      <c r="I211" s="62">
        <v>0.8</v>
      </c>
      <c r="J211" s="77" t="s">
        <v>371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78"/>
      <c r="AN211" s="77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78"/>
      <c r="BR211" s="77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78"/>
      <c r="CV211" s="74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43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</row>
    <row r="212" spans="2:150" s="46" customFormat="1" x14ac:dyDescent="0.15">
      <c r="B212" s="75" t="str">
        <f>IF(G212&lt;&gt;"",SUBTOTAL(3,$G$5:G212),"")</f>
        <v/>
      </c>
      <c r="C212" s="75"/>
      <c r="D212" s="75"/>
      <c r="E212" s="76"/>
      <c r="F212" s="76"/>
      <c r="G212" s="74"/>
      <c r="H212" s="61"/>
      <c r="I212" s="68">
        <v>0.8</v>
      </c>
      <c r="J212" s="77" t="s">
        <v>372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78"/>
      <c r="AN212" s="77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78"/>
      <c r="BR212" s="77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78"/>
      <c r="CV212" s="74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43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</row>
    <row r="213" spans="2:150" s="46" customFormat="1" x14ac:dyDescent="0.15">
      <c r="B213" s="75" t="str">
        <f>IF(G213&lt;&gt;"",SUBTOTAL(3,$G$5:G213),"")</f>
        <v/>
      </c>
      <c r="C213" s="75"/>
      <c r="D213" s="75"/>
      <c r="E213" s="76"/>
      <c r="F213" s="76"/>
      <c r="G213" s="74"/>
      <c r="H213" s="61"/>
      <c r="I213" s="68">
        <v>0.8</v>
      </c>
      <c r="J213" s="77" t="s">
        <v>373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78"/>
      <c r="AN213" s="77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78"/>
      <c r="BR213" s="77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78"/>
      <c r="CV213" s="74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43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</row>
    <row r="214" spans="2:150" s="46" customFormat="1" x14ac:dyDescent="0.15">
      <c r="B214" s="75" t="str">
        <f>IF(G214&lt;&gt;"",SUBTOTAL(3,$G$5:G214),"")</f>
        <v/>
      </c>
      <c r="C214" s="75"/>
      <c r="D214" s="75"/>
      <c r="E214" s="76"/>
      <c r="F214" s="76"/>
      <c r="G214" s="74"/>
      <c r="H214" s="61"/>
      <c r="I214" s="68">
        <v>0.8</v>
      </c>
      <c r="J214" s="77" t="s">
        <v>374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78"/>
      <c r="AN214" s="77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78"/>
      <c r="BR214" s="77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78"/>
      <c r="CV214" s="74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</row>
    <row r="215" spans="2:150" s="46" customFormat="1" x14ac:dyDescent="0.15">
      <c r="B215" s="75" t="str">
        <f>IF(G215&lt;&gt;"",SUBTOTAL(3,$G$5:G215),"")</f>
        <v/>
      </c>
      <c r="C215" s="75"/>
      <c r="D215" s="75"/>
      <c r="E215" s="76"/>
      <c r="F215" s="76"/>
      <c r="G215" s="74"/>
      <c r="H215" s="61"/>
      <c r="I215" s="68">
        <v>0.8</v>
      </c>
      <c r="J215" s="77" t="s">
        <v>375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78"/>
      <c r="AN215" s="77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78"/>
      <c r="BR215" s="77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78"/>
      <c r="CV215" s="74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43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</row>
    <row r="216" spans="2:150" s="46" customFormat="1" x14ac:dyDescent="0.15">
      <c r="B216" s="75" t="str">
        <f>IF(G216&lt;&gt;"",SUBTOTAL(3,$G$5:G216),"")</f>
        <v/>
      </c>
      <c r="C216" s="75"/>
      <c r="D216" s="75"/>
      <c r="E216" s="76"/>
      <c r="F216" s="76"/>
      <c r="G216" s="74"/>
      <c r="H216" s="61"/>
      <c r="I216" s="68">
        <v>0.8</v>
      </c>
      <c r="J216" s="77" t="s">
        <v>376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78"/>
      <c r="AN216" s="77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78"/>
      <c r="BR216" s="77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78"/>
      <c r="CV216" s="74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  <c r="EA216" s="43"/>
      <c r="EB216" s="43"/>
      <c r="EC216" s="43"/>
      <c r="ED216" s="43"/>
      <c r="EE216" s="43"/>
      <c r="EF216" s="43"/>
      <c r="EG216" s="43"/>
      <c r="EH216" s="43"/>
      <c r="EI216" s="43"/>
      <c r="EJ216" s="43"/>
      <c r="EK216" s="43"/>
      <c r="EL216" s="43"/>
      <c r="EM216" s="43"/>
      <c r="EN216" s="43"/>
      <c r="EO216" s="43"/>
      <c r="EP216" s="43"/>
      <c r="EQ216" s="43"/>
      <c r="ER216" s="43"/>
      <c r="ES216" s="43"/>
      <c r="ET216" s="43"/>
    </row>
    <row r="217" spans="2:150" s="46" customFormat="1" x14ac:dyDescent="0.15">
      <c r="B217" s="75" t="str">
        <f>IF(G217&lt;&gt;"",SUBTOTAL(3,$G$5:G217),"")</f>
        <v/>
      </c>
      <c r="C217" s="75"/>
      <c r="D217" s="75"/>
      <c r="E217" s="76"/>
      <c r="F217" s="76"/>
      <c r="G217" s="74"/>
      <c r="H217" s="61"/>
      <c r="I217" s="68">
        <v>0.8</v>
      </c>
      <c r="J217" s="77" t="s">
        <v>377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78"/>
      <c r="AN217" s="77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78"/>
      <c r="BR217" s="77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78"/>
      <c r="CV217" s="74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43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</row>
    <row r="218" spans="2:150" s="46" customFormat="1" x14ac:dyDescent="0.15">
      <c r="B218" s="75" t="str">
        <f>IF(G218&lt;&gt;"",SUBTOTAL(3,$G$5:G218),"")</f>
        <v/>
      </c>
      <c r="C218" s="75"/>
      <c r="D218" s="75"/>
      <c r="E218" s="76"/>
      <c r="F218" s="76"/>
      <c r="G218" s="74"/>
      <c r="H218" s="61"/>
      <c r="I218" s="68">
        <v>0.8</v>
      </c>
      <c r="J218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78"/>
      <c r="AN218" s="77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78"/>
      <c r="BR218" s="77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78"/>
      <c r="CV218" s="74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  <c r="EA218" s="43"/>
      <c r="EB218" s="43"/>
      <c r="EC218" s="43"/>
      <c r="ED218" s="43"/>
      <c r="EE218" s="43"/>
      <c r="EF218" s="43"/>
      <c r="EG218" s="43"/>
      <c r="EH218" s="43"/>
      <c r="EI218" s="43"/>
      <c r="EJ218" s="43"/>
      <c r="EK218" s="43"/>
      <c r="EL218" s="43"/>
      <c r="EM218" s="43"/>
      <c r="EN218" s="43"/>
      <c r="EO218" s="43"/>
      <c r="EP218" s="43"/>
      <c r="EQ218" s="43"/>
      <c r="ER218" s="43"/>
      <c r="ES218" s="43"/>
      <c r="ET218" s="43"/>
    </row>
    <row r="219" spans="2:150" s="46" customFormat="1" x14ac:dyDescent="0.15">
      <c r="B219" s="75" t="str">
        <f>IF(G219&lt;&gt;"",SUBTOTAL(3,$G$5:G219),"")</f>
        <v/>
      </c>
      <c r="C219" s="75"/>
      <c r="D219" s="75"/>
      <c r="E219" s="76"/>
      <c r="F219" s="76"/>
      <c r="G219" s="74"/>
      <c r="H219" s="61"/>
      <c r="I219" s="68">
        <v>0.8</v>
      </c>
      <c r="J219" s="37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9"/>
      <c r="AN219" s="77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78"/>
      <c r="BR219" s="77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78"/>
      <c r="CV219" s="74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  <c r="EA219" s="43"/>
      <c r="EB219" s="43"/>
      <c r="EC219" s="43"/>
      <c r="ED219" s="43"/>
      <c r="EE219" s="43"/>
      <c r="EF219" s="43"/>
      <c r="EG219" s="43"/>
      <c r="EH219" s="43"/>
      <c r="EI219" s="43"/>
      <c r="EJ219" s="43"/>
      <c r="EK219" s="43"/>
      <c r="EL219" s="43"/>
      <c r="EM219" s="43"/>
      <c r="EN219" s="43"/>
      <c r="EO219" s="43"/>
      <c r="EP219" s="43"/>
      <c r="EQ219" s="43"/>
      <c r="ER219" s="43"/>
      <c r="ES219" s="43"/>
      <c r="ET219" s="43"/>
    </row>
    <row r="220" spans="2:150" s="46" customFormat="1" ht="13.5" customHeight="1" x14ac:dyDescent="0.15">
      <c r="B220" s="75">
        <f>IF(G220&lt;&gt;"",SUBTOTAL(3,$G$5:G220),"")</f>
        <v>83</v>
      </c>
      <c r="C220" s="75"/>
      <c r="D220" s="75"/>
      <c r="E220" s="76" t="s">
        <v>140</v>
      </c>
      <c r="F220" s="76" t="s">
        <v>136</v>
      </c>
      <c r="G220" s="74" t="s">
        <v>207</v>
      </c>
      <c r="H220" s="61">
        <v>43995</v>
      </c>
      <c r="I220" s="62"/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78"/>
      <c r="AN220" s="77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78"/>
      <c r="BR220" s="77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78"/>
      <c r="CV220" s="74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43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</row>
    <row r="221" spans="2:150" s="46" customFormat="1" x14ac:dyDescent="0.15">
      <c r="B221" s="75">
        <f>IF(G221&lt;&gt;"",SUBTOTAL(3,$G$5:G221),"")</f>
        <v>84</v>
      </c>
      <c r="C221" s="75"/>
      <c r="D221" s="75"/>
      <c r="E221" s="76" t="s">
        <v>140</v>
      </c>
      <c r="F221" s="76" t="s">
        <v>136</v>
      </c>
      <c r="G221" s="74" t="s">
        <v>208</v>
      </c>
      <c r="H221" s="61">
        <v>43997</v>
      </c>
      <c r="I221" s="62">
        <v>1</v>
      </c>
      <c r="J221" s="77" t="s">
        <v>378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78"/>
      <c r="AN221" s="77" t="s">
        <v>210</v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78"/>
      <c r="BR221" s="77" t="s">
        <v>381</v>
      </c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78"/>
      <c r="CV221" s="74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43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</row>
    <row r="222" spans="2:150" s="46" customFormat="1" x14ac:dyDescent="0.15">
      <c r="B222" s="75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379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78"/>
      <c r="AN222" s="77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78"/>
      <c r="BR222" s="77" t="s">
        <v>382</v>
      </c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78"/>
      <c r="CV222" s="74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  <c r="EA222" s="43"/>
      <c r="EB222" s="43"/>
      <c r="EC222" s="43"/>
      <c r="ED222" s="43"/>
      <c r="EE222" s="43"/>
      <c r="EF222" s="43"/>
      <c r="EG222" s="43"/>
      <c r="EH222" s="43"/>
      <c r="EI222" s="43"/>
      <c r="EJ222" s="43"/>
      <c r="EK222" s="43"/>
      <c r="EL222" s="43"/>
      <c r="EM222" s="43"/>
      <c r="EN222" s="43"/>
      <c r="EO222" s="43"/>
      <c r="EP222" s="43"/>
      <c r="EQ222" s="43"/>
      <c r="ER222" s="43"/>
      <c r="ES222" s="43"/>
      <c r="ET222" s="43"/>
    </row>
    <row r="223" spans="2:150" s="46" customFormat="1" x14ac:dyDescent="0.15">
      <c r="B223" s="75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380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78"/>
      <c r="AN223" s="77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78"/>
      <c r="BR223" s="77" t="s">
        <v>383</v>
      </c>
      <c r="BS223" s="43"/>
      <c r="BT223" s="43"/>
      <c r="BU223" s="43"/>
      <c r="BV223" s="43"/>
      <c r="BW223" s="43"/>
      <c r="BX223" s="43"/>
      <c r="BY223" s="43"/>
      <c r="BZ223" s="43"/>
      <c r="CA223" s="43"/>
      <c r="CB223" s="43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78"/>
      <c r="CV223" s="74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  <c r="EA223" s="43"/>
      <c r="EB223" s="43"/>
      <c r="EC223" s="43"/>
      <c r="ED223" s="43"/>
      <c r="EE223" s="43"/>
      <c r="EF223" s="43"/>
      <c r="EG223" s="43"/>
      <c r="EH223" s="43"/>
      <c r="EI223" s="43"/>
      <c r="EJ223" s="43"/>
      <c r="EK223" s="43"/>
      <c r="EL223" s="43"/>
      <c r="EM223" s="43"/>
      <c r="EN223" s="43"/>
      <c r="EO223" s="43"/>
      <c r="EP223" s="43"/>
      <c r="EQ223" s="43"/>
      <c r="ER223" s="43"/>
      <c r="ES223" s="43"/>
      <c r="ET223" s="43"/>
    </row>
    <row r="224" spans="2:150" s="46" customFormat="1" x14ac:dyDescent="0.15">
      <c r="B224" s="75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78"/>
      <c r="AN224" s="77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78"/>
      <c r="BR224" s="77" t="s">
        <v>384</v>
      </c>
      <c r="BS224" s="43"/>
      <c r="BT224" s="43"/>
      <c r="BU224" s="43"/>
      <c r="BV224" s="43"/>
      <c r="BW224" s="43"/>
      <c r="BX224" s="43"/>
      <c r="BY224" s="43"/>
      <c r="BZ224" s="43"/>
      <c r="CA224" s="43"/>
      <c r="CB224" s="43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78"/>
      <c r="CV224" s="74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  <c r="EA224" s="43"/>
      <c r="EB224" s="43"/>
      <c r="EC224" s="43"/>
      <c r="ED224" s="43"/>
      <c r="EE224" s="43"/>
      <c r="EF224" s="43"/>
      <c r="EG224" s="43"/>
      <c r="EH224" s="43"/>
      <c r="EI224" s="43"/>
      <c r="EJ224" s="43"/>
      <c r="EK224" s="43"/>
      <c r="EL224" s="43"/>
      <c r="EM224" s="43"/>
      <c r="EN224" s="43"/>
      <c r="EO224" s="43"/>
      <c r="EP224" s="43"/>
      <c r="EQ224" s="43"/>
      <c r="ER224" s="43"/>
      <c r="ES224" s="43"/>
      <c r="ET224" s="43"/>
    </row>
    <row r="225" spans="2:150" s="46" customFormat="1" ht="13.5" customHeight="1" x14ac:dyDescent="0.15">
      <c r="B225" s="75">
        <f>IF(G225&lt;&gt;"",SUBTOTAL(3,$G$5:G225),"")</f>
        <v>85</v>
      </c>
      <c r="C225" s="75"/>
      <c r="D225" s="75"/>
      <c r="E225" s="76" t="s">
        <v>140</v>
      </c>
      <c r="F225" s="76" t="s">
        <v>136</v>
      </c>
      <c r="G225" s="74" t="s">
        <v>209</v>
      </c>
      <c r="H225" s="61">
        <v>44004</v>
      </c>
      <c r="I225" s="62"/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78"/>
      <c r="AN225" s="77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78"/>
      <c r="BR225" s="77"/>
      <c r="BS225" s="43"/>
      <c r="BT225" s="43"/>
      <c r="BU225" s="43"/>
      <c r="BV225" s="43"/>
      <c r="BW225" s="43"/>
      <c r="BX225" s="43"/>
      <c r="BY225" s="43"/>
      <c r="BZ225" s="43"/>
      <c r="CA225" s="43"/>
      <c r="CB225" s="43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78"/>
      <c r="CV225" s="74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  <c r="EA225" s="43"/>
      <c r="EB225" s="43"/>
      <c r="EC225" s="43"/>
      <c r="ED225" s="43"/>
      <c r="EE225" s="43"/>
      <c r="EF225" s="43"/>
      <c r="EG225" s="43"/>
      <c r="EH225" s="43"/>
      <c r="EI225" s="43"/>
      <c r="EJ225" s="43"/>
      <c r="EK225" s="43"/>
      <c r="EL225" s="43"/>
      <c r="EM225" s="43"/>
      <c r="EN225" s="43"/>
      <c r="EO225" s="43"/>
      <c r="EP225" s="43"/>
      <c r="EQ225" s="43"/>
      <c r="ER225" s="43"/>
      <c r="ES225" s="43"/>
      <c r="ET225" s="43"/>
    </row>
    <row r="226" spans="2:150" s="46" customFormat="1" x14ac:dyDescent="0.15">
      <c r="B226" s="75">
        <f>IF(G226&lt;&gt;"",SUBTOTAL(3,$G$5:G226),"")</f>
        <v>86</v>
      </c>
      <c r="C226" s="75"/>
      <c r="D226" s="75"/>
      <c r="E226" s="76" t="s">
        <v>140</v>
      </c>
      <c r="F226" s="76" t="s">
        <v>143</v>
      </c>
      <c r="G226" s="76" t="s">
        <v>212</v>
      </c>
      <c r="H226" s="61">
        <v>44030</v>
      </c>
      <c r="I226" s="62">
        <v>1</v>
      </c>
      <c r="J226" s="77" t="s">
        <v>385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78"/>
      <c r="AN226" s="77" t="s">
        <v>211</v>
      </c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78"/>
      <c r="BR226" s="77" t="s">
        <v>387</v>
      </c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78"/>
      <c r="CV226" s="74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  <c r="EA226" s="43"/>
      <c r="EB226" s="43"/>
      <c r="EC226" s="43"/>
      <c r="ED226" s="43"/>
      <c r="EE226" s="43"/>
      <c r="EF226" s="43"/>
      <c r="EG226" s="43"/>
      <c r="EH226" s="43"/>
      <c r="EI226" s="43"/>
      <c r="EJ226" s="43"/>
      <c r="EK226" s="43"/>
      <c r="EL226" s="43"/>
      <c r="EM226" s="43"/>
      <c r="EN226" s="43"/>
      <c r="EO226" s="43"/>
      <c r="EP226" s="43"/>
      <c r="EQ226" s="43"/>
      <c r="ER226" s="43"/>
      <c r="ES226" s="43"/>
      <c r="ET226" s="43"/>
    </row>
    <row r="227" spans="2:150" s="46" customFormat="1" x14ac:dyDescent="0.15">
      <c r="B227" s="75" t="str">
        <f>IF(G227&lt;&gt;"",SUBTOTAL(3,$G$5:G227),"")</f>
        <v/>
      </c>
      <c r="C227" s="75"/>
      <c r="D227" s="75"/>
      <c r="E227" s="76"/>
      <c r="F227" s="76"/>
      <c r="G227" s="76"/>
      <c r="H227" s="61"/>
      <c r="I227" s="70">
        <v>1</v>
      </c>
      <c r="J227" s="77" t="s">
        <v>386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78"/>
      <c r="AN227" s="77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78"/>
      <c r="BR227" s="77" t="s">
        <v>388</v>
      </c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78"/>
      <c r="CV227" s="74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  <c r="EA227" s="43"/>
      <c r="EB227" s="43"/>
      <c r="EC227" s="43"/>
      <c r="ED227" s="43"/>
      <c r="EE227" s="43"/>
      <c r="EF227" s="43"/>
      <c r="EG227" s="43"/>
      <c r="EH227" s="43"/>
      <c r="EI227" s="43"/>
      <c r="EJ227" s="43"/>
      <c r="EK227" s="43"/>
      <c r="EL227" s="43"/>
      <c r="EM227" s="43"/>
      <c r="EN227" s="43"/>
      <c r="EO227" s="43"/>
      <c r="EP227" s="43"/>
      <c r="EQ227" s="43"/>
      <c r="ER227" s="43"/>
      <c r="ES227" s="43"/>
      <c r="ET227" s="43"/>
    </row>
    <row r="228" spans="2:150" s="46" customFormat="1" x14ac:dyDescent="0.15">
      <c r="B228" s="75" t="str">
        <f>IF(G228&lt;&gt;"",SUBTOTAL(3,$G$5:G228),"")</f>
        <v/>
      </c>
      <c r="C228" s="75"/>
      <c r="D228" s="75"/>
      <c r="E228" s="76"/>
      <c r="F228" s="76"/>
      <c r="G228" s="76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78"/>
      <c r="AN228" s="77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78"/>
      <c r="BR228" s="77" t="s">
        <v>389</v>
      </c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78"/>
      <c r="CV228" s="74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  <c r="EA228" s="43"/>
      <c r="EB228" s="43"/>
      <c r="EC228" s="43"/>
      <c r="ED228" s="43"/>
      <c r="EE228" s="43"/>
      <c r="EF228" s="43"/>
      <c r="EG228" s="43"/>
      <c r="EH228" s="43"/>
      <c r="EI228" s="43"/>
      <c r="EJ228" s="43"/>
      <c r="EK228" s="43"/>
      <c r="EL228" s="43"/>
      <c r="EM228" s="43"/>
      <c r="EN228" s="43"/>
      <c r="EO228" s="43"/>
      <c r="EP228" s="43"/>
      <c r="EQ228" s="43"/>
      <c r="ER228" s="43"/>
      <c r="ES228" s="43"/>
      <c r="ET228" s="43"/>
    </row>
    <row r="229" spans="2:150" s="46" customFormat="1" x14ac:dyDescent="0.15">
      <c r="B229" s="75" t="str">
        <f>IF(G229&lt;&gt;"",SUBTOTAL(3,$G$5:G229),"")</f>
        <v/>
      </c>
      <c r="C229" s="75"/>
      <c r="D229" s="75"/>
      <c r="E229" s="76"/>
      <c r="F229" s="76"/>
      <c r="G229" s="76"/>
      <c r="H229" s="61"/>
      <c r="I229" s="70">
        <v>1</v>
      </c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78"/>
      <c r="AN229" s="77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78"/>
      <c r="BR229" s="77" t="s">
        <v>390</v>
      </c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78"/>
      <c r="CV229" s="74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  <c r="EA229" s="43"/>
      <c r="EB229" s="43"/>
      <c r="EC229" s="43"/>
      <c r="ED229" s="43"/>
      <c r="EE229" s="43"/>
      <c r="EF229" s="43"/>
      <c r="EG229" s="43"/>
      <c r="EH229" s="43"/>
      <c r="EI229" s="43"/>
      <c r="EJ229" s="43"/>
      <c r="EK229" s="43"/>
      <c r="EL229" s="43"/>
      <c r="EM229" s="43"/>
      <c r="EN229" s="43"/>
      <c r="EO229" s="43"/>
      <c r="EP229" s="43"/>
      <c r="EQ229" s="43"/>
      <c r="ER229" s="43"/>
      <c r="ES229" s="43"/>
      <c r="ET229" s="43"/>
    </row>
    <row r="230" spans="2:150" s="46" customFormat="1" x14ac:dyDescent="0.15">
      <c r="B230" s="75" t="str">
        <f>IF(G230&lt;&gt;"",SUBTOTAL(3,$G$5:G230),"")</f>
        <v/>
      </c>
      <c r="C230" s="75"/>
      <c r="D230" s="75"/>
      <c r="E230" s="76"/>
      <c r="F230" s="76"/>
      <c r="G230" s="76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78"/>
      <c r="AN230" s="77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78"/>
      <c r="BR230" s="77" t="s">
        <v>391</v>
      </c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78"/>
      <c r="CV230" s="74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  <c r="EA230" s="43"/>
      <c r="EB230" s="43"/>
      <c r="EC230" s="43"/>
      <c r="ED230" s="43"/>
      <c r="EE230" s="43"/>
      <c r="EF230" s="43"/>
      <c r="EG230" s="43"/>
      <c r="EH230" s="43"/>
      <c r="EI230" s="43"/>
      <c r="EJ230" s="43"/>
      <c r="EK230" s="43"/>
      <c r="EL230" s="43"/>
      <c r="EM230" s="43"/>
      <c r="EN230" s="43"/>
      <c r="EO230" s="43"/>
      <c r="EP230" s="43"/>
      <c r="EQ230" s="43"/>
      <c r="ER230" s="43"/>
      <c r="ES230" s="43"/>
      <c r="ET230" s="43"/>
    </row>
    <row r="231" spans="2:150" s="46" customFormat="1" ht="15.75" x14ac:dyDescent="0.15">
      <c r="B231" s="75" t="str">
        <f>IF(G231&lt;&gt;"",SUBTOTAL(3,$G$5:G231),"")</f>
        <v/>
      </c>
      <c r="C231" s="75"/>
      <c r="D231" s="75"/>
      <c r="E231" s="76"/>
      <c r="F231" s="76"/>
      <c r="G231" s="76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78"/>
      <c r="AN231" s="77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78"/>
      <c r="BR231" s="77" t="s">
        <v>428</v>
      </c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78"/>
      <c r="CV231" s="74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  <c r="EA231" s="43"/>
      <c r="EB231" s="43"/>
      <c r="EC231" s="43"/>
      <c r="ED231" s="43"/>
      <c r="EE231" s="43"/>
      <c r="EF231" s="43"/>
      <c r="EG231" s="43"/>
      <c r="EH231" s="43"/>
      <c r="EI231" s="43"/>
      <c r="EJ231" s="43"/>
      <c r="EK231" s="43"/>
      <c r="EL231" s="43"/>
      <c r="EM231" s="43"/>
      <c r="EN231" s="43"/>
      <c r="EO231" s="43"/>
      <c r="EP231" s="43"/>
      <c r="EQ231" s="43"/>
      <c r="ER231" s="43"/>
      <c r="ES231" s="43"/>
      <c r="ET231" s="43"/>
    </row>
    <row r="232" spans="2:150" s="46" customFormat="1" x14ac:dyDescent="0.15">
      <c r="B232" s="75" t="str">
        <f>IF(G232&lt;&gt;"",SUBTOTAL(3,$G$5:G232),"")</f>
        <v/>
      </c>
      <c r="C232" s="75"/>
      <c r="D232" s="75"/>
      <c r="E232" s="76"/>
      <c r="F232" s="76"/>
      <c r="G232" s="76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78"/>
      <c r="AN232" s="77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78"/>
      <c r="BR232" s="77" t="s">
        <v>392</v>
      </c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78"/>
      <c r="CV232" s="74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  <c r="EA232" s="43"/>
      <c r="EB232" s="43"/>
      <c r="EC232" s="43"/>
      <c r="ED232" s="43"/>
      <c r="EE232" s="43"/>
      <c r="EF232" s="43"/>
      <c r="EG232" s="43"/>
      <c r="EH232" s="43"/>
      <c r="EI232" s="43"/>
      <c r="EJ232" s="43"/>
      <c r="EK232" s="43"/>
      <c r="EL232" s="43"/>
      <c r="EM232" s="43"/>
      <c r="EN232" s="43"/>
      <c r="EO232" s="43"/>
      <c r="EP232" s="43"/>
      <c r="EQ232" s="43"/>
      <c r="ER232" s="43"/>
      <c r="ES232" s="43"/>
      <c r="ET232" s="43"/>
    </row>
    <row r="233" spans="2:150" s="46" customFormat="1" x14ac:dyDescent="0.15">
      <c r="B233" s="75" t="str">
        <f>IF(G233&lt;&gt;"",SUBTOTAL(3,$G$5:G233),"")</f>
        <v/>
      </c>
      <c r="C233" s="75"/>
      <c r="D233" s="75"/>
      <c r="E233" s="76"/>
      <c r="F233" s="76"/>
      <c r="G233" s="76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78"/>
      <c r="AN233" s="77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78"/>
      <c r="BR233" s="77" t="s">
        <v>393</v>
      </c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78"/>
      <c r="CV233" s="74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  <c r="EA233" s="43"/>
      <c r="EB233" s="43"/>
      <c r="EC233" s="43"/>
      <c r="ED233" s="43"/>
      <c r="EE233" s="43"/>
      <c r="EF233" s="43"/>
      <c r="EG233" s="43"/>
      <c r="EH233" s="43"/>
      <c r="EI233" s="43"/>
      <c r="EJ233" s="43"/>
      <c r="EK233" s="43"/>
      <c r="EL233" s="43"/>
      <c r="EM233" s="43"/>
      <c r="EN233" s="43"/>
      <c r="EO233" s="43"/>
      <c r="EP233" s="43"/>
      <c r="EQ233" s="43"/>
      <c r="ER233" s="43"/>
      <c r="ES233" s="43"/>
      <c r="ET233" s="43"/>
    </row>
    <row r="234" spans="2:150" s="46" customFormat="1" x14ac:dyDescent="0.15">
      <c r="B234" s="75" t="str">
        <f>IF(G234&lt;&gt;"",SUBTOTAL(3,$G$5:G234),"")</f>
        <v/>
      </c>
      <c r="C234" s="75"/>
      <c r="D234" s="75"/>
      <c r="E234" s="76"/>
      <c r="F234" s="76"/>
      <c r="G234" s="76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78"/>
      <c r="AN234" s="77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78"/>
      <c r="BR234" s="77" t="s">
        <v>394</v>
      </c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78"/>
      <c r="CV234" s="74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  <c r="EA234" s="43"/>
      <c r="EB234" s="43"/>
      <c r="EC234" s="43"/>
      <c r="ED234" s="43"/>
      <c r="EE234" s="43"/>
      <c r="EF234" s="43"/>
      <c r="EG234" s="43"/>
      <c r="EH234" s="43"/>
      <c r="EI234" s="43"/>
      <c r="EJ234" s="43"/>
      <c r="EK234" s="43"/>
      <c r="EL234" s="43"/>
      <c r="EM234" s="43"/>
      <c r="EN234" s="43"/>
      <c r="EO234" s="43"/>
      <c r="EP234" s="43"/>
      <c r="EQ234" s="43"/>
      <c r="ER234" s="43"/>
      <c r="ES234" s="43"/>
      <c r="ET234" s="43"/>
    </row>
    <row r="235" spans="2:150" s="46" customFormat="1" x14ac:dyDescent="0.15">
      <c r="B235" s="75" t="str">
        <f>IF(G235&lt;&gt;"",SUBTOTAL(3,$G$5:G235),"")</f>
        <v/>
      </c>
      <c r="C235" s="75"/>
      <c r="D235" s="75"/>
      <c r="E235" s="76"/>
      <c r="F235" s="76"/>
      <c r="G235" s="76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78"/>
      <c r="AN235" s="77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78"/>
      <c r="BR235" s="77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78"/>
      <c r="CV235" s="74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  <c r="EA235" s="43"/>
      <c r="EB235" s="43"/>
      <c r="EC235" s="43"/>
      <c r="ED235" s="43"/>
      <c r="EE235" s="43"/>
      <c r="EF235" s="43"/>
      <c r="EG235" s="43"/>
      <c r="EH235" s="43"/>
      <c r="EI235" s="43"/>
      <c r="EJ235" s="43"/>
      <c r="EK235" s="43"/>
      <c r="EL235" s="43"/>
      <c r="EM235" s="43"/>
      <c r="EN235" s="43"/>
      <c r="EO235" s="43"/>
      <c r="EP235" s="43"/>
      <c r="EQ235" s="43"/>
      <c r="ER235" s="43"/>
      <c r="ES235" s="43"/>
      <c r="ET235" s="43"/>
    </row>
    <row r="236" spans="2:150" s="46" customFormat="1" x14ac:dyDescent="0.15">
      <c r="B236" s="75">
        <f>IF(G236&lt;&gt;"",SUBTOTAL(3,$G$5:G236),"")</f>
        <v>87</v>
      </c>
      <c r="C236" s="75"/>
      <c r="D236" s="75"/>
      <c r="E236" s="76" t="s">
        <v>140</v>
      </c>
      <c r="F236" s="76" t="s">
        <v>143</v>
      </c>
      <c r="G236" s="76" t="s">
        <v>219</v>
      </c>
      <c r="H236" s="61">
        <v>44052</v>
      </c>
      <c r="I236" s="62">
        <v>0.5</v>
      </c>
      <c r="J236" s="77" t="s">
        <v>395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78"/>
      <c r="AN236" s="77" t="s">
        <v>429</v>
      </c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78"/>
      <c r="BR236" s="77" t="s">
        <v>430</v>
      </c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78"/>
      <c r="CV236" s="74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  <c r="EA236" s="43"/>
      <c r="EB236" s="43"/>
      <c r="EC236" s="43"/>
      <c r="ED236" s="43"/>
      <c r="EE236" s="43"/>
      <c r="EF236" s="43"/>
      <c r="EG236" s="43"/>
      <c r="EH236" s="43"/>
      <c r="EI236" s="43"/>
      <c r="EJ236" s="43"/>
      <c r="EK236" s="43"/>
      <c r="EL236" s="43"/>
      <c r="EM236" s="43"/>
      <c r="EN236" s="43"/>
      <c r="EO236" s="43"/>
      <c r="EP236" s="43"/>
      <c r="EQ236" s="43"/>
      <c r="ER236" s="43"/>
      <c r="ES236" s="43"/>
      <c r="ET236" s="43"/>
    </row>
    <row r="237" spans="2:150" s="46" customFormat="1" x14ac:dyDescent="0.15">
      <c r="B237" s="75" t="str">
        <f>IF(G237&lt;&gt;"",SUBTOTAL(3,$G$5:G237),"")</f>
        <v/>
      </c>
      <c r="C237" s="75"/>
      <c r="D237" s="75"/>
      <c r="E237" s="76"/>
      <c r="F237" s="76"/>
      <c r="G237" s="76"/>
      <c r="H237" s="61"/>
      <c r="I237" s="68">
        <v>0.5</v>
      </c>
      <c r="J237" s="77" t="s">
        <v>431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78"/>
      <c r="AN237" s="77" t="s">
        <v>432</v>
      </c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78"/>
      <c r="BR237" s="77" t="s">
        <v>433</v>
      </c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78"/>
      <c r="CV237" s="74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  <c r="EA237" s="43"/>
      <c r="EB237" s="43"/>
      <c r="EC237" s="43"/>
      <c r="ED237" s="43"/>
      <c r="EE237" s="43"/>
      <c r="EF237" s="43"/>
      <c r="EG237" s="43"/>
      <c r="EH237" s="43"/>
      <c r="EI237" s="43"/>
      <c r="EJ237" s="43"/>
      <c r="EK237" s="43"/>
      <c r="EL237" s="43"/>
      <c r="EM237" s="43"/>
      <c r="EN237" s="43"/>
      <c r="EO237" s="43"/>
      <c r="EP237" s="43"/>
      <c r="EQ237" s="43"/>
      <c r="ER237" s="43"/>
      <c r="ES237" s="43"/>
      <c r="ET237" s="43"/>
    </row>
    <row r="238" spans="2:150" s="46" customFormat="1" x14ac:dyDescent="0.15">
      <c r="B238" s="75" t="str">
        <f>IF(G238&lt;&gt;"",SUBTOTAL(3,$G$5:G238),"")</f>
        <v/>
      </c>
      <c r="C238" s="75"/>
      <c r="D238" s="75"/>
      <c r="E238" s="76"/>
      <c r="F238" s="76"/>
      <c r="G238" s="76"/>
      <c r="H238" s="61"/>
      <c r="I238" s="68">
        <v>0.5</v>
      </c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78"/>
      <c r="AN238" s="77" t="s">
        <v>434</v>
      </c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78"/>
      <c r="BR238" s="77" t="s">
        <v>397</v>
      </c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78"/>
      <c r="CV238" s="74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  <c r="EA238" s="43"/>
      <c r="EB238" s="43"/>
      <c r="EC238" s="43"/>
      <c r="ED238" s="43"/>
      <c r="EE238" s="43"/>
      <c r="EF238" s="43"/>
      <c r="EG238" s="43"/>
      <c r="EH238" s="43"/>
      <c r="EI238" s="43"/>
      <c r="EJ238" s="43"/>
      <c r="EK238" s="43"/>
      <c r="EL238" s="43"/>
      <c r="EM238" s="43"/>
      <c r="EN238" s="43"/>
      <c r="EO238" s="43"/>
      <c r="EP238" s="43"/>
      <c r="EQ238" s="43"/>
      <c r="ER238" s="43"/>
      <c r="ES238" s="43"/>
      <c r="ET238" s="43"/>
    </row>
    <row r="239" spans="2:150" s="46" customFormat="1" x14ac:dyDescent="0.15">
      <c r="B239" s="75" t="str">
        <f>IF(G239&lt;&gt;"",SUBTOTAL(3,$G$5:G239),"")</f>
        <v/>
      </c>
      <c r="C239" s="75"/>
      <c r="D239" s="75"/>
      <c r="E239" s="76"/>
      <c r="F239" s="76"/>
      <c r="G239" s="76"/>
      <c r="H239" s="61"/>
      <c r="I239" s="68">
        <v>0.5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78"/>
      <c r="AN239" s="77" t="s">
        <v>396</v>
      </c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78"/>
      <c r="BR239" s="77" t="s">
        <v>398</v>
      </c>
      <c r="BS239" s="43"/>
      <c r="BT239" s="43"/>
      <c r="BU239" s="43"/>
      <c r="BV239" s="43"/>
      <c r="BW239" s="43"/>
      <c r="BX239" s="43"/>
      <c r="BY239" s="43"/>
      <c r="BZ239" s="43"/>
      <c r="CA239" s="43"/>
      <c r="CB239" s="43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78"/>
      <c r="CV239" s="74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  <c r="EA239" s="43"/>
      <c r="EB239" s="43"/>
      <c r="EC239" s="43"/>
      <c r="ED239" s="43"/>
      <c r="EE239" s="43"/>
      <c r="EF239" s="43"/>
      <c r="EG239" s="43"/>
      <c r="EH239" s="43"/>
      <c r="EI239" s="43"/>
      <c r="EJ239" s="43"/>
      <c r="EK239" s="43"/>
      <c r="EL239" s="43"/>
      <c r="EM239" s="43"/>
      <c r="EN239" s="43"/>
      <c r="EO239" s="43"/>
      <c r="EP239" s="43"/>
      <c r="EQ239" s="43"/>
      <c r="ER239" s="43"/>
      <c r="ES239" s="43"/>
      <c r="ET239" s="43"/>
    </row>
    <row r="240" spans="2:15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6"/>
      <c r="H240" s="61"/>
      <c r="I240" s="68">
        <v>0.5</v>
      </c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78"/>
      <c r="AN240" s="77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78"/>
      <c r="BR240" s="77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78"/>
      <c r="CV240" s="74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  <c r="EA240" s="43"/>
      <c r="EB240" s="43"/>
      <c r="EC240" s="43"/>
      <c r="ED240" s="43"/>
      <c r="EE240" s="43"/>
      <c r="EF240" s="43"/>
      <c r="EG240" s="43"/>
      <c r="EH240" s="43"/>
      <c r="EI240" s="43"/>
      <c r="EJ240" s="43"/>
      <c r="EK240" s="43"/>
      <c r="EL240" s="43"/>
      <c r="EM240" s="43"/>
      <c r="EN240" s="43"/>
      <c r="EO240" s="43"/>
      <c r="EP240" s="43"/>
      <c r="EQ240" s="43"/>
      <c r="ER240" s="43"/>
      <c r="ES240" s="43"/>
      <c r="ET240" s="43"/>
    </row>
    <row r="241" spans="2:150" s="46" customFormat="1" ht="13.5" customHeight="1" x14ac:dyDescent="0.15">
      <c r="B241" s="75">
        <f>IF(G241&lt;&gt;"",SUBTOTAL(3,$G$5:G241),"")</f>
        <v>88</v>
      </c>
      <c r="C241" s="75"/>
      <c r="D241" s="75"/>
      <c r="E241" s="76" t="s">
        <v>140</v>
      </c>
      <c r="F241" s="76" t="s">
        <v>143</v>
      </c>
      <c r="G241" s="76" t="s">
        <v>226</v>
      </c>
      <c r="H241" s="61">
        <v>44062</v>
      </c>
      <c r="I241" s="62">
        <v>1</v>
      </c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78"/>
      <c r="AN241" s="77" t="s">
        <v>210</v>
      </c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78"/>
      <c r="BR241" s="77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78"/>
      <c r="CV241" s="74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  <c r="EA241" s="43"/>
      <c r="EB241" s="43"/>
      <c r="EC241" s="43"/>
      <c r="ED241" s="43"/>
      <c r="EE241" s="43"/>
      <c r="EF241" s="43"/>
      <c r="EG241" s="43"/>
      <c r="EH241" s="43"/>
      <c r="EI241" s="43"/>
      <c r="EJ241" s="43"/>
      <c r="EK241" s="43"/>
      <c r="EL241" s="43"/>
      <c r="EM241" s="43"/>
      <c r="EN241" s="43"/>
      <c r="EO241" s="43"/>
      <c r="EP241" s="43"/>
      <c r="EQ241" s="43"/>
      <c r="ER241" s="43"/>
      <c r="ES241" s="43"/>
      <c r="ET241" s="43"/>
    </row>
    <row r="242" spans="2:150" s="46" customFormat="1" ht="13.5" customHeight="1" x14ac:dyDescent="0.15">
      <c r="B242" s="75">
        <f>IF(G242&lt;&gt;"",SUBTOTAL(3,$G$5:G242),"")</f>
        <v>89</v>
      </c>
      <c r="C242" s="75"/>
      <c r="D242" s="75"/>
      <c r="E242" s="76" t="s">
        <v>140</v>
      </c>
      <c r="F242" s="76" t="s">
        <v>143</v>
      </c>
      <c r="G242" s="76" t="s">
        <v>227</v>
      </c>
      <c r="H242" s="61">
        <v>44071</v>
      </c>
      <c r="I242" s="62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78"/>
      <c r="AN242" s="77" t="s">
        <v>210</v>
      </c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78"/>
      <c r="BR242" s="77"/>
      <c r="BS242" s="43"/>
      <c r="BT242" s="43"/>
      <c r="BU242" s="43"/>
      <c r="BV242" s="43"/>
      <c r="BW242" s="43"/>
      <c r="BX242" s="43"/>
      <c r="BY242" s="43"/>
      <c r="BZ242" s="43"/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78"/>
      <c r="CV242" s="74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  <c r="EA242" s="43"/>
      <c r="EB242" s="43"/>
      <c r="EC242" s="43"/>
      <c r="ED242" s="43"/>
      <c r="EE242" s="43"/>
      <c r="EF242" s="43"/>
      <c r="EG242" s="43"/>
      <c r="EH242" s="43"/>
      <c r="EI242" s="43"/>
      <c r="EJ242" s="43"/>
      <c r="EK242" s="43"/>
      <c r="EL242" s="43"/>
      <c r="EM242" s="43"/>
      <c r="EN242" s="43"/>
      <c r="EO242" s="43"/>
      <c r="EP242" s="43"/>
      <c r="EQ242" s="43"/>
      <c r="ER242" s="43"/>
      <c r="ES242" s="43"/>
      <c r="ET242" s="43"/>
    </row>
    <row r="243" spans="2:150" s="46" customFormat="1" x14ac:dyDescent="0.15">
      <c r="B243" s="75">
        <f>IF(G243&lt;&gt;"",SUBTOTAL(3,$G$5:G243),"")</f>
        <v>90</v>
      </c>
      <c r="C243" s="75"/>
      <c r="D243" s="75"/>
      <c r="E243" s="76" t="s">
        <v>140</v>
      </c>
      <c r="F243" s="76" t="s">
        <v>143</v>
      </c>
      <c r="G243" s="76" t="s">
        <v>231</v>
      </c>
      <c r="H243" s="61">
        <v>44073</v>
      </c>
      <c r="I243" s="62">
        <v>1</v>
      </c>
      <c r="J243" s="98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78"/>
      <c r="AN243" s="77" t="s">
        <v>211</v>
      </c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78"/>
      <c r="BR243" s="98" t="s">
        <v>409</v>
      </c>
      <c r="BS243" s="43" t="s">
        <v>410</v>
      </c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78"/>
      <c r="CV243" s="74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  <c r="EA243" s="43"/>
      <c r="EB243" s="43"/>
      <c r="EC243" s="43"/>
      <c r="ED243" s="43"/>
      <c r="EE243" s="43"/>
      <c r="EF243" s="43"/>
      <c r="EG243" s="43"/>
      <c r="EH243" s="43"/>
      <c r="EI243" s="43"/>
      <c r="EJ243" s="43"/>
      <c r="EK243" s="43"/>
      <c r="EL243" s="43"/>
      <c r="EM243" s="43"/>
      <c r="EN243" s="43"/>
      <c r="EO243" s="43"/>
      <c r="EP243" s="43"/>
      <c r="EQ243" s="43"/>
      <c r="ER243" s="43"/>
      <c r="ES243" s="43"/>
      <c r="ET243" s="43"/>
    </row>
    <row r="244" spans="2:15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6"/>
      <c r="H244" s="61"/>
      <c r="I244" s="70">
        <v>1</v>
      </c>
      <c r="J244" s="99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78"/>
      <c r="AN244" s="77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78"/>
      <c r="BR244" s="99" t="s">
        <v>399</v>
      </c>
      <c r="BS244" s="43"/>
      <c r="BT244" s="43"/>
      <c r="BU244" s="43"/>
      <c r="BV244" s="43"/>
      <c r="BW244" s="43"/>
      <c r="BX244" s="43"/>
      <c r="BY244" s="43"/>
      <c r="BZ244" s="43"/>
      <c r="CA244" s="43"/>
      <c r="CB244" s="43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78"/>
      <c r="CV244" s="74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  <c r="EA244" s="43"/>
      <c r="EB244" s="43"/>
      <c r="EC244" s="43"/>
      <c r="ED244" s="43"/>
      <c r="EE244" s="43"/>
      <c r="EF244" s="43"/>
      <c r="EG244" s="43"/>
      <c r="EH244" s="43"/>
      <c r="EI244" s="43"/>
      <c r="EJ244" s="43"/>
      <c r="EK244" s="43"/>
      <c r="EL244" s="43"/>
      <c r="EM244" s="43"/>
      <c r="EN244" s="43"/>
      <c r="EO244" s="43"/>
      <c r="EP244" s="43"/>
      <c r="EQ244" s="43"/>
      <c r="ER244" s="43"/>
      <c r="ES244" s="43"/>
      <c r="ET244" s="43"/>
    </row>
    <row r="245" spans="2:15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6"/>
      <c r="H245" s="61"/>
      <c r="I245" s="70">
        <v>1</v>
      </c>
      <c r="J245" s="99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78"/>
      <c r="AN245" s="77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78"/>
      <c r="BR245" s="99" t="s">
        <v>400</v>
      </c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78"/>
      <c r="CV245" s="74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  <c r="EA245" s="43"/>
      <c r="EB245" s="43"/>
      <c r="EC245" s="43"/>
      <c r="ED245" s="43"/>
      <c r="EE245" s="43"/>
      <c r="EF245" s="43"/>
      <c r="EG245" s="43"/>
      <c r="EH245" s="43"/>
      <c r="EI245" s="43"/>
      <c r="EJ245" s="43"/>
      <c r="EK245" s="43"/>
      <c r="EL245" s="43"/>
      <c r="EM245" s="43"/>
      <c r="EN245" s="43"/>
      <c r="EO245" s="43"/>
      <c r="EP245" s="43"/>
      <c r="EQ245" s="43"/>
      <c r="ER245" s="43"/>
      <c r="ES245" s="43"/>
      <c r="ET245" s="43"/>
    </row>
    <row r="246" spans="2:15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6"/>
      <c r="H246" s="61"/>
      <c r="I246" s="70">
        <v>1</v>
      </c>
      <c r="J246" s="99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78"/>
      <c r="AN246" s="77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78"/>
      <c r="BR246" s="99" t="s">
        <v>401</v>
      </c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78"/>
      <c r="CV246" s="74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  <c r="EA246" s="43"/>
      <c r="EB246" s="43"/>
      <c r="EC246" s="43"/>
      <c r="ED246" s="43"/>
      <c r="EE246" s="43"/>
      <c r="EF246" s="43"/>
      <c r="EG246" s="43"/>
      <c r="EH246" s="43"/>
      <c r="EI246" s="43"/>
      <c r="EJ246" s="43"/>
      <c r="EK246" s="43"/>
      <c r="EL246" s="43"/>
      <c r="EM246" s="43"/>
      <c r="EN246" s="43"/>
      <c r="EO246" s="43"/>
      <c r="EP246" s="43"/>
      <c r="EQ246" s="43"/>
      <c r="ER246" s="43"/>
      <c r="ES246" s="43"/>
      <c r="ET246" s="43"/>
    </row>
    <row r="247" spans="2:15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6"/>
      <c r="H247" s="61"/>
      <c r="I247" s="70">
        <v>1</v>
      </c>
      <c r="J247" s="99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78"/>
      <c r="AN247" s="77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78"/>
      <c r="BR247" s="99" t="s">
        <v>402</v>
      </c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78"/>
      <c r="CV247" s="74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  <c r="EA247" s="43"/>
      <c r="EB247" s="43"/>
      <c r="EC247" s="43"/>
      <c r="ED247" s="43"/>
      <c r="EE247" s="43"/>
      <c r="EF247" s="43"/>
      <c r="EG247" s="43"/>
      <c r="EH247" s="43"/>
      <c r="EI247" s="43"/>
      <c r="EJ247" s="43"/>
      <c r="EK247" s="43"/>
      <c r="EL247" s="43"/>
      <c r="EM247" s="43"/>
      <c r="EN247" s="43"/>
      <c r="EO247" s="43"/>
      <c r="EP247" s="43"/>
      <c r="EQ247" s="43"/>
      <c r="ER247" s="43"/>
      <c r="ES247" s="43"/>
      <c r="ET247" s="43"/>
    </row>
    <row r="248" spans="2:15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6"/>
      <c r="H248" s="61"/>
      <c r="I248" s="70">
        <v>1</v>
      </c>
      <c r="J248" s="99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78"/>
      <c r="AN248" s="77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78"/>
      <c r="BR248" s="99" t="s">
        <v>414</v>
      </c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78"/>
      <c r="CV248" s="74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  <c r="EA248" s="43"/>
      <c r="EB248" s="43"/>
      <c r="EC248" s="43"/>
      <c r="ED248" s="43"/>
      <c r="EE248" s="43"/>
      <c r="EF248" s="43"/>
      <c r="EG248" s="43"/>
      <c r="EH248" s="43"/>
      <c r="EI248" s="43"/>
      <c r="EJ248" s="43"/>
      <c r="EK248" s="43"/>
      <c r="EL248" s="43"/>
      <c r="EM248" s="43"/>
      <c r="EN248" s="43"/>
      <c r="EO248" s="43"/>
      <c r="EP248" s="43"/>
      <c r="EQ248" s="43"/>
      <c r="ER248" s="43"/>
      <c r="ES248" s="43"/>
      <c r="ET248" s="43"/>
    </row>
    <row r="249" spans="2:15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6"/>
      <c r="H249" s="61"/>
      <c r="I249" s="70">
        <v>1</v>
      </c>
      <c r="J249" s="99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78"/>
      <c r="AN249" s="77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78"/>
      <c r="BR249" s="99" t="s">
        <v>403</v>
      </c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78"/>
      <c r="CV249" s="74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  <c r="EA249" s="43"/>
      <c r="EB249" s="43"/>
      <c r="EC249" s="43"/>
      <c r="ED249" s="43"/>
      <c r="EE249" s="43"/>
      <c r="EF249" s="43"/>
      <c r="EG249" s="43"/>
      <c r="EH249" s="43"/>
      <c r="EI249" s="43"/>
      <c r="EJ249" s="43"/>
      <c r="EK249" s="43"/>
      <c r="EL249" s="43"/>
      <c r="EM249" s="43"/>
      <c r="EN249" s="43"/>
      <c r="EO249" s="43"/>
      <c r="EP249" s="43"/>
      <c r="EQ249" s="43"/>
      <c r="ER249" s="43"/>
      <c r="ES249" s="43"/>
      <c r="ET249" s="43"/>
    </row>
    <row r="250" spans="2:15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6"/>
      <c r="H250" s="61"/>
      <c r="I250" s="70">
        <v>1</v>
      </c>
      <c r="J250" s="99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78"/>
      <c r="AN250" s="77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78"/>
      <c r="BR250" s="99" t="s">
        <v>404</v>
      </c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78"/>
      <c r="CV250" s="74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  <c r="EA250" s="43"/>
      <c r="EB250" s="43"/>
      <c r="EC250" s="43"/>
      <c r="ED250" s="43"/>
      <c r="EE250" s="43"/>
      <c r="EF250" s="43"/>
      <c r="EG250" s="43"/>
      <c r="EH250" s="43"/>
      <c r="EI250" s="43"/>
      <c r="EJ250" s="43"/>
      <c r="EK250" s="43"/>
      <c r="EL250" s="43"/>
      <c r="EM250" s="43"/>
      <c r="EN250" s="43"/>
      <c r="EO250" s="43"/>
      <c r="EP250" s="43"/>
      <c r="EQ250" s="43"/>
      <c r="ER250" s="43"/>
      <c r="ES250" s="43"/>
      <c r="ET250" s="43"/>
    </row>
    <row r="251" spans="2:15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6"/>
      <c r="H251" s="61"/>
      <c r="I251" s="70">
        <v>1</v>
      </c>
      <c r="J251" s="98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78"/>
      <c r="AN251" s="77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78"/>
      <c r="BR251" s="98" t="s">
        <v>409</v>
      </c>
      <c r="BS251" s="43" t="s">
        <v>411</v>
      </c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78"/>
      <c r="CV251" s="74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  <c r="EA251" s="43"/>
      <c r="EB251" s="43"/>
      <c r="EC251" s="43"/>
      <c r="ED251" s="43"/>
      <c r="EE251" s="43"/>
      <c r="EF251" s="43"/>
      <c r="EG251" s="43"/>
      <c r="EH251" s="43"/>
      <c r="EI251" s="43"/>
      <c r="EJ251" s="43"/>
      <c r="EK251" s="43"/>
      <c r="EL251" s="43"/>
      <c r="EM251" s="43"/>
      <c r="EN251" s="43"/>
      <c r="EO251" s="43"/>
      <c r="EP251" s="43"/>
      <c r="EQ251" s="43"/>
      <c r="ER251" s="43"/>
      <c r="ES251" s="43"/>
      <c r="ET251" s="43"/>
    </row>
    <row r="252" spans="2:15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70">
        <v>1</v>
      </c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78"/>
      <c r="AN252" s="77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78"/>
      <c r="BR252" s="77" t="s">
        <v>415</v>
      </c>
      <c r="BS252" s="43"/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78"/>
      <c r="CV252" s="74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  <c r="EA252" s="43"/>
      <c r="EB252" s="43"/>
      <c r="EC252" s="43"/>
      <c r="ED252" s="43"/>
      <c r="EE252" s="43"/>
      <c r="EF252" s="43"/>
      <c r="EG252" s="43"/>
      <c r="EH252" s="43"/>
      <c r="EI252" s="43"/>
      <c r="EJ252" s="43"/>
      <c r="EK252" s="43"/>
      <c r="EL252" s="43"/>
      <c r="EM252" s="43"/>
      <c r="EN252" s="43"/>
      <c r="EO252" s="43"/>
      <c r="EP252" s="43"/>
      <c r="EQ252" s="43"/>
      <c r="ER252" s="43"/>
      <c r="ES252" s="43"/>
      <c r="ET252" s="43"/>
    </row>
    <row r="253" spans="2:15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70">
        <v>1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78"/>
      <c r="AN253" s="77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78"/>
      <c r="BR253" s="77" t="s">
        <v>416</v>
      </c>
      <c r="BS253" s="43"/>
      <c r="BT253" s="43"/>
      <c r="BU253" s="43"/>
      <c r="BV253" s="43"/>
      <c r="BW253" s="43"/>
      <c r="BX253" s="43"/>
      <c r="BY253" s="43"/>
      <c r="BZ253" s="43"/>
      <c r="CA253" s="43"/>
      <c r="CB253" s="43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78"/>
      <c r="CV253" s="74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  <c r="EA253" s="43"/>
      <c r="EB253" s="43"/>
      <c r="EC253" s="43"/>
      <c r="ED253" s="43"/>
      <c r="EE253" s="43"/>
      <c r="EF253" s="43"/>
      <c r="EG253" s="43"/>
      <c r="EH253" s="43"/>
      <c r="EI253" s="43"/>
      <c r="EJ253" s="43"/>
      <c r="EK253" s="43"/>
      <c r="EL253" s="43"/>
      <c r="EM253" s="43"/>
      <c r="EN253" s="43"/>
      <c r="EO253" s="43"/>
      <c r="EP253" s="43"/>
      <c r="EQ253" s="43"/>
      <c r="ER253" s="43"/>
      <c r="ES253" s="43"/>
      <c r="ET253" s="43"/>
    </row>
    <row r="254" spans="2:15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99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78"/>
      <c r="AN254" s="77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78"/>
      <c r="BR254" s="99" t="s">
        <v>399</v>
      </c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78"/>
      <c r="CV254" s="74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  <c r="EA254" s="43"/>
      <c r="EB254" s="43"/>
      <c r="EC254" s="43"/>
      <c r="ED254" s="43"/>
      <c r="EE254" s="43"/>
      <c r="EF254" s="43"/>
      <c r="EG254" s="43"/>
      <c r="EH254" s="43"/>
      <c r="EI254" s="43"/>
      <c r="EJ254" s="43"/>
      <c r="EK254" s="43"/>
      <c r="EL254" s="43"/>
      <c r="EM254" s="43"/>
      <c r="EN254" s="43"/>
      <c r="EO254" s="43"/>
      <c r="EP254" s="43"/>
      <c r="EQ254" s="43"/>
      <c r="ER254" s="43"/>
      <c r="ES254" s="43"/>
      <c r="ET254" s="43"/>
    </row>
    <row r="255" spans="2:15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99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78"/>
      <c r="AN255" s="77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78"/>
      <c r="BR255" s="99" t="s">
        <v>400</v>
      </c>
      <c r="BS255" s="43"/>
      <c r="BT255" s="43"/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78"/>
      <c r="CV255" s="74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  <c r="EA255" s="43"/>
      <c r="EB255" s="43"/>
      <c r="EC255" s="43"/>
      <c r="ED255" s="43"/>
      <c r="EE255" s="43"/>
      <c r="EF255" s="43"/>
      <c r="EG255" s="43"/>
      <c r="EH255" s="43"/>
      <c r="EI255" s="43"/>
      <c r="EJ255" s="43"/>
      <c r="EK255" s="43"/>
      <c r="EL255" s="43"/>
      <c r="EM255" s="43"/>
      <c r="EN255" s="43"/>
      <c r="EO255" s="43"/>
      <c r="EP255" s="43"/>
      <c r="EQ255" s="43"/>
      <c r="ER255" s="43"/>
      <c r="ES255" s="43"/>
      <c r="ET255" s="43"/>
    </row>
    <row r="256" spans="2:15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99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78"/>
      <c r="AN256" s="77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78"/>
      <c r="BR256" s="99" t="s">
        <v>401</v>
      </c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78"/>
      <c r="CV256" s="74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  <c r="EA256" s="43"/>
      <c r="EB256" s="43"/>
      <c r="EC256" s="43"/>
      <c r="ED256" s="43"/>
      <c r="EE256" s="43"/>
      <c r="EF256" s="43"/>
      <c r="EG256" s="43"/>
      <c r="EH256" s="43"/>
      <c r="EI256" s="43"/>
      <c r="EJ256" s="43"/>
      <c r="EK256" s="43"/>
      <c r="EL256" s="43"/>
      <c r="EM256" s="43"/>
      <c r="EN256" s="43"/>
      <c r="EO256" s="43"/>
      <c r="EP256" s="43"/>
      <c r="EQ256" s="43"/>
      <c r="ER256" s="43"/>
      <c r="ES256" s="43"/>
      <c r="ET256" s="43"/>
    </row>
    <row r="257" spans="2:15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99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78"/>
      <c r="AN257" s="77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78"/>
      <c r="BR257" s="99" t="s">
        <v>402</v>
      </c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78"/>
      <c r="CV257" s="74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  <c r="EA257" s="43"/>
      <c r="EB257" s="43"/>
      <c r="EC257" s="43"/>
      <c r="ED257" s="43"/>
      <c r="EE257" s="43"/>
      <c r="EF257" s="43"/>
      <c r="EG257" s="43"/>
      <c r="EH257" s="43"/>
      <c r="EI257" s="43"/>
      <c r="EJ257" s="43"/>
      <c r="EK257" s="43"/>
      <c r="EL257" s="43"/>
      <c r="EM257" s="43"/>
      <c r="EN257" s="43"/>
      <c r="EO257" s="43"/>
      <c r="EP257" s="43"/>
      <c r="EQ257" s="43"/>
      <c r="ER257" s="43"/>
      <c r="ES257" s="43"/>
      <c r="ET257" s="43"/>
    </row>
    <row r="258" spans="2:15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99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78"/>
      <c r="AN258" s="77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78"/>
      <c r="BR258" s="99" t="s">
        <v>417</v>
      </c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78"/>
      <c r="CV258" s="74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  <c r="EA258" s="43"/>
      <c r="EB258" s="43"/>
      <c r="EC258" s="43"/>
      <c r="ED258" s="43"/>
      <c r="EE258" s="43"/>
      <c r="EF258" s="43"/>
      <c r="EG258" s="43"/>
      <c r="EH258" s="43"/>
      <c r="EI258" s="43"/>
      <c r="EJ258" s="43"/>
      <c r="EK258" s="43"/>
      <c r="EL258" s="43"/>
      <c r="EM258" s="43"/>
      <c r="EN258" s="43"/>
      <c r="EO258" s="43"/>
      <c r="EP258" s="43"/>
      <c r="EQ258" s="43"/>
      <c r="ER258" s="43"/>
      <c r="ES258" s="43"/>
      <c r="ET258" s="43"/>
    </row>
    <row r="259" spans="2:15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99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78"/>
      <c r="AN259" s="77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78"/>
      <c r="BR259" s="99" t="s">
        <v>405</v>
      </c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78"/>
      <c r="CV259" s="74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  <c r="EA259" s="43"/>
      <c r="EB259" s="43"/>
      <c r="EC259" s="43"/>
      <c r="ED259" s="43"/>
      <c r="EE259" s="43"/>
      <c r="EF259" s="43"/>
      <c r="EG259" s="43"/>
      <c r="EH259" s="43"/>
      <c r="EI259" s="43"/>
      <c r="EJ259" s="43"/>
      <c r="EK259" s="43"/>
      <c r="EL259" s="43"/>
      <c r="EM259" s="43"/>
      <c r="EN259" s="43"/>
      <c r="EO259" s="43"/>
      <c r="EP259" s="43"/>
      <c r="EQ259" s="43"/>
      <c r="ER259" s="43"/>
      <c r="ES259" s="43"/>
      <c r="ET259" s="43"/>
    </row>
    <row r="260" spans="2:15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99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78"/>
      <c r="AN260" s="77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78"/>
      <c r="BR260" s="99" t="s">
        <v>403</v>
      </c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78"/>
      <c r="CV260" s="74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  <c r="EA260" s="43"/>
      <c r="EB260" s="43"/>
      <c r="EC260" s="43"/>
      <c r="ED260" s="43"/>
      <c r="EE260" s="43"/>
      <c r="EF260" s="43"/>
      <c r="EG260" s="43"/>
      <c r="EH260" s="43"/>
      <c r="EI260" s="43"/>
      <c r="EJ260" s="43"/>
      <c r="EK260" s="43"/>
      <c r="EL260" s="43"/>
      <c r="EM260" s="43"/>
      <c r="EN260" s="43"/>
      <c r="EO260" s="43"/>
      <c r="EP260" s="43"/>
      <c r="EQ260" s="43"/>
      <c r="ER260" s="43"/>
      <c r="ES260" s="43"/>
      <c r="ET260" s="43"/>
    </row>
    <row r="261" spans="2:15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99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78"/>
      <c r="AN261" s="77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78"/>
      <c r="BR261" s="99" t="s">
        <v>404</v>
      </c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78"/>
      <c r="CV261" s="74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  <c r="EA261" s="43"/>
      <c r="EB261" s="43"/>
      <c r="EC261" s="43"/>
      <c r="ED261" s="43"/>
      <c r="EE261" s="43"/>
      <c r="EF261" s="43"/>
      <c r="EG261" s="43"/>
      <c r="EH261" s="43"/>
      <c r="EI261" s="43"/>
      <c r="EJ261" s="43"/>
      <c r="EK261" s="43"/>
      <c r="EL261" s="43"/>
      <c r="EM261" s="43"/>
      <c r="EN261" s="43"/>
      <c r="EO261" s="43"/>
      <c r="EP261" s="43"/>
      <c r="EQ261" s="43"/>
      <c r="ER261" s="43"/>
      <c r="ES261" s="43"/>
      <c r="ET261" s="43"/>
    </row>
    <row r="262" spans="2:15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98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78"/>
      <c r="AN262" s="77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78"/>
      <c r="BR262" s="98" t="s">
        <v>412</v>
      </c>
      <c r="BS262" s="43" t="s">
        <v>413</v>
      </c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78"/>
      <c r="CV262" s="74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  <c r="EA262" s="43"/>
      <c r="EB262" s="43"/>
      <c r="EC262" s="43"/>
      <c r="ED262" s="43"/>
      <c r="EE262" s="43"/>
      <c r="EF262" s="43"/>
      <c r="EG262" s="43"/>
      <c r="EH262" s="43"/>
      <c r="EI262" s="43"/>
      <c r="EJ262" s="43"/>
      <c r="EK262" s="43"/>
      <c r="EL262" s="43"/>
      <c r="EM262" s="43"/>
      <c r="EN262" s="43"/>
      <c r="EO262" s="43"/>
      <c r="EP262" s="43"/>
      <c r="EQ262" s="43"/>
      <c r="ER262" s="43"/>
      <c r="ES262" s="43"/>
      <c r="ET262" s="43"/>
    </row>
    <row r="263" spans="2:15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78"/>
      <c r="AN263" s="77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78"/>
      <c r="BR263" s="77" t="s">
        <v>418</v>
      </c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78"/>
      <c r="CV263" s="74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43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</row>
    <row r="264" spans="2:15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99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78"/>
      <c r="AN264" s="77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78"/>
      <c r="BR264" s="99" t="s">
        <v>399</v>
      </c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78"/>
      <c r="CV264" s="74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43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</row>
    <row r="265" spans="2:15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78"/>
      <c r="AN265" s="77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78"/>
      <c r="BR265" s="99" t="s">
        <v>400</v>
      </c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78"/>
      <c r="CV265" s="74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43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</row>
    <row r="266" spans="2:15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9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78"/>
      <c r="AN266" s="77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78"/>
      <c r="BR266" s="99" t="s">
        <v>401</v>
      </c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78"/>
      <c r="CV266" s="74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43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</row>
    <row r="267" spans="2:15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99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78"/>
      <c r="AN267" s="77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78"/>
      <c r="BR267" s="99" t="s">
        <v>402</v>
      </c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78"/>
      <c r="CV267" s="74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43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</row>
    <row r="268" spans="2:15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99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78"/>
      <c r="AN268" s="77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78"/>
      <c r="BR268" s="99" t="s">
        <v>406</v>
      </c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78"/>
      <c r="CV268" s="74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43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</row>
    <row r="269" spans="2:15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78"/>
      <c r="AN269" s="77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78"/>
      <c r="BR269" s="99" t="s">
        <v>403</v>
      </c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78"/>
      <c r="CV269" s="74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43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</row>
    <row r="270" spans="2:15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78"/>
      <c r="AN270" s="77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78"/>
      <c r="BR270" s="99" t="s">
        <v>404</v>
      </c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78"/>
      <c r="CV270" s="74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43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</row>
    <row r="271" spans="2:15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78"/>
      <c r="AN271" s="77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78"/>
      <c r="BR271" s="77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78"/>
      <c r="CV271" s="74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43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</row>
    <row r="272" spans="2:150" s="46" customFormat="1" ht="14.25" customHeight="1" x14ac:dyDescent="0.15">
      <c r="B272" s="75">
        <f>IF(G272&lt;&gt;"",SUBTOTAL(3,$G$5:G272),"")</f>
        <v>91</v>
      </c>
      <c r="C272" s="75"/>
      <c r="D272" s="75"/>
      <c r="E272" s="76" t="s">
        <v>140</v>
      </c>
      <c r="F272" s="76" t="s">
        <v>143</v>
      </c>
      <c r="G272" s="76" t="s">
        <v>242</v>
      </c>
      <c r="H272" s="61">
        <v>44108</v>
      </c>
      <c r="I272" s="62">
        <v>0.5</v>
      </c>
      <c r="J272" s="77" t="s">
        <v>1</v>
      </c>
      <c r="K272" s="43" t="s">
        <v>408</v>
      </c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78"/>
      <c r="AN272" s="77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78"/>
      <c r="BR272" s="77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78"/>
      <c r="CV272" s="74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43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</row>
    <row r="273" spans="2:150" s="46" customFormat="1" ht="14.25" customHeigh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68">
        <v>0.5</v>
      </c>
      <c r="J273" s="83"/>
      <c r="K273" s="84"/>
      <c r="L273" s="84"/>
      <c r="M273" s="84"/>
      <c r="N273" s="84"/>
      <c r="O273" s="84"/>
      <c r="P273" s="84"/>
      <c r="Q273" s="84"/>
      <c r="R273" s="85" t="s">
        <v>407</v>
      </c>
      <c r="S273" s="84"/>
      <c r="T273" s="84"/>
      <c r="U273" s="84"/>
      <c r="V273" s="84"/>
      <c r="W273" s="84"/>
      <c r="X273" s="84"/>
      <c r="Y273" s="84"/>
      <c r="Z273" s="84"/>
      <c r="AA273" s="84"/>
      <c r="AB273" s="84"/>
      <c r="AC273" s="84"/>
      <c r="AD273" s="84"/>
      <c r="AE273" s="84"/>
      <c r="AF273" s="84"/>
      <c r="AG273" s="84"/>
      <c r="AH273" s="84"/>
      <c r="AI273" s="84"/>
      <c r="AJ273" s="84"/>
      <c r="AK273" s="84"/>
      <c r="AL273" s="84"/>
      <c r="AM273" s="86"/>
      <c r="AN273" s="77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78"/>
      <c r="BR273" s="77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78"/>
      <c r="CV273" s="74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43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</row>
    <row r="274" spans="2:150" s="46" customFormat="1" ht="14.25" customHeigh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68">
        <v>0.5</v>
      </c>
      <c r="J274" s="87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6"/>
      <c r="AN274" s="77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78"/>
      <c r="BR274" s="77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78"/>
      <c r="CV274" s="74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43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</row>
    <row r="275" spans="2:150" s="46" customFormat="1" ht="14.25" customHeigh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68">
        <v>0.5</v>
      </c>
      <c r="J275" s="83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6"/>
      <c r="AN275" s="77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78"/>
      <c r="BR275" s="77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78"/>
      <c r="CV275" s="74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43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</row>
    <row r="276" spans="2:150" s="46" customFormat="1" ht="14.25" customHeigh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68">
        <v>0.5</v>
      </c>
      <c r="J276" s="83" t="s">
        <v>243</v>
      </c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6"/>
      <c r="AN276" s="77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78"/>
      <c r="BR276" s="77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78"/>
      <c r="CV276" s="74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  <c r="EA276" s="43"/>
      <c r="EB276" s="43"/>
      <c r="EC276" s="43"/>
      <c r="ED276" s="43"/>
      <c r="EE276" s="43"/>
      <c r="EF276" s="43"/>
      <c r="EG276" s="43"/>
      <c r="EH276" s="43"/>
      <c r="EI276" s="43"/>
      <c r="EJ276" s="43"/>
      <c r="EK276" s="43"/>
      <c r="EL276" s="43"/>
      <c r="EM276" s="43"/>
      <c r="EN276" s="43"/>
      <c r="EO276" s="43"/>
      <c r="EP276" s="43"/>
      <c r="EQ276" s="43"/>
      <c r="ER276" s="43"/>
      <c r="ES276" s="43"/>
      <c r="ET276" s="43"/>
    </row>
    <row r="277" spans="2:150" s="46" customFormat="1" ht="14.25" customHeigh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68">
        <v>0.5</v>
      </c>
      <c r="J277" s="83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6"/>
      <c r="AN277" s="77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78"/>
      <c r="BR277" s="77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78"/>
      <c r="CV277" s="74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  <c r="EA277" s="43"/>
      <c r="EB277" s="43"/>
      <c r="EC277" s="43"/>
      <c r="ED277" s="43"/>
      <c r="EE277" s="43"/>
      <c r="EF277" s="43"/>
      <c r="EG277" s="43"/>
      <c r="EH277" s="43"/>
      <c r="EI277" s="43"/>
      <c r="EJ277" s="43"/>
      <c r="EK277" s="43"/>
      <c r="EL277" s="43"/>
      <c r="EM277" s="43"/>
      <c r="EN277" s="43"/>
      <c r="EO277" s="43"/>
      <c r="EP277" s="43"/>
      <c r="EQ277" s="43"/>
      <c r="ER277" s="43"/>
      <c r="ES277" s="43"/>
      <c r="ET277" s="43"/>
    </row>
    <row r="278" spans="2:150" s="46" customFormat="1" ht="14.25" customHeigh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68">
        <v>0.5</v>
      </c>
      <c r="J278" s="83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6"/>
      <c r="AN278" s="77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78"/>
      <c r="BR278" s="77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78"/>
      <c r="CV278" s="74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  <c r="EA278" s="43"/>
      <c r="EB278" s="43"/>
      <c r="EC278" s="43"/>
      <c r="ED278" s="43"/>
      <c r="EE278" s="43"/>
      <c r="EF278" s="43"/>
      <c r="EG278" s="43"/>
      <c r="EH278" s="43"/>
      <c r="EI278" s="43"/>
      <c r="EJ278" s="43"/>
      <c r="EK278" s="43"/>
      <c r="EL278" s="43"/>
      <c r="EM278" s="43"/>
      <c r="EN278" s="43"/>
      <c r="EO278" s="43"/>
      <c r="EP278" s="43"/>
      <c r="EQ278" s="43"/>
      <c r="ER278" s="43"/>
      <c r="ES278" s="43"/>
      <c r="ET278" s="43"/>
    </row>
    <row r="279" spans="2:150" s="46" customFormat="1" ht="14.25" customHeigh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68">
        <v>0.5</v>
      </c>
      <c r="J279" s="83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6"/>
      <c r="AN279" s="77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78"/>
      <c r="BR279" s="77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78"/>
      <c r="CV279" s="74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  <c r="EA279" s="43"/>
      <c r="EB279" s="43"/>
      <c r="EC279" s="43"/>
      <c r="ED279" s="43"/>
      <c r="EE279" s="43"/>
      <c r="EF279" s="43"/>
      <c r="EG279" s="43"/>
      <c r="EH279" s="43"/>
      <c r="EI279" s="43"/>
      <c r="EJ279" s="43"/>
      <c r="EK279" s="43"/>
      <c r="EL279" s="43"/>
      <c r="EM279" s="43"/>
      <c r="EN279" s="43"/>
      <c r="EO279" s="43"/>
      <c r="EP279" s="43"/>
      <c r="EQ279" s="43"/>
      <c r="ER279" s="43"/>
      <c r="ES279" s="43"/>
      <c r="ET279" s="43"/>
    </row>
    <row r="280" spans="2:150" s="46" customFormat="1" ht="14.25" customHeigh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68">
        <v>0.5</v>
      </c>
      <c r="J280" s="83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6"/>
      <c r="AN280" s="77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78"/>
      <c r="BR280" s="77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78"/>
      <c r="CV280" s="74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43"/>
      <c r="EL280" s="43"/>
      <c r="EM280" s="43"/>
      <c r="EN280" s="43"/>
      <c r="EO280" s="43"/>
      <c r="EP280" s="43"/>
      <c r="EQ280" s="43"/>
      <c r="ER280" s="43"/>
      <c r="ES280" s="43"/>
      <c r="ET280" s="43"/>
    </row>
    <row r="281" spans="2:150" s="46" customFormat="1" ht="13.5" customHeigh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62"/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78"/>
      <c r="AN281" s="77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78"/>
      <c r="BR281" s="77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78"/>
      <c r="CV281" s="74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  <c r="EA281" s="43"/>
      <c r="EB281" s="43"/>
      <c r="EC281" s="43"/>
      <c r="ED281" s="43"/>
      <c r="EE281" s="43"/>
      <c r="EF281" s="43"/>
      <c r="EG281" s="43"/>
      <c r="EH281" s="43"/>
      <c r="EI281" s="43"/>
      <c r="EJ281" s="43"/>
      <c r="EK281" s="43"/>
      <c r="EL281" s="43"/>
      <c r="EM281" s="43"/>
      <c r="EN281" s="43"/>
      <c r="EO281" s="43"/>
      <c r="EP281" s="43"/>
      <c r="EQ281" s="43"/>
      <c r="ER281" s="43"/>
      <c r="ES281" s="43"/>
      <c r="ET281" s="43"/>
    </row>
    <row r="282" spans="2:150" ht="13.5" customHeight="1" x14ac:dyDescent="0.15">
      <c r="B282" s="58" t="str">
        <f>IF(G282&lt;&gt;"",SUBTOTAL(3,$G$5:G282),"")</f>
        <v/>
      </c>
      <c r="C282" s="58"/>
      <c r="D282" s="58"/>
      <c r="E282" s="59"/>
      <c r="F282" s="59"/>
      <c r="G282" s="59"/>
      <c r="H282" s="61"/>
      <c r="I282" s="62"/>
      <c r="J282" s="40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2"/>
      <c r="AN282" s="63"/>
      <c r="AO282" s="64"/>
      <c r="AP282" s="64"/>
      <c r="AQ282" s="64"/>
      <c r="AR282" s="64"/>
      <c r="AS282" s="64"/>
      <c r="AT282" s="64"/>
      <c r="AU282" s="64"/>
      <c r="AV282" s="64"/>
      <c r="AW282" s="64"/>
      <c r="AX282" s="64"/>
      <c r="AY282" s="64"/>
      <c r="AZ282" s="64"/>
      <c r="BA282" s="64"/>
      <c r="BB282" s="64"/>
      <c r="BC282" s="64"/>
      <c r="BD282" s="64"/>
      <c r="BE282" s="64"/>
      <c r="BF282" s="64"/>
      <c r="BG282" s="64"/>
      <c r="BH282" s="64"/>
      <c r="BI282" s="64"/>
      <c r="BJ282" s="64"/>
      <c r="BK282" s="64"/>
      <c r="BL282" s="64"/>
      <c r="BM282" s="64"/>
      <c r="BN282" s="64"/>
      <c r="BO282" s="64"/>
      <c r="BP282" s="64"/>
      <c r="BQ282" s="65"/>
      <c r="BR282" s="63"/>
      <c r="BS282" s="64"/>
      <c r="BT282" s="64"/>
      <c r="BU282" s="64"/>
      <c r="BV282" s="64"/>
      <c r="BW282" s="64"/>
      <c r="BX282" s="64"/>
      <c r="BY282" s="64"/>
      <c r="BZ282" s="64"/>
      <c r="CA282" s="64"/>
      <c r="CB282" s="64"/>
      <c r="CC282" s="64"/>
      <c r="CD282" s="64"/>
      <c r="CE282" s="64"/>
      <c r="CF282" s="64"/>
      <c r="CG282" s="64"/>
      <c r="CH282" s="64"/>
      <c r="CI282" s="64"/>
      <c r="CJ282" s="64"/>
      <c r="CK282" s="64"/>
      <c r="CL282" s="64"/>
      <c r="CM282" s="64"/>
      <c r="CN282" s="64"/>
      <c r="CO282" s="64"/>
      <c r="CP282" s="64"/>
      <c r="CQ282" s="64"/>
      <c r="CR282" s="64"/>
      <c r="CS282" s="64"/>
      <c r="CT282" s="64"/>
      <c r="CU282" s="65"/>
      <c r="CV282" s="60"/>
      <c r="DB282" s="64"/>
      <c r="DC282" s="64"/>
      <c r="DD282" s="64"/>
      <c r="DE282" s="64"/>
      <c r="DF282" s="64"/>
      <c r="DG282" s="64"/>
      <c r="DH282" s="64"/>
      <c r="DI282" s="64"/>
      <c r="DJ282" s="64"/>
      <c r="DK282" s="64"/>
      <c r="DL282" s="64"/>
      <c r="DM282" s="64"/>
      <c r="DN282" s="64"/>
      <c r="DO282" s="64"/>
      <c r="DP282" s="64"/>
      <c r="DQ282" s="64"/>
      <c r="DR282" s="64"/>
      <c r="DS282" s="64"/>
      <c r="DT282" s="64"/>
      <c r="DU282" s="64"/>
      <c r="DV282" s="64"/>
      <c r="DW282" s="64"/>
      <c r="DX282" s="64"/>
      <c r="DY282" s="64"/>
      <c r="DZ282" s="64"/>
      <c r="EA282" s="64"/>
      <c r="EB282" s="64"/>
      <c r="EC282" s="64"/>
      <c r="ED282" s="64"/>
      <c r="EE282" s="64"/>
      <c r="EF282" s="64"/>
      <c r="EG282" s="64"/>
      <c r="EH282" s="64"/>
      <c r="EI282" s="64"/>
      <c r="EJ282" s="64"/>
      <c r="EK282" s="64"/>
      <c r="EL282" s="64"/>
      <c r="EM282" s="64"/>
      <c r="EN282" s="64"/>
      <c r="EO282" s="64"/>
      <c r="EP282" s="64"/>
      <c r="EQ282" s="64"/>
      <c r="ER282" s="64"/>
      <c r="ES282" s="64"/>
      <c r="ET282" s="64"/>
    </row>
    <row r="283" spans="2:150" ht="13.5" customHeight="1" x14ac:dyDescent="0.15">
      <c r="B283" s="58" t="str">
        <f>IF(G283&lt;&gt;"",SUBTOTAL(3,$G$5:G283),"")</f>
        <v/>
      </c>
      <c r="C283" s="58"/>
      <c r="D283" s="58"/>
      <c r="E283" s="59"/>
      <c r="F283" s="59"/>
      <c r="G283" s="59"/>
      <c r="H283" s="61"/>
      <c r="I283" s="62"/>
      <c r="J283" s="63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4"/>
      <c r="Z283" s="64"/>
      <c r="AA283" s="64"/>
      <c r="AB283" s="64"/>
      <c r="AC283" s="64"/>
      <c r="AD283" s="64"/>
      <c r="AE283" s="64"/>
      <c r="AF283" s="64"/>
      <c r="AG283" s="64"/>
      <c r="AH283" s="64"/>
      <c r="AI283" s="64"/>
      <c r="AJ283" s="64"/>
      <c r="AK283" s="64"/>
      <c r="AL283" s="64"/>
      <c r="AM283" s="65"/>
      <c r="AN283" s="63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5"/>
      <c r="BR283" s="63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5"/>
      <c r="CV283" s="60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  <c r="EH283" s="64"/>
      <c r="EI283" s="64"/>
      <c r="EJ283" s="64"/>
      <c r="EK283" s="64"/>
      <c r="EL283" s="64"/>
      <c r="EM283" s="64"/>
      <c r="EN283" s="64"/>
      <c r="EO283" s="64"/>
      <c r="EP283" s="64"/>
      <c r="EQ283" s="64"/>
      <c r="ER283" s="64"/>
      <c r="ES283" s="64"/>
      <c r="ET283" s="64"/>
    </row>
    <row r="284" spans="2:150" x14ac:dyDescent="0.15">
      <c r="B284" s="58" t="str">
        <f>IF(G284&lt;&gt;"",SUBTOTAL(3,$G$5:G284),"")</f>
        <v/>
      </c>
      <c r="C284" s="58"/>
      <c r="D284" s="58"/>
      <c r="E284" s="59"/>
      <c r="F284" s="59"/>
      <c r="G284" s="59"/>
      <c r="H284" s="61"/>
      <c r="I284" s="62"/>
      <c r="J284" s="63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5"/>
      <c r="AN284" s="63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5"/>
      <c r="BR284" s="63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5"/>
      <c r="CV284" s="60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  <c r="EH284" s="64"/>
      <c r="EI284" s="64"/>
      <c r="EJ284" s="64"/>
      <c r="EK284" s="64"/>
      <c r="EL284" s="64"/>
      <c r="EM284" s="64"/>
      <c r="EN284" s="64"/>
      <c r="EO284" s="64"/>
      <c r="EP284" s="64"/>
      <c r="EQ284" s="64"/>
      <c r="ER284" s="64"/>
      <c r="ES284" s="64"/>
      <c r="ET284" s="64"/>
    </row>
    <row r="285" spans="2:150" x14ac:dyDescent="0.15">
      <c r="B285" s="58" t="str">
        <f>IF(G285&lt;&gt;"",SUBTOTAL(3,$G$5:G285),"")</f>
        <v/>
      </c>
      <c r="C285" s="58"/>
      <c r="D285" s="58"/>
      <c r="E285" s="59"/>
      <c r="F285" s="59"/>
      <c r="G285" s="59"/>
      <c r="H285" s="61"/>
      <c r="I285" s="62"/>
      <c r="J285" s="63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5"/>
      <c r="AN285" s="63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5"/>
      <c r="BR285" s="63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5"/>
      <c r="CV285" s="60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  <c r="EH285" s="64"/>
      <c r="EI285" s="64"/>
      <c r="EJ285" s="64"/>
      <c r="EK285" s="64"/>
      <c r="EL285" s="64"/>
      <c r="EM285" s="64"/>
      <c r="EN285" s="64"/>
      <c r="EO285" s="64"/>
      <c r="EP285" s="64"/>
      <c r="EQ285" s="64"/>
      <c r="ER285" s="64"/>
      <c r="ES285" s="64"/>
      <c r="ET285" s="64"/>
    </row>
    <row r="286" spans="2:150" x14ac:dyDescent="0.15">
      <c r="B286" s="58" t="str">
        <f>IF(G286&lt;&gt;"",SUBTOTAL(3,$G$5:G286),"")</f>
        <v/>
      </c>
      <c r="C286" s="58"/>
      <c r="D286" s="58"/>
      <c r="E286" s="59"/>
      <c r="F286" s="59"/>
      <c r="G286" s="59"/>
      <c r="H286" s="61"/>
      <c r="I286" s="62"/>
      <c r="J286" s="63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5"/>
      <c r="AN286" s="63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5"/>
      <c r="BR286" s="63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5"/>
      <c r="CV286" s="60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</row>
    <row r="287" spans="2:150" x14ac:dyDescent="0.15">
      <c r="B287" s="58" t="str">
        <f>IF(G287&lt;&gt;"",SUBTOTAL(3,$G$5:G287),"")</f>
        <v/>
      </c>
      <c r="C287" s="58"/>
      <c r="D287" s="58"/>
      <c r="E287" s="59"/>
      <c r="F287" s="59"/>
      <c r="G287" s="59"/>
      <c r="H287" s="61"/>
      <c r="I287" s="62"/>
      <c r="J287" s="63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5"/>
      <c r="AN287" s="63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5"/>
      <c r="BR287" s="63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5"/>
      <c r="CV287" s="60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  <c r="EH287" s="64"/>
      <c r="EI287" s="64"/>
      <c r="EJ287" s="64"/>
      <c r="EK287" s="64"/>
      <c r="EL287" s="64"/>
      <c r="EM287" s="64"/>
      <c r="EN287" s="64"/>
      <c r="EO287" s="64"/>
      <c r="EP287" s="64"/>
      <c r="EQ287" s="64"/>
      <c r="ER287" s="64"/>
      <c r="ES287" s="64"/>
      <c r="ET287" s="64"/>
    </row>
    <row r="288" spans="2:150" ht="15.75" x14ac:dyDescent="0.15">
      <c r="B288" s="58" t="str">
        <f>IF(G288&lt;&gt;"",SUBTOTAL(3,$G$5:G288),"")</f>
        <v/>
      </c>
      <c r="C288" s="58"/>
      <c r="D288" s="58"/>
      <c r="E288" s="59"/>
      <c r="F288" s="59"/>
      <c r="G288" s="59"/>
      <c r="H288" s="61"/>
      <c r="I288" s="62"/>
      <c r="J288" s="40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2"/>
      <c r="AN288" s="63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5"/>
      <c r="BR288" s="63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5"/>
      <c r="CV288" s="60"/>
      <c r="DB288" s="64"/>
      <c r="DC288" s="69"/>
      <c r="DD288" s="69"/>
      <c r="DE288" s="69"/>
      <c r="DF288" s="69"/>
      <c r="DG288" s="69"/>
      <c r="DH288" s="69"/>
      <c r="DI288" s="69"/>
      <c r="DJ288" s="69"/>
      <c r="DK288" s="69"/>
      <c r="DL288" s="69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9"/>
      <c r="EB288" s="69"/>
      <c r="EC288" s="69"/>
      <c r="ED288" s="69"/>
      <c r="EE288" s="69"/>
      <c r="EF288" s="69"/>
      <c r="EG288" s="69"/>
      <c r="EH288" s="69"/>
      <c r="EI288" s="69"/>
      <c r="EJ288" s="69"/>
      <c r="EK288" s="64"/>
      <c r="EL288" s="64"/>
      <c r="EM288" s="64"/>
      <c r="EN288" s="64"/>
      <c r="EO288" s="64"/>
      <c r="EP288" s="64"/>
      <c r="EQ288" s="64"/>
      <c r="ER288" s="64"/>
      <c r="ES288" s="64"/>
      <c r="ET288" s="64"/>
    </row>
    <row r="289" spans="2:150" x14ac:dyDescent="0.15">
      <c r="B289" s="58" t="str">
        <f>IF(G289&lt;&gt;"",SUBTOTAL(3,$G$5:G289),"")</f>
        <v/>
      </c>
      <c r="C289" s="58"/>
      <c r="D289" s="58"/>
      <c r="E289" s="59"/>
      <c r="F289" s="59"/>
      <c r="G289" s="59"/>
      <c r="H289" s="61"/>
      <c r="I289" s="62"/>
      <c r="J289" s="63"/>
      <c r="K289" s="64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4"/>
      <c r="Z289" s="64"/>
      <c r="AA289" s="64"/>
      <c r="AB289" s="64"/>
      <c r="AC289" s="64"/>
      <c r="AD289" s="64"/>
      <c r="AE289" s="64"/>
      <c r="AF289" s="64"/>
      <c r="AG289" s="64"/>
      <c r="AH289" s="64"/>
      <c r="AI289" s="64"/>
      <c r="AJ289" s="64"/>
      <c r="AK289" s="64"/>
      <c r="AL289" s="64"/>
      <c r="AM289" s="65"/>
      <c r="AN289" s="63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5"/>
      <c r="BR289" s="63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5"/>
      <c r="CV289" s="60"/>
      <c r="DB289" s="64"/>
      <c r="DC289" s="64"/>
      <c r="DD289" s="64"/>
      <c r="DE289" s="64"/>
      <c r="DF289" s="64"/>
      <c r="DG289" s="64"/>
      <c r="DH289" s="64"/>
      <c r="DI289" s="64"/>
      <c r="DJ289" s="64"/>
      <c r="DK289" s="64"/>
      <c r="DL289" s="64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4"/>
      <c r="EB289" s="64"/>
      <c r="EC289" s="64"/>
      <c r="ED289" s="64"/>
      <c r="EE289" s="64"/>
      <c r="EF289" s="64"/>
      <c r="EG289" s="64"/>
      <c r="EH289" s="64"/>
      <c r="EI289" s="64"/>
      <c r="EJ289" s="64"/>
      <c r="EK289" s="64"/>
      <c r="EL289" s="64"/>
      <c r="EM289" s="64"/>
      <c r="EN289" s="64"/>
      <c r="EO289" s="64"/>
      <c r="EP289" s="64"/>
      <c r="EQ289" s="64"/>
      <c r="ER289" s="64"/>
      <c r="ES289" s="64"/>
      <c r="ET289" s="64"/>
    </row>
    <row r="290" spans="2:150" x14ac:dyDescent="0.15">
      <c r="B290" s="58" t="str">
        <f>IF(G290&lt;&gt;"",SUBTOTAL(3,$G$5:G290),"")</f>
        <v/>
      </c>
      <c r="C290" s="58"/>
      <c r="D290" s="58"/>
      <c r="E290" s="59"/>
      <c r="F290" s="59"/>
      <c r="G290" s="59"/>
      <c r="H290" s="61"/>
      <c r="I290" s="62"/>
      <c r="J290" s="63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5"/>
      <c r="AN290" s="63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5"/>
      <c r="BR290" s="63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5"/>
      <c r="CV290" s="60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  <c r="EH290" s="64"/>
      <c r="EI290" s="64"/>
      <c r="EJ290" s="64"/>
      <c r="EK290" s="64"/>
      <c r="EL290" s="64"/>
      <c r="EM290" s="64"/>
      <c r="EN290" s="64"/>
      <c r="EO290" s="64"/>
      <c r="EP290" s="64"/>
      <c r="EQ290" s="64"/>
      <c r="ER290" s="64"/>
      <c r="ES290" s="64"/>
      <c r="ET290" s="64"/>
    </row>
    <row r="291" spans="2:150" x14ac:dyDescent="0.15">
      <c r="B291" s="58" t="str">
        <f>IF(G291&lt;&gt;"",SUBTOTAL(3,$G$5:G291),"")</f>
        <v/>
      </c>
      <c r="C291" s="58"/>
      <c r="D291" s="58"/>
      <c r="E291" s="59"/>
      <c r="F291" s="59"/>
      <c r="G291" s="59"/>
      <c r="H291" s="61"/>
      <c r="I291" s="62"/>
      <c r="J291" s="63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5"/>
      <c r="AN291" s="63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5"/>
      <c r="BR291" s="63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5"/>
      <c r="CV291" s="60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  <c r="EH291" s="64"/>
      <c r="EI291" s="64"/>
      <c r="EJ291" s="64"/>
      <c r="EK291" s="64"/>
      <c r="EL291" s="64"/>
      <c r="EM291" s="64"/>
      <c r="EN291" s="64"/>
      <c r="EO291" s="64"/>
      <c r="EP291" s="64"/>
      <c r="EQ291" s="64"/>
      <c r="ER291" s="64"/>
      <c r="ES291" s="64"/>
      <c r="ET291" s="64"/>
    </row>
    <row r="292" spans="2:150" x14ac:dyDescent="0.15">
      <c r="B292" s="58" t="str">
        <f>IF(G292&lt;&gt;"",SUBTOTAL(3,$G$5:G292),"")</f>
        <v/>
      </c>
      <c r="C292" s="58"/>
      <c r="D292" s="58"/>
      <c r="E292" s="59"/>
      <c r="F292" s="59"/>
      <c r="G292" s="59"/>
      <c r="H292" s="61"/>
      <c r="I292" s="62"/>
      <c r="J292" s="63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5"/>
      <c r="AN292" s="63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5"/>
      <c r="BR292" s="63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5"/>
      <c r="CV292" s="60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  <c r="EH292" s="64"/>
      <c r="EI292" s="64"/>
      <c r="EJ292" s="64"/>
      <c r="EK292" s="64"/>
      <c r="EL292" s="64"/>
      <c r="EM292" s="64"/>
      <c r="EN292" s="64"/>
      <c r="EO292" s="64"/>
      <c r="EP292" s="64"/>
      <c r="EQ292" s="64"/>
      <c r="ER292" s="64"/>
      <c r="ES292" s="64"/>
      <c r="ET292" s="64"/>
    </row>
    <row r="293" spans="2:150" x14ac:dyDescent="0.15">
      <c r="B293" s="58" t="str">
        <f>IF(G293&lt;&gt;"",SUBTOTAL(3,$G$5:G293),"")</f>
        <v/>
      </c>
      <c r="C293" s="58"/>
      <c r="D293" s="58"/>
      <c r="E293" s="59"/>
      <c r="F293" s="59"/>
      <c r="G293" s="59"/>
      <c r="H293" s="61"/>
      <c r="I293" s="62"/>
      <c r="J293" s="63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5"/>
      <c r="AN293" s="63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5"/>
      <c r="BR293" s="63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5"/>
      <c r="CV293" s="60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  <c r="EH293" s="64"/>
      <c r="EI293" s="64"/>
      <c r="EJ293" s="64"/>
      <c r="EK293" s="64"/>
      <c r="EL293" s="64"/>
      <c r="EM293" s="64"/>
      <c r="EN293" s="64"/>
      <c r="EO293" s="64"/>
      <c r="EP293" s="64"/>
      <c r="EQ293" s="64"/>
      <c r="ER293" s="64"/>
      <c r="ES293" s="64"/>
      <c r="ET293" s="64"/>
    </row>
    <row r="294" spans="2:150" x14ac:dyDescent="0.15">
      <c r="B294" s="58" t="str">
        <f>IF(G294&lt;&gt;"",SUBTOTAL(3,$G$5:G294),"")</f>
        <v/>
      </c>
      <c r="C294" s="58"/>
      <c r="D294" s="58"/>
      <c r="E294" s="59"/>
      <c r="F294" s="59"/>
      <c r="G294" s="59"/>
      <c r="H294" s="61"/>
      <c r="I294" s="62"/>
      <c r="J294" s="63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5"/>
      <c r="AN294" s="63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5"/>
      <c r="BR294" s="63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5"/>
      <c r="CV294" s="60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</row>
    <row r="295" spans="2:150" x14ac:dyDescent="0.15">
      <c r="B295" s="58" t="str">
        <f>IF(G295&lt;&gt;"",SUBTOTAL(3,$G$5:G295),"")</f>
        <v/>
      </c>
      <c r="C295" s="58"/>
      <c r="D295" s="58"/>
      <c r="E295" s="59"/>
      <c r="F295" s="59"/>
      <c r="G295" s="59"/>
      <c r="H295" s="61"/>
      <c r="I295" s="62"/>
      <c r="J295" s="63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5"/>
      <c r="AN295" s="63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5"/>
      <c r="BR295" s="63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5"/>
      <c r="CV295" s="60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  <c r="EH295" s="64"/>
      <c r="EI295" s="64"/>
      <c r="EJ295" s="64"/>
      <c r="EK295" s="64"/>
      <c r="EL295" s="64"/>
      <c r="EM295" s="64"/>
      <c r="EN295" s="64"/>
      <c r="EO295" s="64"/>
      <c r="EP295" s="64"/>
      <c r="EQ295" s="64"/>
      <c r="ER295" s="64"/>
      <c r="ES295" s="64"/>
      <c r="ET295" s="64"/>
    </row>
    <row r="296" spans="2:150" ht="15.75" x14ac:dyDescent="0.15">
      <c r="B296" s="58" t="str">
        <f>IF(G296&lt;&gt;"",SUBTOTAL(3,$G$5:G296),"")</f>
        <v/>
      </c>
      <c r="C296" s="58"/>
      <c r="D296" s="58"/>
      <c r="E296" s="59"/>
      <c r="F296" s="59"/>
      <c r="G296" s="59"/>
      <c r="H296" s="61"/>
      <c r="I296" s="62"/>
      <c r="J296" s="40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2"/>
      <c r="AN296" s="63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5"/>
      <c r="BR296" s="63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5"/>
      <c r="CV296" s="60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  <c r="EH296" s="64"/>
      <c r="EI296" s="64"/>
      <c r="EJ296" s="64"/>
      <c r="EK296" s="64"/>
      <c r="EL296" s="64"/>
      <c r="EM296" s="64"/>
      <c r="EN296" s="64"/>
      <c r="EO296" s="64"/>
      <c r="EP296" s="64"/>
      <c r="EQ296" s="64"/>
      <c r="ER296" s="64"/>
      <c r="ES296" s="64"/>
      <c r="ET296" s="64"/>
    </row>
    <row r="297" spans="2:150" x14ac:dyDescent="0.15">
      <c r="B297" s="58" t="str">
        <f>IF(G297&lt;&gt;"",SUBTOTAL(3,$G$5:G297),"")</f>
        <v/>
      </c>
      <c r="C297" s="58"/>
      <c r="D297" s="58"/>
      <c r="E297" s="59"/>
      <c r="F297" s="59"/>
      <c r="G297" s="59"/>
      <c r="H297" s="61"/>
      <c r="I297" s="62"/>
      <c r="J297" s="63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4"/>
      <c r="Z297" s="64"/>
      <c r="AA297" s="64"/>
      <c r="AB297" s="64"/>
      <c r="AC297" s="64"/>
      <c r="AD297" s="64"/>
      <c r="AE297" s="64"/>
      <c r="AF297" s="64"/>
      <c r="AG297" s="64"/>
      <c r="AH297" s="64"/>
      <c r="AI297" s="64"/>
      <c r="AJ297" s="64"/>
      <c r="AK297" s="64"/>
      <c r="AL297" s="64"/>
      <c r="AM297" s="65"/>
      <c r="AN297" s="63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5"/>
      <c r="BR297" s="63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5"/>
      <c r="CV297" s="60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  <c r="EH297" s="64"/>
      <c r="EI297" s="64"/>
      <c r="EJ297" s="64"/>
      <c r="EK297" s="64"/>
      <c r="EL297" s="64"/>
      <c r="EM297" s="64"/>
      <c r="EN297" s="64"/>
      <c r="EO297" s="64"/>
      <c r="EP297" s="64"/>
      <c r="EQ297" s="64"/>
      <c r="ER297" s="64"/>
      <c r="ES297" s="64"/>
      <c r="ET297" s="64"/>
    </row>
    <row r="298" spans="2:150" x14ac:dyDescent="0.15">
      <c r="B298" s="58" t="str">
        <f>IF(G298&lt;&gt;"",SUBTOTAL(3,$G$5:G298),"")</f>
        <v/>
      </c>
      <c r="C298" s="58"/>
      <c r="D298" s="58"/>
      <c r="E298" s="59"/>
      <c r="F298" s="59"/>
      <c r="G298" s="59"/>
      <c r="H298" s="61"/>
      <c r="I298" s="62"/>
      <c r="J298" s="63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5"/>
      <c r="AN298" s="63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5"/>
      <c r="BR298" s="63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5"/>
      <c r="CV298" s="60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  <c r="EH298" s="64"/>
      <c r="EI298" s="64"/>
      <c r="EJ298" s="64"/>
      <c r="EK298" s="64"/>
      <c r="EL298" s="64"/>
      <c r="EM298" s="64"/>
      <c r="EN298" s="64"/>
      <c r="EO298" s="64"/>
      <c r="EP298" s="64"/>
      <c r="EQ298" s="64"/>
      <c r="ER298" s="64"/>
      <c r="ES298" s="64"/>
      <c r="ET298" s="64"/>
    </row>
    <row r="299" spans="2:150" x14ac:dyDescent="0.15">
      <c r="B299" s="58" t="str">
        <f>IF(G299&lt;&gt;"",SUBTOTAL(3,$G$5:G299),"")</f>
        <v/>
      </c>
      <c r="C299" s="58"/>
      <c r="D299" s="58"/>
      <c r="E299" s="59"/>
      <c r="F299" s="59"/>
      <c r="G299" s="59"/>
      <c r="H299" s="61"/>
      <c r="I299" s="62"/>
      <c r="J299" s="63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5"/>
      <c r="AN299" s="63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5"/>
      <c r="BR299" s="63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5"/>
      <c r="CV299" s="60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  <c r="EH299" s="64"/>
      <c r="EI299" s="64"/>
      <c r="EJ299" s="64"/>
      <c r="EK299" s="64"/>
      <c r="EL299" s="64"/>
      <c r="EM299" s="64"/>
      <c r="EN299" s="64"/>
      <c r="EO299" s="64"/>
      <c r="EP299" s="64"/>
      <c r="EQ299" s="64"/>
      <c r="ER299" s="64"/>
      <c r="ES299" s="64"/>
      <c r="ET299" s="64"/>
    </row>
    <row r="300" spans="2:150" x14ac:dyDescent="0.15">
      <c r="B300" s="58" t="str">
        <f>IF(G300&lt;&gt;"",SUBTOTAL(3,$G$5:G300),"")</f>
        <v/>
      </c>
      <c r="C300" s="58"/>
      <c r="D300" s="58"/>
      <c r="E300" s="59"/>
      <c r="F300" s="59"/>
      <c r="G300" s="59"/>
      <c r="H300" s="61"/>
      <c r="I300" s="62"/>
      <c r="J300" s="63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5"/>
      <c r="AN300" s="63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5"/>
      <c r="BR300" s="63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5"/>
      <c r="CV300" s="60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  <c r="EH300" s="64"/>
      <c r="EI300" s="64"/>
      <c r="EJ300" s="64"/>
      <c r="EK300" s="64"/>
      <c r="EL300" s="64"/>
      <c r="EM300" s="64"/>
      <c r="EN300" s="64"/>
      <c r="EO300" s="64"/>
      <c r="EP300" s="64"/>
      <c r="EQ300" s="64"/>
      <c r="ER300" s="64"/>
      <c r="ES300" s="64"/>
      <c r="ET300" s="64"/>
    </row>
    <row r="301" spans="2:150" x14ac:dyDescent="0.15">
      <c r="B301" s="58" t="str">
        <f>IF(G301&lt;&gt;"",SUBTOTAL(3,$G$5:G301),"")</f>
        <v/>
      </c>
      <c r="C301" s="58"/>
      <c r="D301" s="58"/>
      <c r="E301" s="59"/>
      <c r="F301" s="59"/>
      <c r="G301" s="59"/>
      <c r="H301" s="61"/>
      <c r="I301" s="62"/>
      <c r="J301" s="63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5"/>
      <c r="AN301" s="63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5"/>
      <c r="BR301" s="63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5"/>
      <c r="CV301" s="60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  <c r="EH301" s="64"/>
      <c r="EI301" s="64"/>
      <c r="EJ301" s="64"/>
      <c r="EK301" s="64"/>
      <c r="EL301" s="64"/>
      <c r="EM301" s="64"/>
      <c r="EN301" s="64"/>
      <c r="EO301" s="64"/>
      <c r="EP301" s="64"/>
      <c r="EQ301" s="64"/>
      <c r="ER301" s="64"/>
      <c r="ES301" s="64"/>
      <c r="ET301" s="64"/>
    </row>
    <row r="302" spans="2:150" x14ac:dyDescent="0.15">
      <c r="B302" s="58" t="str">
        <f>IF(G302&lt;&gt;"",SUBTOTAL(3,$G$5:G302),"")</f>
        <v/>
      </c>
      <c r="C302" s="58"/>
      <c r="D302" s="58"/>
      <c r="E302" s="59"/>
      <c r="F302" s="59"/>
      <c r="G302" s="59"/>
      <c r="H302" s="61"/>
      <c r="I302" s="62"/>
      <c r="J302" s="63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5"/>
      <c r="AN302" s="63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5"/>
      <c r="BR302" s="63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5"/>
      <c r="CV302" s="60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</row>
    <row r="303" spans="2:150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63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5"/>
      <c r="AN303" s="63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5"/>
      <c r="BR303" s="63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5"/>
      <c r="CV303" s="60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  <c r="EH303" s="64"/>
      <c r="EI303" s="64"/>
      <c r="EJ303" s="64"/>
      <c r="EK303" s="64"/>
      <c r="EL303" s="64"/>
      <c r="EM303" s="64"/>
      <c r="EN303" s="64"/>
      <c r="EO303" s="64"/>
      <c r="EP303" s="64"/>
      <c r="EQ303" s="64"/>
      <c r="ER303" s="64"/>
      <c r="ES303" s="64"/>
      <c r="ET303" s="64"/>
    </row>
    <row r="304" spans="2:150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5"/>
      <c r="AN304" s="63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5"/>
      <c r="BR304" s="63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5"/>
      <c r="CV304" s="60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  <c r="EH304" s="64"/>
      <c r="EI304" s="64"/>
      <c r="EJ304" s="64"/>
      <c r="EK304" s="64"/>
      <c r="EL304" s="64"/>
      <c r="EM304" s="64"/>
      <c r="EN304" s="64"/>
      <c r="EO304" s="64"/>
      <c r="EP304" s="64"/>
      <c r="EQ304" s="64"/>
      <c r="ER304" s="64"/>
      <c r="ES304" s="64"/>
      <c r="ET304" s="64"/>
    </row>
    <row r="305" spans="2:150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63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5"/>
      <c r="AN305" s="63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5"/>
      <c r="BR305" s="63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5"/>
      <c r="CV305" s="60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  <c r="EH305" s="64"/>
      <c r="EI305" s="64"/>
      <c r="EJ305" s="64"/>
      <c r="EK305" s="64"/>
      <c r="EL305" s="64"/>
      <c r="EM305" s="64"/>
      <c r="EN305" s="64"/>
      <c r="EO305" s="64"/>
      <c r="EP305" s="64"/>
      <c r="EQ305" s="64"/>
      <c r="ER305" s="64"/>
      <c r="ES305" s="64"/>
      <c r="ET305" s="64"/>
    </row>
    <row r="306" spans="2:15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5"/>
      <c r="AN306" s="63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5"/>
      <c r="BR306" s="63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5"/>
      <c r="CV306" s="60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  <c r="EH306" s="64"/>
      <c r="EI306" s="64"/>
      <c r="EJ306" s="64"/>
      <c r="EK306" s="64"/>
      <c r="EL306" s="64"/>
      <c r="EM306" s="64"/>
      <c r="EN306" s="64"/>
      <c r="EO306" s="64"/>
      <c r="EP306" s="64"/>
      <c r="EQ306" s="64"/>
      <c r="ER306" s="64"/>
      <c r="ES306" s="64"/>
      <c r="ET306" s="64"/>
    </row>
    <row r="307" spans="2:150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63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5"/>
      <c r="AN307" s="63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5"/>
      <c r="BR307" s="63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5"/>
      <c r="CV307" s="60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  <c r="EH307" s="64"/>
      <c r="EI307" s="64"/>
      <c r="EJ307" s="64"/>
      <c r="EK307" s="64"/>
      <c r="EL307" s="64"/>
      <c r="EM307" s="64"/>
      <c r="EN307" s="64"/>
      <c r="EO307" s="64"/>
      <c r="EP307" s="64"/>
      <c r="EQ307" s="64"/>
      <c r="ER307" s="64"/>
      <c r="ES307" s="64"/>
      <c r="ET307" s="64"/>
    </row>
    <row r="308" spans="2:150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5"/>
      <c r="AN308" s="63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5"/>
      <c r="BR308" s="63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5"/>
      <c r="CV308" s="60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  <c r="EH308" s="64"/>
      <c r="EI308" s="64"/>
      <c r="EJ308" s="64"/>
      <c r="EK308" s="64"/>
      <c r="EL308" s="64"/>
      <c r="EM308" s="64"/>
      <c r="EN308" s="64"/>
      <c r="EO308" s="64"/>
      <c r="EP308" s="64"/>
      <c r="EQ308" s="64"/>
      <c r="ER308" s="64"/>
      <c r="ES308" s="64"/>
      <c r="ET308" s="64"/>
    </row>
    <row r="309" spans="2:150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5"/>
      <c r="AN309" s="63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5"/>
      <c r="BR309" s="63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5"/>
      <c r="CV309" s="60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  <c r="EH309" s="64"/>
      <c r="EI309" s="64"/>
      <c r="EJ309" s="64"/>
      <c r="EK309" s="64"/>
      <c r="EL309" s="64"/>
      <c r="EM309" s="64"/>
      <c r="EN309" s="64"/>
      <c r="EO309" s="64"/>
      <c r="EP309" s="64"/>
      <c r="EQ309" s="64"/>
      <c r="ER309" s="64"/>
      <c r="ES309" s="64"/>
      <c r="ET309" s="64"/>
    </row>
    <row r="310" spans="2:15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5"/>
      <c r="AN310" s="63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5"/>
      <c r="BR310" s="63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5"/>
      <c r="CV310" s="60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</row>
    <row r="311" spans="2:150" x14ac:dyDescent="0.15">
      <c r="B311" s="88" t="str">
        <f>IF(G311&lt;&gt;"",SUBTOTAL(3,$G$5:G311),"")</f>
        <v/>
      </c>
      <c r="C311" s="88"/>
      <c r="D311" s="88"/>
      <c r="E311" s="89"/>
      <c r="F311" s="89"/>
      <c r="G311" s="89"/>
      <c r="H311" s="90"/>
      <c r="I311" s="91"/>
      <c r="J311" s="92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4"/>
      <c r="AN311" s="92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  <c r="BI311" s="93"/>
      <c r="BJ311" s="93"/>
      <c r="BK311" s="93"/>
      <c r="BL311" s="93"/>
      <c r="BM311" s="93"/>
      <c r="BN311" s="93"/>
      <c r="BO311" s="93"/>
      <c r="BP311" s="93"/>
      <c r="BQ311" s="94"/>
      <c r="BR311" s="92"/>
      <c r="BS311" s="93"/>
      <c r="BT311" s="93"/>
      <c r="BU311" s="93"/>
      <c r="BV311" s="93"/>
      <c r="BW311" s="93"/>
      <c r="BX311" s="93"/>
      <c r="BY311" s="93"/>
      <c r="BZ311" s="93"/>
      <c r="CA311" s="93"/>
      <c r="CB311" s="93"/>
      <c r="CC311" s="93"/>
      <c r="CD311" s="93"/>
      <c r="CE311" s="93"/>
      <c r="CF311" s="93"/>
      <c r="CG311" s="93"/>
      <c r="CH311" s="93"/>
      <c r="CI311" s="93"/>
      <c r="CJ311" s="93"/>
      <c r="CK311" s="93"/>
      <c r="CL311" s="93"/>
      <c r="CM311" s="93"/>
      <c r="CN311" s="93"/>
      <c r="CO311" s="93"/>
      <c r="CP311" s="93"/>
      <c r="CQ311" s="93"/>
      <c r="CR311" s="93"/>
      <c r="CS311" s="93"/>
      <c r="CT311" s="93"/>
      <c r="CU311" s="94"/>
      <c r="CV311" s="95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  <c r="EH311" s="64"/>
      <c r="EI311" s="64"/>
      <c r="EJ311" s="64"/>
      <c r="EK311" s="64"/>
      <c r="EL311" s="64"/>
      <c r="EM311" s="64"/>
      <c r="EN311" s="64"/>
      <c r="EO311" s="64"/>
      <c r="EP311" s="64"/>
      <c r="EQ311" s="64"/>
      <c r="ER311" s="64"/>
      <c r="ES311" s="64"/>
      <c r="ET311" s="64"/>
    </row>
  </sheetData>
  <autoFilter ref="B4:CV4" xr:uid="{D6185A68-BA48-45E7-B262-844E8111256C}"/>
  <mergeCells count="10">
    <mergeCell ref="CV2:CV3"/>
    <mergeCell ref="E2:G2"/>
    <mergeCell ref="B2:B3"/>
    <mergeCell ref="H2:H3"/>
    <mergeCell ref="I2:I3"/>
    <mergeCell ref="C2:C3"/>
    <mergeCell ref="D2:D3"/>
    <mergeCell ref="J2:AM3"/>
    <mergeCell ref="AN2:BQ3"/>
    <mergeCell ref="BR2:CU3"/>
  </mergeCells>
  <phoneticPr fontId="2"/>
  <conditionalFormatting sqref="I171:I173 B282:I282 B296:I296 B288:I288 B37:D37 B44:H44 B54:H54 I144:I157 B144:H158 CV144:CV158 J144:AM158 B171:H174 J171:CV174 B283:CV287 AN282:CV282 B297:CV311 AN296:CV296 B5:CV34 B277:CV281 B289:CV295 AN288:CV288 F37:CV37 B38:CV42 J43:CV44 B45:CV52 B55:CV55 J54:CV54 B61:CV98 B100:CV143 AN144:CU157 B159:CV170 B175:CV217 J57:CV57 K35:CV35 B36:CV36 K53:CV53 K56:CV56 K218:CV218 B275:CV275 K274:CV274 K276:CV276 I158:CU158 K99:CV99 B219:CV273">
    <cfRule type="expression" dxfId="26" priority="94">
      <formula>AND($I5&lt;&gt;1,$I5&lt;&gt;"")</formula>
    </cfRule>
  </conditionalFormatting>
  <conditionalFormatting sqref="I174:AM174">
    <cfRule type="expression" dxfId="25" priority="80">
      <formula>AND($I174&lt;&gt;1,$I174&lt;&gt;"")</formula>
    </cfRule>
  </conditionalFormatting>
  <conditionalFormatting sqref="E37">
    <cfRule type="expression" dxfId="24" priority="69">
      <formula>AND($I37&lt;&gt;1,$I37&lt;&gt;"")</formula>
    </cfRule>
  </conditionalFormatting>
  <conditionalFormatting sqref="B57:H57">
    <cfRule type="expression" dxfId="23" priority="66">
      <formula>AND($I57&lt;&gt;1,$I57&lt;&gt;"")</formula>
    </cfRule>
  </conditionalFormatting>
  <conditionalFormatting sqref="B35:I35">
    <cfRule type="expression" dxfId="22" priority="61">
      <formula>AND($I35&lt;&gt;1,$I35&lt;&gt;"")</formula>
    </cfRule>
  </conditionalFormatting>
  <conditionalFormatting sqref="J35">
    <cfRule type="expression" dxfId="21" priority="55">
      <formula>AND($I35&lt;&gt;1,$I35&lt;&gt;"")</formula>
    </cfRule>
  </conditionalFormatting>
  <conditionalFormatting sqref="B43:H43">
    <cfRule type="expression" dxfId="20" priority="53">
      <formula>AND($I43&lt;&gt;1,$I43&lt;&gt;"")</formula>
    </cfRule>
  </conditionalFormatting>
  <conditionalFormatting sqref="I43">
    <cfRule type="expression" dxfId="19" priority="52">
      <formula>AND($I43&lt;&gt;1,$I43&lt;&gt;"")</formula>
    </cfRule>
  </conditionalFormatting>
  <conditionalFormatting sqref="I44">
    <cfRule type="expression" dxfId="18" priority="51">
      <formula>AND($I44&lt;&gt;1,$I44&lt;&gt;"")</formula>
    </cfRule>
  </conditionalFormatting>
  <conditionalFormatting sqref="B53:I53">
    <cfRule type="expression" dxfId="17" priority="48">
      <formula>AND($I53&lt;&gt;1,$I53&lt;&gt;"")</formula>
    </cfRule>
  </conditionalFormatting>
  <conditionalFormatting sqref="J53">
    <cfRule type="expression" dxfId="16" priority="47">
      <formula>AND($I53&lt;&gt;1,$I53&lt;&gt;"")</formula>
    </cfRule>
  </conditionalFormatting>
  <conditionalFormatting sqref="I54">
    <cfRule type="expression" dxfId="15" priority="46">
      <formula>AND($I54&lt;&gt;1,$I54&lt;&gt;"")</formula>
    </cfRule>
  </conditionalFormatting>
  <conditionalFormatting sqref="B56:I56">
    <cfRule type="expression" dxfId="14" priority="45">
      <formula>AND($I56&lt;&gt;1,$I56&lt;&gt;"")</formula>
    </cfRule>
  </conditionalFormatting>
  <conditionalFormatting sqref="J56">
    <cfRule type="expression" dxfId="13" priority="44">
      <formula>AND($I56&lt;&gt;1,$I56&lt;&gt;"")</formula>
    </cfRule>
  </conditionalFormatting>
  <conditionalFormatting sqref="I57">
    <cfRule type="expression" dxfId="12" priority="43">
      <formula>AND($I57&lt;&gt;1,$I57&lt;&gt;"")</formula>
    </cfRule>
  </conditionalFormatting>
  <conditionalFormatting sqref="B99:I99">
    <cfRule type="expression" dxfId="11" priority="33">
      <formula>AND($I99&lt;&gt;1,$I99&lt;&gt;"")</formula>
    </cfRule>
  </conditionalFormatting>
  <conditionalFormatting sqref="J99">
    <cfRule type="expression" dxfId="10" priority="31">
      <formula>AND($I99&lt;&gt;1,$I99&lt;&gt;"")</formula>
    </cfRule>
  </conditionalFormatting>
  <conditionalFormatting sqref="B218:I218">
    <cfRule type="expression" dxfId="9" priority="16">
      <formula>AND($I218&lt;&gt;1,$I218&lt;&gt;"")</formula>
    </cfRule>
  </conditionalFormatting>
  <conditionalFormatting sqref="J218">
    <cfRule type="expression" dxfId="8" priority="15">
      <formula>AND($I218&lt;&gt;1,$I218&lt;&gt;"")</formula>
    </cfRule>
  </conditionalFormatting>
  <conditionalFormatting sqref="B274:I274 B276:I276">
    <cfRule type="expression" dxfId="7" priority="8">
      <formula>AND($I274&lt;&gt;1,$I274&lt;&gt;"")</formula>
    </cfRule>
  </conditionalFormatting>
  <conditionalFormatting sqref="J276">
    <cfRule type="expression" dxfId="6" priority="7">
      <formula>AND($I276&lt;&gt;1,$I276&lt;&gt;"")</formula>
    </cfRule>
  </conditionalFormatting>
  <conditionalFormatting sqref="J58:CV58 J60:CV60">
    <cfRule type="expression" dxfId="5" priority="6">
      <formula>AND($I58&lt;&gt;1,$I58&lt;&gt;"")</formula>
    </cfRule>
  </conditionalFormatting>
  <conditionalFormatting sqref="B58:H58 B60:H60">
    <cfRule type="expression" dxfId="4" priority="5">
      <formula>AND($I58&lt;&gt;1,$I58&lt;&gt;"")</formula>
    </cfRule>
  </conditionalFormatting>
  <conditionalFormatting sqref="I58 I60">
    <cfRule type="expression" dxfId="3" priority="4">
      <formula>AND($I58&lt;&gt;1,$I58&lt;&gt;"")</formula>
    </cfRule>
  </conditionalFormatting>
  <conditionalFormatting sqref="J59:CV59">
    <cfRule type="expression" dxfId="2" priority="3">
      <formula>AND($I59&lt;&gt;1,$I59&lt;&gt;"")</formula>
    </cfRule>
  </conditionalFormatting>
  <conditionalFormatting sqref="B59:H59">
    <cfRule type="expression" dxfId="1" priority="2">
      <formula>AND($I59&lt;&gt;1,$I59&lt;&gt;"")</formula>
    </cfRule>
  </conditionalFormatting>
  <conditionalFormatting sqref="I59">
    <cfRule type="expression" dxfId="0" priority="1">
      <formula>AND($I59&lt;&gt;1,$I59&lt;&gt;"")</formula>
    </cfRule>
  </conditionalFormatting>
  <dataValidations count="1">
    <dataValidation type="list" allowBlank="1" showInputMessage="1" showErrorMessage="1" sqref="I5:I311" xr:uid="{CDD3132F-D59C-4B0A-9A7C-94B9D9A88440}">
      <formula1>"100%,80%,50%,30%,0%"</formula1>
    </dataValidation>
  </dataValidations>
  <hyperlinks>
    <hyperlink ref="CV62" location="toABC114_C_755" display="(→)" xr:uid="{C3DBC3A8-8FB5-4AEF-8FA5-1088932AB54B}"/>
    <hyperlink ref="CV185" location="toABC143_C_Slimes" display="(→)" xr:uid="{D0A14FDC-339D-483C-A7FB-42784F1DB2F9}"/>
    <hyperlink ref="CV190" location="toABC147_C_Honest_or_Unkind2" display="(→)" xr:uid="{5E89EE6B-F278-4D19-9890-D06616736879}"/>
    <hyperlink ref="CV192" location="toABC149_C_NextPrime" display="(→)" xr:uid="{B7EC79F3-9ECE-482D-BD97-C57882E1060F}"/>
    <hyperlink ref="J43" r:id="rId1" xr:uid="{55DF2281-CA3A-49E3-A548-9C77168C683F}"/>
    <hyperlink ref="J53" r:id="rId2" xr:uid="{E2EF89FE-CAFE-4C53-A35C-934EF3BFEBCF}"/>
    <hyperlink ref="J99" r:id="rId3" xr:uid="{38E0EAF4-C8D9-4697-98F9-FFD2638747C7}"/>
    <hyperlink ref="J276" r:id="rId4" xr:uid="{9EDCCA2D-396F-4375-BE7A-B1954A66EC32}"/>
    <hyperlink ref="J59" r:id="rId5" xr:uid="{A5E407FA-9175-4245-9950-2C7E04570900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117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17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18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19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118</v>
      </c>
      <c r="AJ9" s="12"/>
      <c r="AL9" s="11" t="s">
        <v>118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21</v>
      </c>
      <c r="AJ10" s="12"/>
      <c r="AL10" s="11" t="s">
        <v>21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119</v>
      </c>
      <c r="AJ11" s="12"/>
      <c r="AL11" s="11" t="s">
        <v>119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120</v>
      </c>
      <c r="AJ12" s="12"/>
      <c r="AL12" s="11" t="s">
        <v>120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26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121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27</v>
      </c>
      <c r="AJ15" s="12"/>
      <c r="AL15" s="11" t="s">
        <v>27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29</v>
      </c>
      <c r="N16" s="11" t="s">
        <v>122</v>
      </c>
      <c r="AJ16" s="12"/>
      <c r="AL16" s="11" t="s">
        <v>123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31</v>
      </c>
      <c r="N17" s="11" t="s">
        <v>124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125</v>
      </c>
      <c r="AJ18" s="12"/>
      <c r="AL18" s="11" t="s">
        <v>122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126</v>
      </c>
      <c r="AJ19" s="12"/>
      <c r="AL19" s="11" t="s">
        <v>124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127</v>
      </c>
      <c r="AJ20" s="12"/>
      <c r="AL20" s="11" t="s">
        <v>125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128</v>
      </c>
      <c r="AJ21" s="12"/>
      <c r="AL21" s="11" t="s">
        <v>126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43</v>
      </c>
      <c r="AJ22" s="12"/>
      <c r="AL22" s="11" t="s">
        <v>127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72</v>
      </c>
      <c r="AJ23" s="12"/>
      <c r="AL23" s="11" t="s">
        <v>128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42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43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72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35</v>
      </c>
      <c r="N26" s="11" t="s">
        <v>129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42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45</v>
      </c>
      <c r="N27" s="11" t="s">
        <v>130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48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47</v>
      </c>
      <c r="N28" s="11" t="s">
        <v>131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48</v>
      </c>
      <c r="AJ29" s="12"/>
      <c r="AL29" s="11" t="s">
        <v>132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50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132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50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51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133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134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135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90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17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18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19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91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91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21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21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92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92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93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93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24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26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94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27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27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29</v>
      </c>
      <c r="N52" s="21" t="s">
        <v>95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31</v>
      </c>
      <c r="N53" s="21" t="s">
        <v>96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96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97</v>
      </c>
      <c r="N54" s="21" t="s">
        <v>98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99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45</v>
      </c>
      <c r="N56" s="21" t="s">
        <v>100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101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102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103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24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104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47</v>
      </c>
      <c r="N59" s="21" t="s">
        <v>105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106</v>
      </c>
      <c r="N60" s="21" t="s">
        <v>107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107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48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48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108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108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50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50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109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110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111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112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113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114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115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116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55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56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57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58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59</v>
      </c>
      <c r="AL84" s="3" t="s">
        <v>1</v>
      </c>
      <c r="AM84" s="3" t="s">
        <v>60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61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62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63</v>
      </c>
      <c r="AL88" s="3" t="s">
        <v>1</v>
      </c>
      <c r="AM88" s="3" t="s">
        <v>64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65</v>
      </c>
      <c r="AM89" s="3" t="s">
        <v>66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67</v>
      </c>
      <c r="AM90" s="3" t="s">
        <v>68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69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70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71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72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73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74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75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27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76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77</v>
      </c>
      <c r="AL102" s="3" t="s">
        <v>1</v>
      </c>
      <c r="AM102" s="3" t="s">
        <v>78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79</v>
      </c>
      <c r="AM103" s="3" t="s">
        <v>80</v>
      </c>
      <c r="AO103" s="3" t="s">
        <v>81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82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83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48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84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85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27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76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77</v>
      </c>
      <c r="AL114" s="3" t="s">
        <v>1</v>
      </c>
      <c r="AM114" s="3" t="s">
        <v>86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79</v>
      </c>
      <c r="AM115" s="3" t="s">
        <v>80</v>
      </c>
      <c r="AO115" s="3" t="s">
        <v>87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88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89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48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16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17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18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19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20</v>
      </c>
      <c r="AJ126" s="12"/>
      <c r="AL126" s="11" t="s">
        <v>20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21</v>
      </c>
      <c r="AJ127" s="12"/>
      <c r="AL127" s="11" t="s">
        <v>21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22</v>
      </c>
      <c r="AJ128" s="12"/>
      <c r="AL128" s="11" t="s">
        <v>23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24</v>
      </c>
      <c r="AJ129" s="12"/>
      <c r="AL129" s="11" t="s">
        <v>25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26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27</v>
      </c>
      <c r="AJ131" s="12"/>
      <c r="AL131" s="13" t="s">
        <v>28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29</v>
      </c>
      <c r="O132" s="11" t="s">
        <v>30</v>
      </c>
      <c r="AJ132" s="12"/>
      <c r="AL132" s="11" t="s">
        <v>27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31</v>
      </c>
      <c r="O133" s="11" t="s">
        <v>32</v>
      </c>
      <c r="AJ133" s="12"/>
      <c r="AL133" s="11" t="s">
        <v>33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24</v>
      </c>
      <c r="AJ134" s="12"/>
      <c r="AL134" s="11" t="s">
        <v>34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35</v>
      </c>
      <c r="O135" s="11" t="s">
        <v>36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37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38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39</v>
      </c>
      <c r="AJ137" s="12"/>
      <c r="AL137" s="11" t="s">
        <v>40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41</v>
      </c>
      <c r="AJ138" s="12"/>
      <c r="AL138" s="11" t="s">
        <v>38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39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43</v>
      </c>
      <c r="AJ140" s="12"/>
      <c r="AL140" s="11" t="s">
        <v>41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44</v>
      </c>
      <c r="AJ141" s="12"/>
      <c r="AL141" s="11" t="s">
        <v>42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45</v>
      </c>
      <c r="O142" s="11" t="s">
        <v>46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43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47</v>
      </c>
      <c r="O143" s="11" t="s">
        <v>33</v>
      </c>
      <c r="AJ143" s="12"/>
      <c r="AL143" s="11" t="s">
        <v>48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48</v>
      </c>
      <c r="AJ144" s="12"/>
      <c r="AL144" s="11" t="s">
        <v>49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50</v>
      </c>
      <c r="AJ145" s="12"/>
      <c r="AL145" s="11" t="s">
        <v>50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51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52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53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54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241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2020-10-07T12:55:09Z</dcterms:modified>
</cp:coreProperties>
</file>
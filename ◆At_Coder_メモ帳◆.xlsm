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495FFB74-38EB-4D43-A127-095F14C4360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At_Coder_C問題!$B$5:$CB$405</definedName>
    <definedName name="fromABC114_C_755">At_Coder_C問題!$J$68</definedName>
    <definedName name="fromABC143_C_Slimes">At_Coder_C問題!$J$194</definedName>
    <definedName name="fromABC147_C_Honest_or_Unkind2">At_Coder_C問題!$J$206</definedName>
    <definedName name="fromABC149_C_NextPrime">At_Coder_C問題!$J$212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5" i="3" l="1"/>
  <c r="B156" i="3"/>
  <c r="B157" i="3"/>
  <c r="B159" i="3" l="1"/>
  <c r="B160" i="3"/>
  <c r="B161" i="3"/>
  <c r="B162" i="3"/>
  <c r="B165" i="3" l="1"/>
  <c r="B164" i="3"/>
  <c r="B166" i="3" l="1"/>
  <c r="B167" i="3"/>
  <c r="B226" i="3"/>
  <c r="B224" i="3"/>
  <c r="B225" i="3"/>
  <c r="B227" i="3"/>
  <c r="B231" i="3"/>
  <c r="B232" i="3"/>
  <c r="J292" i="3"/>
  <c r="J236" i="3"/>
  <c r="B234" i="3" l="1"/>
  <c r="B235" i="3"/>
  <c r="B237" i="3"/>
  <c r="B240" i="3"/>
  <c r="B244" i="3"/>
  <c r="B239" i="3"/>
  <c r="B241" i="3"/>
  <c r="B242" i="3"/>
  <c r="B243" i="3"/>
  <c r="B245" i="3"/>
  <c r="B246" i="3" l="1"/>
  <c r="B247" i="3"/>
  <c r="B248" i="3"/>
  <c r="B277" i="3" l="1"/>
  <c r="B278" i="3"/>
  <c r="B279" i="3"/>
  <c r="B280" i="3"/>
  <c r="B295" i="3"/>
  <c r="B1" i="3"/>
  <c r="B296" i="3"/>
  <c r="B297" i="3"/>
  <c r="B311" i="3"/>
  <c r="B304" i="3"/>
  <c r="B306" i="3"/>
  <c r="B307" i="3"/>
  <c r="B312" i="3"/>
  <c r="B308" i="3"/>
  <c r="B309" i="3"/>
  <c r="B310" i="3"/>
  <c r="B305" i="3"/>
  <c r="B313" i="3"/>
  <c r="B302" i="3" l="1"/>
  <c r="B303" i="3"/>
  <c r="B314" i="3"/>
  <c r="B336" i="3"/>
  <c r="B334" i="3"/>
  <c r="B335" i="3"/>
  <c r="B333" i="3"/>
  <c r="B337" i="3"/>
  <c r="B339" i="3" l="1"/>
  <c r="B10" i="3" l="1"/>
  <c r="B9" i="3"/>
  <c r="B11" i="3"/>
  <c r="B257" i="3"/>
  <c r="B207" i="3"/>
  <c r="B208" i="3"/>
  <c r="B203" i="3"/>
  <c r="B204" i="3"/>
  <c r="B196" i="3" l="1"/>
  <c r="B195" i="3"/>
  <c r="B197" i="3"/>
  <c r="B175" i="3" l="1"/>
  <c r="B176" i="3"/>
  <c r="B174" i="3"/>
  <c r="B173" i="3"/>
  <c r="B283" i="3" l="1"/>
  <c r="B282" i="3"/>
  <c r="B284" i="3"/>
  <c r="B275" i="3"/>
  <c r="B272" i="3"/>
  <c r="B273" i="3"/>
  <c r="B274" i="3"/>
  <c r="B268" i="3" l="1"/>
  <c r="B269" i="3"/>
  <c r="B270" i="3"/>
  <c r="B267" i="3"/>
  <c r="B265" i="3" l="1"/>
  <c r="B263" i="3" l="1"/>
  <c r="B260" i="3"/>
  <c r="B259" i="3"/>
  <c r="B261" i="3" l="1"/>
  <c r="B171" i="3" l="1"/>
  <c r="B169" i="3"/>
  <c r="B170" i="3"/>
  <c r="B255" i="3" l="1"/>
  <c r="B253" i="3" l="1"/>
  <c r="B251" i="3"/>
  <c r="B250" i="3"/>
  <c r="B229" i="3"/>
  <c r="B201" i="3" l="1"/>
  <c r="B200" i="3"/>
  <c r="B199" i="3" l="1"/>
  <c r="B190" i="3"/>
  <c r="B178" i="3"/>
  <c r="B179" i="3"/>
  <c r="B213" i="3" l="1"/>
  <c r="B214" i="3"/>
  <c r="B219" i="3"/>
  <c r="B218" i="3"/>
  <c r="B217" i="3"/>
  <c r="B216" i="3"/>
  <c r="B222" i="3" l="1"/>
  <c r="B221" i="3"/>
  <c r="B211" i="3"/>
  <c r="B210" i="3"/>
  <c r="B184" i="3" l="1"/>
  <c r="B187" i="3"/>
  <c r="B188" i="3"/>
  <c r="B186" i="3"/>
  <c r="B33" i="3"/>
  <c r="B32" i="3"/>
  <c r="B31" i="3"/>
  <c r="B30" i="3"/>
  <c r="B141" i="3" l="1"/>
  <c r="B325" i="3"/>
  <c r="B326" i="3"/>
  <c r="B324" i="3"/>
  <c r="B327" i="3"/>
  <c r="B23" i="3" l="1"/>
  <c r="B16" i="3"/>
  <c r="B7" i="3" l="1"/>
  <c r="B65" i="3" l="1"/>
  <c r="B66" i="3"/>
  <c r="B373" i="3" l="1"/>
  <c r="B372" i="3"/>
  <c r="B371" i="3"/>
  <c r="B370" i="3"/>
  <c r="B367" i="3"/>
  <c r="B365" i="3"/>
  <c r="B364" i="3"/>
  <c r="B363" i="3"/>
  <c r="B362" i="3"/>
  <c r="B361" i="3"/>
  <c r="B360" i="3"/>
  <c r="B368" i="3"/>
  <c r="B366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31" i="3"/>
  <c r="B330" i="3"/>
  <c r="B329" i="3"/>
  <c r="B328" i="3"/>
  <c r="B322" i="3"/>
  <c r="B321" i="3"/>
  <c r="B320" i="3"/>
  <c r="B319" i="3"/>
  <c r="B318" i="3"/>
  <c r="B317" i="3"/>
  <c r="B316" i="3"/>
  <c r="B300" i="3"/>
  <c r="B299" i="3"/>
  <c r="B292" i="3"/>
  <c r="B291" i="3"/>
  <c r="B290" i="3"/>
  <c r="B289" i="3"/>
  <c r="B288" i="3"/>
  <c r="B287" i="3"/>
  <c r="B286" i="3"/>
  <c r="B193" i="3"/>
  <c r="B192" i="3"/>
  <c r="B182" i="3"/>
  <c r="B181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93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05" i="3" l="1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69" i="3"/>
  <c r="B340" i="3"/>
  <c r="B338" i="3"/>
  <c r="B332" i="3"/>
  <c r="B323" i="3"/>
  <c r="B315" i="3"/>
  <c r="B301" i="3"/>
  <c r="B298" i="3"/>
  <c r="B294" i="3"/>
  <c r="B285" i="3"/>
  <c r="B281" i="3"/>
  <c r="B276" i="3"/>
  <c r="B271" i="3"/>
  <c r="B266" i="3"/>
  <c r="B264" i="3"/>
  <c r="B262" i="3"/>
  <c r="B258" i="3"/>
  <c r="B256" i="3"/>
  <c r="B254" i="3"/>
  <c r="B252" i="3"/>
  <c r="B249" i="3"/>
  <c r="B238" i="3"/>
  <c r="B233" i="3"/>
  <c r="B230" i="3"/>
  <c r="B228" i="3"/>
  <c r="B223" i="3"/>
  <c r="B220" i="3"/>
  <c r="B215" i="3"/>
  <c r="B212" i="3"/>
  <c r="B209" i="3"/>
  <c r="B206" i="3"/>
  <c r="B205" i="3"/>
  <c r="B202" i="3"/>
  <c r="B198" i="3"/>
  <c r="B194" i="3"/>
  <c r="B191" i="3"/>
  <c r="B189" i="3"/>
  <c r="B185" i="3"/>
  <c r="B183" i="3"/>
  <c r="B180" i="3"/>
  <c r="B177" i="3"/>
  <c r="B172" i="3"/>
  <c r="B168" i="3"/>
  <c r="B163" i="3"/>
  <c r="B158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<sst xmlns="http://schemas.openxmlformats.org/spreadsheetml/2006/main" count="820" uniqueCount="522">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</sst>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369</xdr:row>
      <xdr:rowOff>33337</xdr:rowOff>
    </xdr:from>
    <xdr:to>
      <xdr:col>16</xdr:col>
      <xdr:colOff>38100</xdr:colOff>
      <xdr:row>369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371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370</xdr:row>
      <xdr:rowOff>35719</xdr:rowOff>
    </xdr:from>
    <xdr:to>
      <xdr:col>21</xdr:col>
      <xdr:colOff>133350</xdr:colOff>
      <xdr:row>371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05"/>
  <sheetViews>
    <sheetView tabSelected="1" topLeftCell="B1" zoomScale="115" zoomScaleNormal="115" workbookViewId="0">
      <pane ySplit="5145" topLeftCell="A148" activePane="bottomLeft"/>
      <selection pane="bottomLeft" activeCell="J155" sqref="J155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3" t="s">
        <v>139</v>
      </c>
      <c r="F148" s="103" t="s">
        <v>135</v>
      </c>
      <c r="G148" s="104" t="s">
        <v>163</v>
      </c>
      <c r="H148" s="102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3" t="s">
        <v>139</v>
      </c>
      <c r="F149" s="103" t="s">
        <v>135</v>
      </c>
      <c r="G149" s="104" t="s">
        <v>164</v>
      </c>
      <c r="H149" s="102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3" t="s">
        <v>139</v>
      </c>
      <c r="F150" s="103" t="s">
        <v>135</v>
      </c>
      <c r="G150" s="104" t="s">
        <v>165</v>
      </c>
      <c r="H150" s="102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3" t="s">
        <v>139</v>
      </c>
      <c r="F151" s="103" t="s">
        <v>135</v>
      </c>
      <c r="G151" s="104" t="s">
        <v>166</v>
      </c>
      <c r="H151" s="102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3" t="s">
        <v>139</v>
      </c>
      <c r="F152" s="103" t="s">
        <v>135</v>
      </c>
      <c r="G152" s="104" t="s">
        <v>167</v>
      </c>
      <c r="H152" s="102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3" t="s">
        <v>139</v>
      </c>
      <c r="F153" s="103" t="s">
        <v>135</v>
      </c>
      <c r="G153" s="104" t="s">
        <v>168</v>
      </c>
      <c r="H153" s="102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59" t="s">
        <v>139</v>
      </c>
      <c r="F154" s="59" t="s">
        <v>135</v>
      </c>
      <c r="G154" s="60" t="s">
        <v>169</v>
      </c>
      <c r="H154" s="61">
        <v>43996</v>
      </c>
      <c r="I154" s="62">
        <v>1</v>
      </c>
      <c r="J154" s="63" t="s">
        <v>521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70">
        <v>1</v>
      </c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58">
        <f>IF(G158&lt;&gt;"",SUBTOTAL(3,$G$6:G158),"")</f>
        <v>45</v>
      </c>
      <c r="C158" s="58"/>
      <c r="D158" s="58"/>
      <c r="E158" s="59" t="s">
        <v>139</v>
      </c>
      <c r="F158" s="59" t="s">
        <v>135</v>
      </c>
      <c r="G158" s="60" t="s">
        <v>170</v>
      </c>
      <c r="H158" s="61">
        <v>43996</v>
      </c>
      <c r="I158" s="62">
        <v>1</v>
      </c>
      <c r="J158" s="63" t="s">
        <v>517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520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 t="s">
        <v>519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 t="s">
        <v>518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70">
        <v>1</v>
      </c>
      <c r="J162" s="63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58">
        <f>IF(G163&lt;&gt;"",SUBTOTAL(3,$G$6:G163),"")</f>
        <v>46</v>
      </c>
      <c r="C163" s="58"/>
      <c r="D163" s="58"/>
      <c r="E163" s="59" t="s">
        <v>139</v>
      </c>
      <c r="F163" s="59" t="s">
        <v>135</v>
      </c>
      <c r="G163" s="60" t="s">
        <v>171</v>
      </c>
      <c r="H163" s="61">
        <v>43995</v>
      </c>
      <c r="I163" s="62">
        <v>1</v>
      </c>
      <c r="J163" s="63" t="s">
        <v>513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514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 t="s">
        <v>515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99" t="str">
        <f>IF(G166&lt;&gt;"",SUBTOTAL(3,$G$5:G166),"")</f>
        <v/>
      </c>
      <c r="C166" s="58"/>
      <c r="D166" s="58"/>
      <c r="E166" s="59"/>
      <c r="F166" s="59"/>
      <c r="G166" s="60"/>
      <c r="H166" s="61"/>
      <c r="I166" s="70">
        <v>1</v>
      </c>
      <c r="J166" s="63" t="s">
        <v>516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IF(G167&lt;&gt;"",SUBTOTAL(3,$G$5:G167),"")</f>
        <v/>
      </c>
      <c r="C167" s="58"/>
      <c r="D167" s="58"/>
      <c r="E167" s="59"/>
      <c r="F167" s="59"/>
      <c r="G167" s="60"/>
      <c r="H167" s="61"/>
      <c r="I167" s="70">
        <v>1</v>
      </c>
      <c r="J167" s="63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58">
        <f>IF(G168&lt;&gt;"",SUBTOTAL(3,$G$6:G168),"")</f>
        <v>47</v>
      </c>
      <c r="C168" s="58"/>
      <c r="D168" s="58"/>
      <c r="E168" s="59" t="s">
        <v>139</v>
      </c>
      <c r="F168" s="59" t="s">
        <v>135</v>
      </c>
      <c r="G168" s="60" t="s">
        <v>172</v>
      </c>
      <c r="H168" s="61">
        <v>43995</v>
      </c>
      <c r="I168" s="62">
        <v>1</v>
      </c>
      <c r="J168" s="63" t="s">
        <v>430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IF(G169&lt;&gt;"",SUBTOTAL(3,$G$6:G169),"")</f>
        <v/>
      </c>
      <c r="C169" s="58"/>
      <c r="D169" s="58"/>
      <c r="E169" s="59"/>
      <c r="F169" s="59"/>
      <c r="G169" s="60"/>
      <c r="H169" s="61"/>
      <c r="I169" s="70">
        <v>1</v>
      </c>
      <c r="J169" s="63" t="s">
        <v>428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IF(G170&lt;&gt;"",SUBTOTAL(3,$G$6:G170),"")</f>
        <v/>
      </c>
      <c r="C170" s="58"/>
      <c r="D170" s="58"/>
      <c r="E170" s="59"/>
      <c r="F170" s="59"/>
      <c r="G170" s="60"/>
      <c r="H170" s="61"/>
      <c r="I170" s="70">
        <v>1</v>
      </c>
      <c r="J170" s="63" t="s">
        <v>429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IF(G171&lt;&gt;"",SUBTOTAL(3,$G$6:G171),"")</f>
        <v/>
      </c>
      <c r="C171" s="58"/>
      <c r="D171" s="58"/>
      <c r="E171" s="59"/>
      <c r="F171" s="59"/>
      <c r="G171" s="60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58">
        <f>IF(G172&lt;&gt;"",SUBTOTAL(3,$G$6:G172),"")</f>
        <v>48</v>
      </c>
      <c r="C172" s="58"/>
      <c r="D172" s="58"/>
      <c r="E172" s="59" t="s">
        <v>139</v>
      </c>
      <c r="F172" s="59" t="s">
        <v>135</v>
      </c>
      <c r="G172" s="74" t="s">
        <v>173</v>
      </c>
      <c r="H172" s="61">
        <v>43982</v>
      </c>
      <c r="I172" s="62">
        <v>1</v>
      </c>
      <c r="J172" s="63" t="s">
        <v>448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99" t="str">
        <f>IF(G173&lt;&gt;"",SUBTOTAL(3,$G$6:G173),"")</f>
        <v/>
      </c>
      <c r="C173" s="58"/>
      <c r="D173" s="58"/>
      <c r="E173" s="59"/>
      <c r="F173" s="59"/>
      <c r="G173" s="74"/>
      <c r="H173" s="61"/>
      <c r="I173" s="70">
        <v>1</v>
      </c>
      <c r="J173" s="63" t="s">
        <v>449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IF(G174&lt;&gt;"",SUBTOTAL(3,$G$6:G174),"")</f>
        <v/>
      </c>
      <c r="C174" s="58"/>
      <c r="D174" s="58"/>
      <c r="E174" s="59"/>
      <c r="F174" s="59"/>
      <c r="G174" s="74"/>
      <c r="H174" s="61"/>
      <c r="I174" s="70">
        <v>1</v>
      </c>
      <c r="J174" s="63" t="s">
        <v>450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x14ac:dyDescent="0.15">
      <c r="B175" s="99" t="str">
        <f>IF(G175&lt;&gt;"",SUBTOTAL(3,$G$6:G175),"")</f>
        <v/>
      </c>
      <c r="C175" s="58"/>
      <c r="D175" s="58"/>
      <c r="E175" s="59"/>
      <c r="F175" s="59"/>
      <c r="G175" s="74"/>
      <c r="H175" s="61"/>
      <c r="I175" s="70">
        <v>1</v>
      </c>
      <c r="J175" s="63" t="s">
        <v>451</v>
      </c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99" t="str">
        <f>IF(G176&lt;&gt;"",SUBTOTAL(3,$G$6:G176),"")</f>
        <v/>
      </c>
      <c r="C176" s="58"/>
      <c r="D176" s="58"/>
      <c r="E176" s="59"/>
      <c r="F176" s="59"/>
      <c r="G176" s="74"/>
      <c r="H176" s="61"/>
      <c r="I176" s="70">
        <v>1</v>
      </c>
      <c r="J176" s="63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s="46" customFormat="1" ht="13.5" customHeight="1" x14ac:dyDescent="0.15">
      <c r="B177" s="75">
        <f>IF(G177&lt;&gt;"",SUBTOTAL(3,$G$6:G177),"")</f>
        <v>49</v>
      </c>
      <c r="C177" s="75"/>
      <c r="D177" s="75"/>
      <c r="E177" s="76" t="s">
        <v>139</v>
      </c>
      <c r="F177" s="76" t="s">
        <v>135</v>
      </c>
      <c r="G177" s="74" t="s">
        <v>174</v>
      </c>
      <c r="H177" s="61">
        <v>43995</v>
      </c>
      <c r="I177" s="62">
        <v>1</v>
      </c>
      <c r="J177" s="77" t="s">
        <v>418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99" t="str">
        <f>IF(G178&lt;&gt;"",SUBTOTAL(3,$G$6:G178),"")</f>
        <v/>
      </c>
      <c r="C178" s="75"/>
      <c r="D178" s="75"/>
      <c r="E178" s="76"/>
      <c r="F178" s="76"/>
      <c r="G178" s="74"/>
      <c r="H178" s="61"/>
      <c r="I178" s="70">
        <v>1</v>
      </c>
      <c r="J178" s="77" t="s">
        <v>419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50</v>
      </c>
      <c r="C180" s="75"/>
      <c r="D180" s="75"/>
      <c r="E180" s="76" t="s">
        <v>139</v>
      </c>
      <c r="F180" s="76" t="s">
        <v>135</v>
      </c>
      <c r="G180" s="74" t="s">
        <v>175</v>
      </c>
      <c r="H180" s="61">
        <v>43955</v>
      </c>
      <c r="I180" s="62">
        <v>1</v>
      </c>
      <c r="J180" s="63" t="s">
        <v>465</v>
      </c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63" t="s">
        <v>466</v>
      </c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5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63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5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51</v>
      </c>
      <c r="C183" s="75"/>
      <c r="D183" s="75"/>
      <c r="E183" s="76" t="s">
        <v>139</v>
      </c>
      <c r="F183" s="76" t="s">
        <v>135</v>
      </c>
      <c r="G183" s="74" t="s">
        <v>176</v>
      </c>
      <c r="H183" s="61">
        <v>43967</v>
      </c>
      <c r="I183" s="100">
        <v>1</v>
      </c>
      <c r="J183" s="77" t="s">
        <v>406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407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75">
        <f>IF(G185&lt;&gt;"",SUBTOTAL(3,$G$6:G185),"")</f>
        <v>52</v>
      </c>
      <c r="C185" s="75"/>
      <c r="D185" s="75"/>
      <c r="E185" s="76" t="s">
        <v>139</v>
      </c>
      <c r="F185" s="76" t="s">
        <v>135</v>
      </c>
      <c r="G185" s="74" t="s">
        <v>177</v>
      </c>
      <c r="H185" s="61">
        <v>43870</v>
      </c>
      <c r="I185" s="62">
        <v>1</v>
      </c>
      <c r="J185" s="77" t="s">
        <v>403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68"/>
      <c r="J186" s="77" t="s">
        <v>404</v>
      </c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99" t="str">
        <f>IF(G187&lt;&gt;"",SUBTOTAL(3,$G$6:G187),"")</f>
        <v/>
      </c>
      <c r="C187" s="75"/>
      <c r="D187" s="75"/>
      <c r="E187" s="76"/>
      <c r="F187" s="76"/>
      <c r="G187" s="74"/>
      <c r="H187" s="61"/>
      <c r="I187" s="68"/>
      <c r="J187" s="77" t="s">
        <v>405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68"/>
      <c r="J188" s="77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>
        <f>IF(G189&lt;&gt;"",SUBTOTAL(3,$G$6:G189),"")</f>
        <v>53</v>
      </c>
      <c r="C189" s="75"/>
      <c r="D189" s="75"/>
      <c r="E189" s="76" t="s">
        <v>139</v>
      </c>
      <c r="F189" s="76" t="s">
        <v>135</v>
      </c>
      <c r="G189" s="74" t="s">
        <v>178</v>
      </c>
      <c r="H189" s="61">
        <v>43869</v>
      </c>
      <c r="I189" s="62">
        <v>1</v>
      </c>
      <c r="J189" s="77" t="s">
        <v>473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>
        <f>IF(G191&lt;&gt;"",SUBTOTAL(3,$G$6:G191),"")</f>
        <v>54</v>
      </c>
      <c r="C191" s="75"/>
      <c r="D191" s="75"/>
      <c r="E191" s="76" t="s">
        <v>139</v>
      </c>
      <c r="F191" s="76" t="s">
        <v>135</v>
      </c>
      <c r="G191" s="74" t="s">
        <v>89</v>
      </c>
      <c r="H191" s="61">
        <v>43961</v>
      </c>
      <c r="I191" s="62">
        <v>1</v>
      </c>
      <c r="J191" s="105" t="s">
        <v>463</v>
      </c>
      <c r="K191" s="106"/>
      <c r="L191" s="106"/>
      <c r="M191" s="106"/>
      <c r="N191" s="106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7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105" t="s">
        <v>464</v>
      </c>
      <c r="K192" s="106"/>
      <c r="L192" s="106"/>
      <c r="M192" s="106"/>
      <c r="N192" s="106"/>
      <c r="O192" s="106"/>
      <c r="P192" s="106"/>
      <c r="Q192" s="106"/>
      <c r="R192" s="106"/>
      <c r="S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7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105"/>
      <c r="K193" s="106"/>
      <c r="L193" s="106"/>
      <c r="M193" s="106"/>
      <c r="N193" s="106"/>
      <c r="O193" s="106"/>
      <c r="P193" s="106"/>
      <c r="Q193" s="106"/>
      <c r="R193" s="106"/>
      <c r="S193" s="106"/>
      <c r="T193" s="106"/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06"/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7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55</v>
      </c>
      <c r="C194" s="75"/>
      <c r="D194" s="75"/>
      <c r="E194" s="76" t="s">
        <v>139</v>
      </c>
      <c r="F194" s="76" t="s">
        <v>135</v>
      </c>
      <c r="G194" s="74" t="s">
        <v>179</v>
      </c>
      <c r="H194" s="61">
        <v>43961</v>
      </c>
      <c r="I194" s="62">
        <v>1</v>
      </c>
      <c r="J194" s="77" t="s">
        <v>452</v>
      </c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9" t="s">
        <v>13</v>
      </c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99" t="str">
        <f>IF(G195&lt;&gt;"",SUBTOTAL(3,$G$6:G195),"")</f>
        <v/>
      </c>
      <c r="C195" s="75"/>
      <c r="D195" s="75"/>
      <c r="E195" s="76"/>
      <c r="F195" s="76"/>
      <c r="G195" s="74"/>
      <c r="H195" s="61"/>
      <c r="I195" s="70">
        <v>1</v>
      </c>
      <c r="J195" s="77" t="s">
        <v>453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70">
        <v>1</v>
      </c>
      <c r="J196" s="77" t="s">
        <v>454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70">
        <v>1</v>
      </c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56</v>
      </c>
      <c r="C198" s="75"/>
      <c r="D198" s="75"/>
      <c r="E198" s="76" t="s">
        <v>139</v>
      </c>
      <c r="F198" s="76" t="s">
        <v>135</v>
      </c>
      <c r="G198" s="74" t="s">
        <v>180</v>
      </c>
      <c r="H198" s="61">
        <v>43995</v>
      </c>
      <c r="I198" s="62">
        <v>1</v>
      </c>
      <c r="J198" s="77" t="s">
        <v>420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421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 t="s">
        <v>422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70">
        <v>1</v>
      </c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IF(G202&lt;&gt;"",SUBTOTAL(3,$G$6:G202),"")</f>
        <v>57</v>
      </c>
      <c r="C202" s="75"/>
      <c r="D202" s="75"/>
      <c r="E202" s="76" t="s">
        <v>139</v>
      </c>
      <c r="F202" s="76" t="s">
        <v>135</v>
      </c>
      <c r="G202" s="74" t="s">
        <v>181</v>
      </c>
      <c r="H202" s="61">
        <v>43961</v>
      </c>
      <c r="I202" s="62">
        <v>1</v>
      </c>
      <c r="J202" s="77" t="s">
        <v>455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 t="s">
        <v>456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IF(G205&lt;&gt;"",SUBTOTAL(3,$G$6:G205),"")</f>
        <v>58</v>
      </c>
      <c r="C205" s="75"/>
      <c r="D205" s="75"/>
      <c r="E205" s="76" t="s">
        <v>139</v>
      </c>
      <c r="F205" s="76" t="s">
        <v>135</v>
      </c>
      <c r="G205" s="74" t="s">
        <v>182</v>
      </c>
      <c r="H205" s="61">
        <v>43995</v>
      </c>
      <c r="I205" s="62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IF(G206&lt;&gt;"",SUBTOTAL(3,$G$6:G206),"")</f>
        <v>59</v>
      </c>
      <c r="C206" s="75"/>
      <c r="D206" s="75"/>
      <c r="E206" s="76" t="s">
        <v>139</v>
      </c>
      <c r="F206" s="76" t="s">
        <v>135</v>
      </c>
      <c r="G206" s="74" t="s">
        <v>183</v>
      </c>
      <c r="H206" s="61">
        <v>44006</v>
      </c>
      <c r="I206" s="62"/>
      <c r="J206" s="77" t="s">
        <v>457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9" t="s">
        <v>13</v>
      </c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68"/>
      <c r="J207" s="77" t="s">
        <v>458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9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68"/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9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60</v>
      </c>
      <c r="C209" s="75"/>
      <c r="D209" s="75"/>
      <c r="E209" s="76" t="s">
        <v>139</v>
      </c>
      <c r="F209" s="76" t="s">
        <v>135</v>
      </c>
      <c r="G209" s="74" t="s">
        <v>15</v>
      </c>
      <c r="H209" s="61">
        <v>43995</v>
      </c>
      <c r="I209" s="62">
        <v>1</v>
      </c>
      <c r="J209" s="77" t="s">
        <v>408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9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409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9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9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61</v>
      </c>
      <c r="C212" s="75"/>
      <c r="D212" s="75"/>
      <c r="E212" s="76" t="s">
        <v>139</v>
      </c>
      <c r="F212" s="76" t="s">
        <v>135</v>
      </c>
      <c r="G212" s="74" t="s">
        <v>184</v>
      </c>
      <c r="H212" s="61">
        <v>43871</v>
      </c>
      <c r="I212" s="62">
        <v>1</v>
      </c>
      <c r="J212" s="77" t="s">
        <v>416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9" t="s">
        <v>13</v>
      </c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99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417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9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9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62</v>
      </c>
      <c r="C215" s="75"/>
      <c r="D215" s="75"/>
      <c r="E215" s="76" t="s">
        <v>139</v>
      </c>
      <c r="F215" s="76" t="s">
        <v>135</v>
      </c>
      <c r="G215" s="74" t="s">
        <v>185</v>
      </c>
      <c r="H215" s="61">
        <v>43936</v>
      </c>
      <c r="I215" s="62">
        <v>1</v>
      </c>
      <c r="J215" s="77" t="s">
        <v>412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99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413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IF(G217&lt;&gt;"",SUBTOTAL(3,$G$6:G217),"")</f>
        <v/>
      </c>
      <c r="C217" s="75"/>
      <c r="D217" s="75"/>
      <c r="E217" s="76"/>
      <c r="F217" s="76"/>
      <c r="G217" s="74"/>
      <c r="H217" s="61"/>
      <c r="I217" s="70">
        <v>1</v>
      </c>
      <c r="J217" s="77" t="s">
        <v>414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415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IF(G220&lt;&gt;"",SUBTOTAL(3,$G$6:G220),"")</f>
        <v>63</v>
      </c>
      <c r="C220" s="75"/>
      <c r="D220" s="75"/>
      <c r="E220" s="76" t="s">
        <v>139</v>
      </c>
      <c r="F220" s="76" t="s">
        <v>135</v>
      </c>
      <c r="G220" s="74" t="s">
        <v>186</v>
      </c>
      <c r="H220" s="61">
        <v>43935</v>
      </c>
      <c r="I220" s="62">
        <v>1</v>
      </c>
      <c r="J220" s="77" t="s">
        <v>411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IF(G221&lt;&gt;"",SUBTOTAL(3,$G$6:G221),"")</f>
        <v/>
      </c>
      <c r="C221" s="75"/>
      <c r="D221" s="75"/>
      <c r="E221" s="76"/>
      <c r="F221" s="76"/>
      <c r="G221" s="74"/>
      <c r="H221" s="61"/>
      <c r="I221" s="70">
        <v>1</v>
      </c>
      <c r="J221" s="77" t="s">
        <v>410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64</v>
      </c>
      <c r="C223" s="75"/>
      <c r="D223" s="75"/>
      <c r="E223" s="76" t="s">
        <v>139</v>
      </c>
      <c r="F223" s="76" t="s">
        <v>135</v>
      </c>
      <c r="G223" s="74" t="s">
        <v>187</v>
      </c>
      <c r="H223" s="61">
        <v>43919</v>
      </c>
      <c r="I223" s="62">
        <v>1</v>
      </c>
      <c r="J223" s="77" t="s">
        <v>509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 t="s">
        <v>511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510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 t="s">
        <v>512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IF(G228&lt;&gt;"",SUBTOTAL(3,$G$6:G228),"")</f>
        <v>65</v>
      </c>
      <c r="C228" s="75"/>
      <c r="D228" s="75"/>
      <c r="E228" s="76" t="s">
        <v>139</v>
      </c>
      <c r="F228" s="76" t="s">
        <v>135</v>
      </c>
      <c r="G228" s="74" t="s">
        <v>188</v>
      </c>
      <c r="H228" s="61">
        <v>43995</v>
      </c>
      <c r="I228" s="62">
        <v>1</v>
      </c>
      <c r="J228" s="77" t="s">
        <v>423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IF(G230&lt;&gt;"",SUBTOTAL(3,$G$6:G230),"")</f>
        <v>66</v>
      </c>
      <c r="C230" s="75"/>
      <c r="D230" s="75"/>
      <c r="E230" s="76" t="s">
        <v>139</v>
      </c>
      <c r="F230" s="76" t="s">
        <v>135</v>
      </c>
      <c r="G230" s="74" t="s">
        <v>189</v>
      </c>
      <c r="H230" s="61">
        <v>43975</v>
      </c>
      <c r="I230" s="62">
        <v>1</v>
      </c>
      <c r="J230" s="77" t="s">
        <v>507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IF(G231&lt;&gt;"",SUBTOTAL(3,$G$5:G231),"")</f>
        <v/>
      </c>
      <c r="C231" s="75"/>
      <c r="D231" s="75"/>
      <c r="E231" s="76"/>
      <c r="F231" s="76"/>
      <c r="G231" s="74"/>
      <c r="H231" s="61"/>
      <c r="I231" s="70">
        <v>1</v>
      </c>
      <c r="J231" s="77" t="s">
        <v>508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IF(G232&lt;&gt;"",SUBTOTAL(3,$G$5:G232),"")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IF(G233&lt;&gt;"",SUBTOTAL(3,$G$6:G233),"")</f>
        <v>67</v>
      </c>
      <c r="C233" s="75"/>
      <c r="D233" s="75"/>
      <c r="E233" s="76" t="s">
        <v>139</v>
      </c>
      <c r="F233" s="76" t="s">
        <v>135</v>
      </c>
      <c r="G233" s="74" t="s">
        <v>190</v>
      </c>
      <c r="H233" s="61">
        <v>43975</v>
      </c>
      <c r="I233" s="62">
        <v>1</v>
      </c>
      <c r="J233" s="77" t="s">
        <v>506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505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 t="s">
        <v>504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/>
      <c r="C236" s="75"/>
      <c r="D236" s="75"/>
      <c r="E236" s="76"/>
      <c r="F236" s="76"/>
      <c r="G236" s="74"/>
      <c r="H236" s="61"/>
      <c r="I236" s="70"/>
      <c r="J236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IF(G238&lt;&gt;"",SUBTOTAL(3,$G$6:G238),"")</f>
        <v>68</v>
      </c>
      <c r="C238" s="75"/>
      <c r="D238" s="75"/>
      <c r="E238" s="76" t="s">
        <v>139</v>
      </c>
      <c r="F238" s="76" t="s">
        <v>135</v>
      </c>
      <c r="G238" s="74" t="s">
        <v>191</v>
      </c>
      <c r="H238" s="61">
        <v>43975</v>
      </c>
      <c r="I238" s="62">
        <v>1</v>
      </c>
      <c r="J238" s="77" t="s">
        <v>494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502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503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496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497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IF(G243&lt;&gt;"",SUBTOTAL(3,$G$5:G243),"")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495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498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IF(G245&lt;&gt;"",SUBTOTAL(3,$G$5:G245),"")</f>
        <v/>
      </c>
      <c r="C245" s="75"/>
      <c r="D245" s="75"/>
      <c r="E245" s="76"/>
      <c r="F245" s="76"/>
      <c r="G245" s="74"/>
      <c r="H245" s="61"/>
      <c r="I245" s="70">
        <v>1</v>
      </c>
      <c r="J245" s="77" t="s">
        <v>500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501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499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75">
        <f>IF(G249&lt;&gt;"",SUBTOTAL(3,$G$6:G249),"")</f>
        <v>69</v>
      </c>
      <c r="C249" s="75"/>
      <c r="D249" s="75"/>
      <c r="E249" s="76" t="s">
        <v>139</v>
      </c>
      <c r="F249" s="76" t="s">
        <v>135</v>
      </c>
      <c r="G249" s="74" t="s">
        <v>192</v>
      </c>
      <c r="H249" s="61">
        <v>43975</v>
      </c>
      <c r="I249" s="62">
        <v>1</v>
      </c>
      <c r="J249" s="77" t="s">
        <v>424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IF(G250&lt;&gt;"",SUBTOTAL(3,$G$6:G250),"")</f>
        <v/>
      </c>
      <c r="C250" s="75"/>
      <c r="D250" s="75"/>
      <c r="E250" s="76"/>
      <c r="F250" s="76"/>
      <c r="G250" s="74"/>
      <c r="H250" s="61"/>
      <c r="I250" s="70">
        <v>1</v>
      </c>
      <c r="J250" s="77" t="s">
        <v>425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70">
        <v>1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75">
        <f>IF(G252&lt;&gt;"",SUBTOTAL(3,$G$6:G252),"")</f>
        <v>70</v>
      </c>
      <c r="C252" s="75"/>
      <c r="D252" s="75"/>
      <c r="E252" s="76" t="s">
        <v>139</v>
      </c>
      <c r="F252" s="76" t="s">
        <v>135</v>
      </c>
      <c r="G252" s="74" t="s">
        <v>193</v>
      </c>
      <c r="H252" s="61">
        <v>43977</v>
      </c>
      <c r="I252" s="62">
        <v>1</v>
      </c>
      <c r="J252" s="77" t="s">
        <v>426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70">
        <v>1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75">
        <f>IF(G254&lt;&gt;"",SUBTOTAL(3,$G$6:G254),"")</f>
        <v>71</v>
      </c>
      <c r="C254" s="75"/>
      <c r="D254" s="75"/>
      <c r="E254" s="76" t="s">
        <v>139</v>
      </c>
      <c r="F254" s="76" t="s">
        <v>135</v>
      </c>
      <c r="G254" s="74" t="s">
        <v>194</v>
      </c>
      <c r="H254" s="61">
        <v>43977</v>
      </c>
      <c r="I254" s="62">
        <v>1</v>
      </c>
      <c r="J254" s="77" t="s">
        <v>427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IF(G255&lt;&gt;"",SUBTOTAL(3,$G$6:G255),"")</f>
        <v/>
      </c>
      <c r="C255" s="75"/>
      <c r="D255" s="75"/>
      <c r="E255" s="76"/>
      <c r="F255" s="76"/>
      <c r="G255" s="74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75">
        <f>IF(G256&lt;&gt;"",SUBTOTAL(3,$G$6:G256),"")</f>
        <v>72</v>
      </c>
      <c r="C256" s="75"/>
      <c r="D256" s="75"/>
      <c r="E256" s="76" t="s">
        <v>139</v>
      </c>
      <c r="F256" s="76" t="s">
        <v>135</v>
      </c>
      <c r="G256" s="74" t="s">
        <v>195</v>
      </c>
      <c r="H256" s="61">
        <v>43977</v>
      </c>
      <c r="I256" s="62">
        <v>1</v>
      </c>
      <c r="J256" s="77" t="s">
        <v>459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IF(G257&lt;&gt;"",SUBTOTAL(3,$G$6:G257),"")</f>
        <v/>
      </c>
      <c r="C257" s="75"/>
      <c r="D257" s="75"/>
      <c r="E257" s="76"/>
      <c r="F257" s="76"/>
      <c r="G257" s="74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IF(G258&lt;&gt;"",SUBTOTAL(3,$G$6:G258),"")</f>
        <v>73</v>
      </c>
      <c r="C258" s="75"/>
      <c r="D258" s="75"/>
      <c r="E258" s="76" t="s">
        <v>139</v>
      </c>
      <c r="F258" s="76" t="s">
        <v>135</v>
      </c>
      <c r="G258" s="74" t="s">
        <v>196</v>
      </c>
      <c r="H258" s="61">
        <v>43995</v>
      </c>
      <c r="I258" s="62">
        <v>1</v>
      </c>
      <c r="J258" s="77" t="s">
        <v>431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IF(G259&lt;&gt;"",SUBTOTAL(3,$G$6:G259),"")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432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IF(G260&lt;&gt;"",SUBTOTAL(3,$G$6:G260),"")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433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IF(G261&lt;&gt;"",SUBTOTAL(3,$G$6:G261),"")</f>
        <v/>
      </c>
      <c r="C261" s="75"/>
      <c r="D261" s="75"/>
      <c r="E261" s="76"/>
      <c r="F261" s="76"/>
      <c r="G261" s="74"/>
      <c r="H261" s="61"/>
      <c r="I261" s="70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75">
        <f>IF(G262&lt;&gt;"",SUBTOTAL(3,$G$6:G262),"")</f>
        <v>74</v>
      </c>
      <c r="C262" s="75"/>
      <c r="D262" s="75"/>
      <c r="E262" s="76" t="s">
        <v>139</v>
      </c>
      <c r="F262" s="76" t="s">
        <v>135</v>
      </c>
      <c r="G262" s="74" t="s">
        <v>197</v>
      </c>
      <c r="H262" s="61">
        <v>43982</v>
      </c>
      <c r="I262" s="62">
        <v>1</v>
      </c>
      <c r="J262" s="77" t="s">
        <v>434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IF(G263&lt;&gt;"",SUBTOTAL(3,$G$6:G263),"")</f>
        <v/>
      </c>
      <c r="C263" s="75"/>
      <c r="D263" s="75"/>
      <c r="E263" s="76"/>
      <c r="F263" s="76"/>
      <c r="G263" s="74"/>
      <c r="H263" s="61"/>
      <c r="I263" s="70">
        <v>1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75">
        <f>IF(G264&lt;&gt;"",SUBTOTAL(3,$G$6:G264),"")</f>
        <v>75</v>
      </c>
      <c r="C264" s="75"/>
      <c r="D264" s="75"/>
      <c r="E264" s="76" t="s">
        <v>139</v>
      </c>
      <c r="F264" s="76" t="s">
        <v>135</v>
      </c>
      <c r="G264" s="74" t="s">
        <v>198</v>
      </c>
      <c r="H264" s="61">
        <v>43989</v>
      </c>
      <c r="I264" s="62">
        <v>1</v>
      </c>
      <c r="J264" s="77" t="s">
        <v>435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70">
        <v>1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75">
        <f>IF(G266&lt;&gt;"",SUBTOTAL(3,$G$6:G266),"")</f>
        <v>76</v>
      </c>
      <c r="C266" s="75"/>
      <c r="D266" s="75"/>
      <c r="E266" s="76" t="s">
        <v>139</v>
      </c>
      <c r="F266" s="76" t="s">
        <v>135</v>
      </c>
      <c r="G266" s="74" t="s">
        <v>199</v>
      </c>
      <c r="H266" s="61">
        <v>43989</v>
      </c>
      <c r="I266" s="62">
        <v>0.5</v>
      </c>
      <c r="J266" s="77" t="s">
        <v>437</v>
      </c>
      <c r="K266" s="101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68">
        <v>0.5</v>
      </c>
      <c r="J267" s="77" t="s">
        <v>436</v>
      </c>
      <c r="K267" s="101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IF(G268&lt;&gt;"",SUBTOTAL(3,$G$6:G268),"")</f>
        <v/>
      </c>
      <c r="C268" s="75"/>
      <c r="D268" s="75"/>
      <c r="E268" s="76"/>
      <c r="F268" s="76"/>
      <c r="G268" s="74"/>
      <c r="H268" s="61"/>
      <c r="I268" s="68">
        <v>0.5</v>
      </c>
      <c r="J268" s="77" t="s">
        <v>438</v>
      </c>
      <c r="K268" s="101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IF(G269&lt;&gt;"",SUBTOTAL(3,$G$6:G269),"")</f>
        <v/>
      </c>
      <c r="C269" s="75"/>
      <c r="D269" s="75"/>
      <c r="E269" s="76"/>
      <c r="F269" s="76"/>
      <c r="G269" s="74"/>
      <c r="H269" s="61"/>
      <c r="I269" s="68">
        <v>0.5</v>
      </c>
      <c r="J269" s="77" t="s">
        <v>439</v>
      </c>
      <c r="K269" s="101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99" t="str">
        <f>IF(G270&lt;&gt;"",SUBTOTAL(3,$G$6:G270),"")</f>
        <v/>
      </c>
      <c r="C270" s="75"/>
      <c r="D270" s="75"/>
      <c r="E270" s="76"/>
      <c r="F270" s="76"/>
      <c r="G270" s="74"/>
      <c r="H270" s="61"/>
      <c r="I270" s="68">
        <v>0.5</v>
      </c>
      <c r="J270" s="77"/>
      <c r="K270" s="101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75">
        <f>IF(G271&lt;&gt;"",SUBTOTAL(3,$G$6:G271),"")</f>
        <v>77</v>
      </c>
      <c r="C271" s="75"/>
      <c r="D271" s="75"/>
      <c r="E271" s="76" t="s">
        <v>139</v>
      </c>
      <c r="F271" s="76" t="s">
        <v>135</v>
      </c>
      <c r="G271" s="74" t="s">
        <v>200</v>
      </c>
      <c r="H271" s="61">
        <v>43991</v>
      </c>
      <c r="I271" s="62">
        <v>1</v>
      </c>
      <c r="J271" s="77" t="s">
        <v>440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70">
        <v>1</v>
      </c>
      <c r="J272" s="77" t="s">
        <v>441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70">
        <v>1</v>
      </c>
      <c r="J273" s="77" t="s">
        <v>442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70">
        <v>1</v>
      </c>
      <c r="J274" s="77" t="s">
        <v>443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70">
        <v>1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75">
        <f>IF(G276&lt;&gt;"",SUBTOTAL(3,$G$6:G276),"")</f>
        <v>78</v>
      </c>
      <c r="C276" s="75"/>
      <c r="D276" s="75"/>
      <c r="E276" s="76" t="s">
        <v>139</v>
      </c>
      <c r="F276" s="76" t="s">
        <v>135</v>
      </c>
      <c r="G276" s="74" t="s">
        <v>201</v>
      </c>
      <c r="H276" s="61">
        <v>43991</v>
      </c>
      <c r="I276" s="62">
        <v>1</v>
      </c>
      <c r="J276" s="77" t="s">
        <v>491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IF(G277&lt;&gt;"",SUBTOTAL(3,$G$5:G277),"")</f>
        <v/>
      </c>
      <c r="C277" s="75"/>
      <c r="D277" s="75"/>
      <c r="E277" s="76"/>
      <c r="F277" s="76"/>
      <c r="G277" s="74"/>
      <c r="H277" s="61"/>
      <c r="I277" s="70">
        <v>1</v>
      </c>
      <c r="J277" s="77" t="s">
        <v>492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IF(G278&lt;&gt;"",SUBTOTAL(3,$G$5:G278),"")</f>
        <v/>
      </c>
      <c r="C278" s="75"/>
      <c r="D278" s="75"/>
      <c r="E278" s="76"/>
      <c r="F278" s="76"/>
      <c r="G278" s="74"/>
      <c r="H278" s="61"/>
      <c r="I278" s="70">
        <v>1</v>
      </c>
      <c r="J278" s="77" t="s">
        <v>493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IF(G279&lt;&gt;"",SUBTOTAL(3,$G$5:G279),"")</f>
        <v/>
      </c>
      <c r="C279" s="75"/>
      <c r="D279" s="75"/>
      <c r="E279" s="76"/>
      <c r="F279" s="76"/>
      <c r="G279" s="74"/>
      <c r="H279" s="61"/>
      <c r="I279" s="70">
        <v>1</v>
      </c>
      <c r="J279" s="77" t="s">
        <v>490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IF(G280&lt;&gt;"",SUBTOTAL(3,$G$5:G280),"")</f>
        <v/>
      </c>
      <c r="C280" s="75"/>
      <c r="D280" s="75"/>
      <c r="E280" s="76"/>
      <c r="F280" s="76"/>
      <c r="G280" s="74"/>
      <c r="H280" s="61"/>
      <c r="I280" s="70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75">
        <f>IF(G281&lt;&gt;"",SUBTOTAL(3,$G$6:G281),"")</f>
        <v>79</v>
      </c>
      <c r="C281" s="75"/>
      <c r="D281" s="75"/>
      <c r="E281" s="76" t="s">
        <v>139</v>
      </c>
      <c r="F281" s="76" t="s">
        <v>135</v>
      </c>
      <c r="G281" s="74" t="s">
        <v>444</v>
      </c>
      <c r="H281" s="61">
        <v>43992</v>
      </c>
      <c r="I281" s="62">
        <v>0.8</v>
      </c>
      <c r="J281" s="77" t="s">
        <v>446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0.8</v>
      </c>
      <c r="J282" s="77" t="s">
        <v>445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0.8</v>
      </c>
      <c r="J283" s="77" t="s">
        <v>447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0.8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>
        <f>IF(G285&lt;&gt;"",SUBTOTAL(3,$G$6:G285),"")</f>
        <v>80</v>
      </c>
      <c r="C285" s="75"/>
      <c r="D285" s="75"/>
      <c r="E285" s="76" t="s">
        <v>139</v>
      </c>
      <c r="F285" s="76" t="s">
        <v>135</v>
      </c>
      <c r="G285" s="74" t="s">
        <v>202</v>
      </c>
      <c r="H285" s="61">
        <v>43994</v>
      </c>
      <c r="I285" s="62">
        <v>0.8</v>
      </c>
      <c r="J285" s="77" t="s">
        <v>312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0.8</v>
      </c>
      <c r="J286" s="77" t="s">
        <v>313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0.8</v>
      </c>
      <c r="J287" s="77" t="s">
        <v>314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IF(G288&lt;&gt;"",SUBTOTAL(3,$G$6:G288),"")</f>
        <v/>
      </c>
      <c r="C288" s="75"/>
      <c r="D288" s="75"/>
      <c r="E288" s="76"/>
      <c r="F288" s="76"/>
      <c r="G288" s="74"/>
      <c r="H288" s="61"/>
      <c r="I288" s="68">
        <v>0.8</v>
      </c>
      <c r="J288" s="77" t="s">
        <v>315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IF(G289&lt;&gt;"",SUBTOTAL(3,$G$6:G289),"")</f>
        <v/>
      </c>
      <c r="C289" s="75"/>
      <c r="D289" s="75"/>
      <c r="E289" s="76"/>
      <c r="F289" s="76"/>
      <c r="G289" s="74"/>
      <c r="H289" s="61"/>
      <c r="I289" s="68">
        <v>0.8</v>
      </c>
      <c r="J289" s="77" t="s">
        <v>316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0.8</v>
      </c>
      <c r="J290" s="77" t="s">
        <v>317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IF(G291&lt;&gt;"",SUBTOTAL(3,$G$6:G291),"")</f>
        <v/>
      </c>
      <c r="C291" s="75"/>
      <c r="D291" s="75"/>
      <c r="E291" s="76"/>
      <c r="F291" s="76"/>
      <c r="G291" s="74"/>
      <c r="H291" s="61"/>
      <c r="I291" s="68">
        <v>0.8</v>
      </c>
      <c r="J291" s="77" t="s">
        <v>318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IF(G292&lt;&gt;"",SUBTOTAL(3,$G$6:G292),"")</f>
        <v/>
      </c>
      <c r="C292" s="75"/>
      <c r="D292" s="75"/>
      <c r="E292" s="76"/>
      <c r="F292" s="76"/>
      <c r="G292" s="74"/>
      <c r="H292" s="61"/>
      <c r="I292" s="68">
        <v>0.8</v>
      </c>
      <c r="J292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IF(G293&lt;&gt;"",SUBTOTAL(3,$G$6:G293),"")</f>
        <v/>
      </c>
      <c r="C293" s="75"/>
      <c r="D293" s="75"/>
      <c r="E293" s="76"/>
      <c r="F293" s="76"/>
      <c r="G293" s="74"/>
      <c r="H293" s="61"/>
      <c r="I293" s="68">
        <v>0.8</v>
      </c>
      <c r="J293" s="37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9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75">
        <f>IF(G294&lt;&gt;"",SUBTOTAL(3,$G$6:G294),"")</f>
        <v>81</v>
      </c>
      <c r="C294" s="75"/>
      <c r="D294" s="75"/>
      <c r="E294" s="76" t="s">
        <v>139</v>
      </c>
      <c r="F294" s="76" t="s">
        <v>135</v>
      </c>
      <c r="G294" s="74" t="s">
        <v>203</v>
      </c>
      <c r="H294" s="61">
        <v>43995</v>
      </c>
      <c r="I294" s="62">
        <v>1</v>
      </c>
      <c r="J294" s="77" t="s">
        <v>487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IF(G295&lt;&gt;"",SUBTOTAL(3,$G$5:G295),"")</f>
        <v/>
      </c>
      <c r="C295" s="75"/>
      <c r="D295" s="75"/>
      <c r="E295" s="76"/>
      <c r="F295" s="76"/>
      <c r="G295" s="74"/>
      <c r="H295" s="61"/>
      <c r="I295" s="70">
        <v>1</v>
      </c>
      <c r="J295" s="77" t="s">
        <v>488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70">
        <v>1</v>
      </c>
      <c r="J296" s="77" t="s">
        <v>489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IF(G297&lt;&gt;"",SUBTOTAL(3,$G$6:G297),"")</f>
        <v/>
      </c>
      <c r="C297" s="75"/>
      <c r="D297" s="75"/>
      <c r="E297" s="76"/>
      <c r="F297" s="76"/>
      <c r="G297" s="74"/>
      <c r="H297" s="61"/>
      <c r="I297" s="70">
        <v>1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>
        <f>IF(G298&lt;&gt;"",SUBTOTAL(3,$G$6:G298),"")</f>
        <v>82</v>
      </c>
      <c r="C298" s="75"/>
      <c r="D298" s="75"/>
      <c r="E298" s="76" t="s">
        <v>139</v>
      </c>
      <c r="F298" s="76" t="s">
        <v>135</v>
      </c>
      <c r="G298" s="74" t="s">
        <v>204</v>
      </c>
      <c r="H298" s="61">
        <v>43997</v>
      </c>
      <c r="I298" s="62">
        <v>1</v>
      </c>
      <c r="J298" s="77" t="s">
        <v>384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320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4"/>
      <c r="H299" s="61"/>
      <c r="I299" s="70">
        <v>1</v>
      </c>
      <c r="J299" s="77" t="s">
        <v>383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 t="s">
        <v>385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4"/>
      <c r="H300" s="61"/>
      <c r="I300" s="70">
        <v>1</v>
      </c>
      <c r="J300" s="77" t="s">
        <v>319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 t="s">
        <v>386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75">
        <f>IF(G301&lt;&gt;"",SUBTOTAL(3,$G$6:G301),"")</f>
        <v>83</v>
      </c>
      <c r="C301" s="75"/>
      <c r="D301" s="75"/>
      <c r="E301" s="76" t="s">
        <v>139</v>
      </c>
      <c r="F301" s="76" t="s">
        <v>135</v>
      </c>
      <c r="G301" s="74" t="s">
        <v>205</v>
      </c>
      <c r="H301" s="61">
        <v>44004</v>
      </c>
      <c r="I301" s="62">
        <v>0.5</v>
      </c>
      <c r="J301" s="77" t="s">
        <v>476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4"/>
      <c r="H302" s="61"/>
      <c r="I302" s="68">
        <v>0.5</v>
      </c>
      <c r="J302" s="77" t="s">
        <v>477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4"/>
      <c r="H303" s="61"/>
      <c r="I303" s="68">
        <v>0.5</v>
      </c>
      <c r="J303" s="77" t="s">
        <v>474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4"/>
      <c r="H304" s="61"/>
      <c r="I304" s="68">
        <v>0.5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0.5</v>
      </c>
      <c r="J305" s="77" t="s">
        <v>483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0.5</v>
      </c>
      <c r="J306" s="77" t="s">
        <v>484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0.5</v>
      </c>
      <c r="J307" s="77" t="s">
        <v>480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4"/>
      <c r="H308" s="61"/>
      <c r="I308" s="68">
        <v>0.5</v>
      </c>
      <c r="J308" s="77"/>
      <c r="K308" s="43" t="s">
        <v>481</v>
      </c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IF(G309&lt;&gt;"",SUBTOTAL(3,$G$6:G309),"")</f>
        <v/>
      </c>
      <c r="C309" s="75"/>
      <c r="D309" s="75"/>
      <c r="E309" s="76"/>
      <c r="F309" s="76"/>
      <c r="G309" s="74"/>
      <c r="H309" s="61"/>
      <c r="I309" s="68">
        <v>0.5</v>
      </c>
      <c r="J309" s="77"/>
      <c r="K309" s="43" t="s">
        <v>482</v>
      </c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3.5" customHeight="1" x14ac:dyDescent="0.15">
      <c r="B310" s="99" t="str">
        <f>IF(G310&lt;&gt;"",SUBTOTAL(3,$G$6:G310),"")</f>
        <v/>
      </c>
      <c r="C310" s="75"/>
      <c r="D310" s="75"/>
      <c r="E310" s="76"/>
      <c r="F310" s="76"/>
      <c r="G310" s="74"/>
      <c r="H310" s="61"/>
      <c r="I310" s="68">
        <v>0.5</v>
      </c>
      <c r="J310" s="77"/>
      <c r="K310" s="43" t="s">
        <v>475</v>
      </c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99" t="str">
        <f>IF(G311&lt;&gt;"",SUBTOTAL(3,$G$6:G311),"")</f>
        <v/>
      </c>
      <c r="C311" s="75"/>
      <c r="D311" s="75"/>
      <c r="E311" s="76"/>
      <c r="F311" s="76"/>
      <c r="G311" s="74"/>
      <c r="H311" s="61"/>
      <c r="I311" s="68">
        <v>0.5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3.5" customHeight="1" x14ac:dyDescent="0.15">
      <c r="B312" s="99" t="str">
        <f>IF(G312&lt;&gt;"",SUBTOTAL(3,$G$6:G312),"")</f>
        <v/>
      </c>
      <c r="C312" s="75"/>
      <c r="D312" s="75"/>
      <c r="E312" s="76"/>
      <c r="F312" s="76"/>
      <c r="G312" s="74"/>
      <c r="H312" s="61"/>
      <c r="I312" s="68">
        <v>0.5</v>
      </c>
      <c r="J312" s="77"/>
      <c r="K312" s="43" t="s">
        <v>478</v>
      </c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3.5" customHeight="1" x14ac:dyDescent="0.15">
      <c r="B313" s="99" t="str">
        <f>IF(G313&lt;&gt;"",SUBTOTAL(3,$G$6:G313),"")</f>
        <v/>
      </c>
      <c r="C313" s="75"/>
      <c r="D313" s="75"/>
      <c r="E313" s="76"/>
      <c r="F313" s="76"/>
      <c r="G313" s="74"/>
      <c r="H313" s="61"/>
      <c r="I313" s="68">
        <v>0.5</v>
      </c>
      <c r="J313" s="77"/>
      <c r="K313" s="43" t="s">
        <v>479</v>
      </c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99" t="str">
        <f>IF(G314&lt;&gt;"",SUBTOTAL(3,$G$6:G314),"")</f>
        <v/>
      </c>
      <c r="C314" s="75"/>
      <c r="D314" s="75"/>
      <c r="E314" s="76"/>
      <c r="F314" s="76"/>
      <c r="G314" s="74"/>
      <c r="H314" s="61"/>
      <c r="I314" s="68">
        <v>0.5</v>
      </c>
      <c r="J314" s="77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>
        <f>IF(G315&lt;&gt;"",SUBTOTAL(3,$G$6:G315),"")</f>
        <v>84</v>
      </c>
      <c r="C315" s="75"/>
      <c r="D315" s="75"/>
      <c r="E315" s="76" t="s">
        <v>139</v>
      </c>
      <c r="F315" s="76" t="s">
        <v>142</v>
      </c>
      <c r="G315" s="76" t="s">
        <v>206</v>
      </c>
      <c r="H315" s="61">
        <v>44030</v>
      </c>
      <c r="I315" s="62">
        <v>1</v>
      </c>
      <c r="J315" s="77" t="s">
        <v>321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 t="s">
        <v>387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77" t="s">
        <v>322</v>
      </c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77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 t="s">
        <v>388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323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5.75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350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 t="s">
        <v>389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390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77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>
        <f>IF(G323&lt;&gt;"",SUBTOTAL(3,$G$6:G323),"")</f>
        <v>85</v>
      </c>
      <c r="C323" s="75"/>
      <c r="D323" s="75"/>
      <c r="E323" s="76" t="s">
        <v>139</v>
      </c>
      <c r="F323" s="76" t="s">
        <v>142</v>
      </c>
      <c r="G323" s="76" t="s">
        <v>213</v>
      </c>
      <c r="H323" s="61">
        <v>44052</v>
      </c>
      <c r="I323" s="62">
        <v>0.5</v>
      </c>
      <c r="J323" s="77" t="s">
        <v>324</v>
      </c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 t="s">
        <v>392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99" t="str">
        <f>IF(G324&lt;&gt;"",SUBTOTAL(3,$G$6:G324),"")</f>
        <v/>
      </c>
      <c r="C324" s="75"/>
      <c r="D324" s="75"/>
      <c r="E324" s="76"/>
      <c r="F324" s="76"/>
      <c r="G324" s="76"/>
      <c r="H324" s="61"/>
      <c r="I324" s="68">
        <v>0.5</v>
      </c>
      <c r="J324" s="77" t="s">
        <v>351</v>
      </c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 t="s">
        <v>391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99" t="str">
        <f>IF(G325&lt;&gt;"",SUBTOTAL(3,$G$6:G325),"")</f>
        <v/>
      </c>
      <c r="C325" s="75"/>
      <c r="D325" s="75"/>
      <c r="E325" s="76"/>
      <c r="F325" s="76"/>
      <c r="G325" s="76"/>
      <c r="H325" s="61"/>
      <c r="I325" s="68">
        <v>0.5</v>
      </c>
      <c r="J325" s="77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 t="s">
        <v>393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99" t="str">
        <f>IF(G326&lt;&gt;"",SUBTOTAL(3,$G$6:G326),"")</f>
        <v/>
      </c>
      <c r="C326" s="75"/>
      <c r="D326" s="75"/>
      <c r="E326" s="76"/>
      <c r="F326" s="76"/>
      <c r="G326" s="76"/>
      <c r="H326" s="61"/>
      <c r="I326" s="68">
        <v>0.5</v>
      </c>
      <c r="J326" s="77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 t="s">
        <v>394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99" t="str">
        <f>IF(G327&lt;&gt;"",SUBTOTAL(3,$G$6:G327),"")</f>
        <v/>
      </c>
      <c r="C327" s="75"/>
      <c r="D327" s="75"/>
      <c r="E327" s="76"/>
      <c r="F327" s="76"/>
      <c r="G327" s="76"/>
      <c r="H327" s="61"/>
      <c r="I327" s="68">
        <v>0.5</v>
      </c>
      <c r="J327" s="77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 t="s">
        <v>396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68">
        <v>0.5</v>
      </c>
      <c r="J328" s="77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 t="s">
        <v>395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68">
        <v>0.5</v>
      </c>
      <c r="J329" s="77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 t="s">
        <v>397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68">
        <v>0.5</v>
      </c>
      <c r="J330" s="77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68">
        <v>0.5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3.5" customHeight="1" x14ac:dyDescent="0.15">
      <c r="B332" s="75">
        <f>IF(G332&lt;&gt;"",SUBTOTAL(3,$G$6:G332),"")</f>
        <v>86</v>
      </c>
      <c r="C332" s="75"/>
      <c r="D332" s="75"/>
      <c r="E332" s="76" t="s">
        <v>139</v>
      </c>
      <c r="F332" s="76" t="s">
        <v>142</v>
      </c>
      <c r="G332" s="76" t="s">
        <v>220</v>
      </c>
      <c r="H332" s="61">
        <v>44062</v>
      </c>
      <c r="I332" s="62">
        <v>1</v>
      </c>
      <c r="J332" s="77" t="s">
        <v>468</v>
      </c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99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77" t="s">
        <v>469</v>
      </c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3.5" customHeight="1" x14ac:dyDescent="0.15">
      <c r="B334" s="99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77" t="s">
        <v>470</v>
      </c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ht="13.5" customHeight="1" x14ac:dyDescent="0.15">
      <c r="B335" s="99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77" t="s">
        <v>471</v>
      </c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3.5" customHeight="1" x14ac:dyDescent="0.15">
      <c r="B336" s="99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77" t="s">
        <v>472</v>
      </c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ht="13.5" customHeight="1" x14ac:dyDescent="0.15">
      <c r="B337" s="99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ht="13.5" customHeight="1" x14ac:dyDescent="0.15">
      <c r="B338" s="75">
        <f>IF(G338&lt;&gt;"",SUBTOTAL(3,$G$6:G338),"")</f>
        <v>87</v>
      </c>
      <c r="C338" s="75"/>
      <c r="D338" s="75"/>
      <c r="E338" s="76" t="s">
        <v>139</v>
      </c>
      <c r="F338" s="76" t="s">
        <v>142</v>
      </c>
      <c r="G338" s="76" t="s">
        <v>221</v>
      </c>
      <c r="H338" s="61">
        <v>44071</v>
      </c>
      <c r="I338" s="62">
        <v>1</v>
      </c>
      <c r="J338" s="77" t="s">
        <v>467</v>
      </c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3.5" customHeight="1" x14ac:dyDescent="0.15">
      <c r="B339" s="99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77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>
        <f>IF(G340&lt;&gt;"",SUBTOTAL(3,$G$6:G340),"")</f>
        <v>88</v>
      </c>
      <c r="C340" s="75"/>
      <c r="D340" s="75"/>
      <c r="E340" s="76" t="s">
        <v>139</v>
      </c>
      <c r="F340" s="76" t="s">
        <v>142</v>
      </c>
      <c r="G340" s="76" t="s">
        <v>225</v>
      </c>
      <c r="H340" s="61">
        <v>44073</v>
      </c>
      <c r="I340" s="62">
        <v>1</v>
      </c>
      <c r="J340" s="95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95" t="s">
        <v>335</v>
      </c>
      <c r="AT340" s="43" t="s">
        <v>336</v>
      </c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96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96" t="s">
        <v>325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96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96" t="s">
        <v>326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96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96" t="s">
        <v>327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96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96" t="s">
        <v>328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96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96" t="s">
        <v>340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70">
        <v>1</v>
      </c>
      <c r="J346" s="96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96" t="s">
        <v>329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96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96" t="s">
        <v>330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95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95" t="s">
        <v>335</v>
      </c>
      <c r="AT348" s="43" t="s">
        <v>337</v>
      </c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77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77" t="s">
        <v>341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77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 t="s">
        <v>342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96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96" t="s">
        <v>325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70">
        <v>1</v>
      </c>
      <c r="J352" s="96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96" t="s">
        <v>326</v>
      </c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96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96" t="s">
        <v>327</v>
      </c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96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96" t="s">
        <v>328</v>
      </c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70">
        <v>1</v>
      </c>
      <c r="J355" s="96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96" t="s">
        <v>343</v>
      </c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96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96" t="s">
        <v>331</v>
      </c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96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96" t="s">
        <v>329</v>
      </c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75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96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96" t="s">
        <v>330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75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95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95" t="s">
        <v>338</v>
      </c>
      <c r="AT359" s="43" t="s">
        <v>339</v>
      </c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77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77" t="s">
        <v>344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96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96" t="s">
        <v>325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96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96" t="s">
        <v>326</v>
      </c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70">
        <v>1</v>
      </c>
      <c r="J363" s="96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96" t="s">
        <v>327</v>
      </c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96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96" t="s">
        <v>328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96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96" t="s">
        <v>332</v>
      </c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96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96" t="s">
        <v>329</v>
      </c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96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96" t="s">
        <v>330</v>
      </c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77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77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ht="14.25" customHeight="1" x14ac:dyDescent="0.15">
      <c r="B369" s="75">
        <f>IF(G369&lt;&gt;"",SUBTOTAL(3,$G$6:G369),"")</f>
        <v>89</v>
      </c>
      <c r="C369" s="75"/>
      <c r="D369" s="75"/>
      <c r="E369" s="76" t="s">
        <v>139</v>
      </c>
      <c r="F369" s="76" t="s">
        <v>142</v>
      </c>
      <c r="G369" s="76" t="s">
        <v>236</v>
      </c>
      <c r="H369" s="61">
        <v>44108</v>
      </c>
      <c r="I369" s="62">
        <v>0.5</v>
      </c>
      <c r="J369" s="77" t="s">
        <v>1</v>
      </c>
      <c r="K369" s="43" t="s">
        <v>334</v>
      </c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77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ht="14.25" customHeigh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68">
        <v>0.5</v>
      </c>
      <c r="J370" s="80"/>
      <c r="K370" s="81"/>
      <c r="L370" s="81"/>
      <c r="M370" s="81"/>
      <c r="N370" s="81"/>
      <c r="O370" s="81"/>
      <c r="P370" s="81"/>
      <c r="Q370" s="81"/>
      <c r="R370" s="82" t="s">
        <v>333</v>
      </c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3"/>
      <c r="AS370" s="77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ht="14.25" customHeigh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68">
        <v>0.5</v>
      </c>
      <c r="J371" s="84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3"/>
      <c r="AS371" s="77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ht="14.25" customHeigh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68">
        <v>0.5</v>
      </c>
      <c r="J372" s="80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3"/>
      <c r="AS372" s="77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ht="14.25" customHeight="1" x14ac:dyDescent="0.15">
      <c r="B373" s="75" t="str">
        <f>IF(G373&lt;&gt;"",SUBTOTAL(3,$G$6:G373),"")</f>
        <v/>
      </c>
      <c r="C373" s="75"/>
      <c r="D373" s="75"/>
      <c r="E373" s="76"/>
      <c r="F373" s="76"/>
      <c r="G373" s="76"/>
      <c r="H373" s="61"/>
      <c r="I373" s="68">
        <v>0.5</v>
      </c>
      <c r="J373" s="80" t="s">
        <v>237</v>
      </c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3"/>
      <c r="AS373" s="77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ht="14.25" customHeigh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68">
        <v>0.5</v>
      </c>
      <c r="J374" s="80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3"/>
      <c r="AS374" s="77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ht="13.5" customHeigh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62"/>
      <c r="J375" s="77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78"/>
      <c r="AS375" s="77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ht="13.5" customHeight="1" x14ac:dyDescent="0.15">
      <c r="B376" s="58" t="str">
        <f>IF(G376&lt;&gt;"",SUBTOTAL(3,$G$6:G376),"")</f>
        <v/>
      </c>
      <c r="C376" s="58"/>
      <c r="D376" s="58"/>
      <c r="E376" s="59"/>
      <c r="F376" s="59"/>
      <c r="G376" s="59"/>
      <c r="H376" s="61"/>
      <c r="I376" s="62"/>
      <c r="J376" s="40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2"/>
      <c r="AS376" s="63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5"/>
      <c r="CB376" s="60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</row>
    <row r="377" spans="2:130" ht="13.5" customHeight="1" x14ac:dyDescent="0.15">
      <c r="B377" s="58" t="str">
        <f>IF(G377&lt;&gt;"",SUBTOTAL(3,$G$6:G377),"")</f>
        <v/>
      </c>
      <c r="C377" s="58"/>
      <c r="D377" s="58"/>
      <c r="E377" s="59"/>
      <c r="F377" s="59"/>
      <c r="G377" s="59"/>
      <c r="H377" s="61"/>
      <c r="I377" s="62"/>
      <c r="J377" s="63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5"/>
      <c r="AS377" s="63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5"/>
      <c r="CB377" s="60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</row>
    <row r="378" spans="2:130" x14ac:dyDescent="0.15">
      <c r="B378" s="58" t="str">
        <f>IF(G378&lt;&gt;"",SUBTOTAL(3,$G$6:G378),"")</f>
        <v/>
      </c>
      <c r="C378" s="58"/>
      <c r="D378" s="58"/>
      <c r="E378" s="59"/>
      <c r="F378" s="59"/>
      <c r="G378" s="59"/>
      <c r="H378" s="61"/>
      <c r="I378" s="62"/>
      <c r="J378" s="63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5"/>
      <c r="AS378" s="63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5"/>
      <c r="CB378" s="60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</row>
    <row r="379" spans="2:130" x14ac:dyDescent="0.15">
      <c r="B379" s="58" t="str">
        <f>IF(G379&lt;&gt;"",SUBTOTAL(3,$G$6:G379),"")</f>
        <v/>
      </c>
      <c r="C379" s="58"/>
      <c r="D379" s="58"/>
      <c r="E379" s="59"/>
      <c r="F379" s="59"/>
      <c r="G379" s="59"/>
      <c r="H379" s="61"/>
      <c r="I379" s="62"/>
      <c r="J379" s="63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5"/>
      <c r="AS379" s="63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5"/>
      <c r="CB379" s="60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</row>
    <row r="380" spans="2:130" x14ac:dyDescent="0.15">
      <c r="B380" s="58" t="str">
        <f>IF(G380&lt;&gt;"",SUBTOTAL(3,$G$6:G380),"")</f>
        <v/>
      </c>
      <c r="C380" s="58"/>
      <c r="D380" s="58"/>
      <c r="E380" s="59"/>
      <c r="F380" s="59"/>
      <c r="G380" s="59"/>
      <c r="H380" s="61"/>
      <c r="I380" s="62"/>
      <c r="J380" s="63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5"/>
      <c r="AS380" s="63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5"/>
      <c r="CB380" s="60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</row>
    <row r="381" spans="2:130" x14ac:dyDescent="0.15">
      <c r="B381" s="58" t="str">
        <f>IF(G381&lt;&gt;"",SUBTOTAL(3,$G$6:G381),"")</f>
        <v/>
      </c>
      <c r="C381" s="58"/>
      <c r="D381" s="58"/>
      <c r="E381" s="59"/>
      <c r="F381" s="59"/>
      <c r="G381" s="59"/>
      <c r="H381" s="61"/>
      <c r="I381" s="62"/>
      <c r="J381" s="63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5"/>
      <c r="AS381" s="63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5"/>
      <c r="CB381" s="60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</row>
    <row r="382" spans="2:130" ht="15.75" x14ac:dyDescent="0.15">
      <c r="B382" s="58" t="str">
        <f>IF(G382&lt;&gt;"",SUBTOTAL(3,$G$6:G382),"")</f>
        <v/>
      </c>
      <c r="C382" s="58"/>
      <c r="D382" s="58"/>
      <c r="E382" s="59"/>
      <c r="F382" s="59"/>
      <c r="G382" s="59"/>
      <c r="H382" s="61"/>
      <c r="I382" s="62"/>
      <c r="J382" s="40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2"/>
      <c r="AS382" s="63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5"/>
      <c r="CB382" s="60"/>
      <c r="CH382" s="64"/>
      <c r="CI382" s="69"/>
      <c r="CJ382" s="69"/>
      <c r="CK382" s="69"/>
      <c r="CL382" s="69"/>
      <c r="CM382" s="69"/>
      <c r="CN382" s="69"/>
      <c r="CO382" s="69"/>
      <c r="CP382" s="69"/>
      <c r="CQ382" s="69"/>
      <c r="CR382" s="69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9"/>
      <c r="DH382" s="69"/>
      <c r="DI382" s="69"/>
      <c r="DJ382" s="69"/>
      <c r="DK382" s="69"/>
      <c r="DL382" s="69"/>
      <c r="DM382" s="69"/>
      <c r="DN382" s="69"/>
      <c r="DO382" s="69"/>
      <c r="DP382" s="69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</row>
    <row r="383" spans="2:130" x14ac:dyDescent="0.15">
      <c r="B383" s="58" t="str">
        <f>IF(G383&lt;&gt;"",SUBTOTAL(3,$G$6:G383),"")</f>
        <v/>
      </c>
      <c r="C383" s="58"/>
      <c r="D383" s="58"/>
      <c r="E383" s="59"/>
      <c r="F383" s="59"/>
      <c r="G383" s="59"/>
      <c r="H383" s="61"/>
      <c r="I383" s="62"/>
      <c r="J383" s="63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5"/>
      <c r="AS383" s="63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5"/>
      <c r="CB383" s="60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</row>
    <row r="384" spans="2:130" x14ac:dyDescent="0.15">
      <c r="B384" s="58" t="str">
        <f>IF(G384&lt;&gt;"",SUBTOTAL(3,$G$6:G384),"")</f>
        <v/>
      </c>
      <c r="C384" s="58"/>
      <c r="D384" s="58"/>
      <c r="E384" s="59"/>
      <c r="F384" s="59"/>
      <c r="G384" s="59"/>
      <c r="H384" s="61"/>
      <c r="I384" s="62"/>
      <c r="J384" s="63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5"/>
      <c r="AS384" s="63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5"/>
      <c r="CB384" s="60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</row>
    <row r="385" spans="2:130" x14ac:dyDescent="0.15">
      <c r="B385" s="58" t="str">
        <f>IF(G385&lt;&gt;"",SUBTOTAL(3,$G$6:G385),"")</f>
        <v/>
      </c>
      <c r="C385" s="58"/>
      <c r="D385" s="58"/>
      <c r="E385" s="59"/>
      <c r="F385" s="59"/>
      <c r="G385" s="59"/>
      <c r="H385" s="61"/>
      <c r="I385" s="62"/>
      <c r="J385" s="63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5"/>
      <c r="AS385" s="63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5"/>
      <c r="CB385" s="60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</row>
    <row r="386" spans="2:130" x14ac:dyDescent="0.15">
      <c r="B386" s="58" t="str">
        <f>IF(G386&lt;&gt;"",SUBTOTAL(3,$G$6:G386),"")</f>
        <v/>
      </c>
      <c r="C386" s="58"/>
      <c r="D386" s="58"/>
      <c r="E386" s="59"/>
      <c r="F386" s="59"/>
      <c r="G386" s="59"/>
      <c r="H386" s="61"/>
      <c r="I386" s="62"/>
      <c r="J386" s="63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5"/>
      <c r="AS386" s="63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5"/>
      <c r="CB386" s="60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</row>
    <row r="387" spans="2:130" x14ac:dyDescent="0.15">
      <c r="B387" s="58" t="str">
        <f>IF(G387&lt;&gt;"",SUBTOTAL(3,$G$6:G387),"")</f>
        <v/>
      </c>
      <c r="C387" s="58"/>
      <c r="D387" s="58"/>
      <c r="E387" s="59"/>
      <c r="F387" s="59"/>
      <c r="G387" s="59"/>
      <c r="H387" s="61"/>
      <c r="I387" s="62"/>
      <c r="J387" s="63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5"/>
      <c r="AS387" s="63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5"/>
      <c r="CB387" s="60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</row>
    <row r="388" spans="2:130" x14ac:dyDescent="0.15">
      <c r="B388" s="58" t="str">
        <f>IF(G388&lt;&gt;"",SUBTOTAL(3,$G$6:G388),"")</f>
        <v/>
      </c>
      <c r="C388" s="58"/>
      <c r="D388" s="58"/>
      <c r="E388" s="59"/>
      <c r="F388" s="59"/>
      <c r="G388" s="59"/>
      <c r="H388" s="61"/>
      <c r="I388" s="62"/>
      <c r="J388" s="63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5"/>
      <c r="AS388" s="63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5"/>
      <c r="CB388" s="60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</row>
    <row r="389" spans="2:130" x14ac:dyDescent="0.15">
      <c r="B389" s="58" t="str">
        <f>IF(G389&lt;&gt;"",SUBTOTAL(3,$G$6:G389),"")</f>
        <v/>
      </c>
      <c r="C389" s="58"/>
      <c r="D389" s="58"/>
      <c r="E389" s="59"/>
      <c r="F389" s="59"/>
      <c r="G389" s="59"/>
      <c r="H389" s="61"/>
      <c r="I389" s="62"/>
      <c r="J389" s="63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5"/>
      <c r="AS389" s="63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5"/>
      <c r="CB389" s="60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</row>
    <row r="390" spans="2:130" ht="15.75" x14ac:dyDescent="0.15">
      <c r="B390" s="58" t="str">
        <f>IF(G390&lt;&gt;"",SUBTOTAL(3,$G$6:G390),"")</f>
        <v/>
      </c>
      <c r="C390" s="58"/>
      <c r="D390" s="58"/>
      <c r="E390" s="59"/>
      <c r="F390" s="59"/>
      <c r="G390" s="59"/>
      <c r="H390" s="61"/>
      <c r="I390" s="62"/>
      <c r="J390" s="40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2"/>
      <c r="AS390" s="63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5"/>
      <c r="CB390" s="60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</row>
    <row r="391" spans="2:130" x14ac:dyDescent="0.15">
      <c r="B391" s="58" t="str">
        <f>IF(G391&lt;&gt;"",SUBTOTAL(3,$G$6:G391),"")</f>
        <v/>
      </c>
      <c r="C391" s="58"/>
      <c r="D391" s="58"/>
      <c r="E391" s="59"/>
      <c r="F391" s="59"/>
      <c r="G391" s="59"/>
      <c r="H391" s="61"/>
      <c r="I391" s="62"/>
      <c r="J391" s="63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5"/>
      <c r="AS391" s="63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5"/>
      <c r="CB391" s="60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</row>
    <row r="392" spans="2:130" x14ac:dyDescent="0.15">
      <c r="B392" s="58" t="str">
        <f>IF(G392&lt;&gt;"",SUBTOTAL(3,$G$6:G392),"")</f>
        <v/>
      </c>
      <c r="C392" s="58"/>
      <c r="D392" s="58"/>
      <c r="E392" s="59"/>
      <c r="F392" s="59"/>
      <c r="G392" s="59"/>
      <c r="H392" s="61"/>
      <c r="I392" s="62"/>
      <c r="J392" s="63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5"/>
      <c r="AS392" s="63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5"/>
      <c r="CB392" s="60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</row>
    <row r="393" spans="2:130" x14ac:dyDescent="0.15">
      <c r="B393" s="58" t="str">
        <f>IF(G393&lt;&gt;"",SUBTOTAL(3,$G$6:G393),"")</f>
        <v/>
      </c>
      <c r="C393" s="58"/>
      <c r="D393" s="58"/>
      <c r="E393" s="59"/>
      <c r="F393" s="59"/>
      <c r="G393" s="59"/>
      <c r="H393" s="61"/>
      <c r="I393" s="62"/>
      <c r="J393" s="63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5"/>
      <c r="AS393" s="63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5"/>
      <c r="CB393" s="60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</row>
    <row r="394" spans="2:130" x14ac:dyDescent="0.15">
      <c r="B394" s="58" t="str">
        <f>IF(G394&lt;&gt;"",SUBTOTAL(3,$G$6:G394),"")</f>
        <v/>
      </c>
      <c r="C394" s="58"/>
      <c r="D394" s="58"/>
      <c r="E394" s="59"/>
      <c r="F394" s="59"/>
      <c r="G394" s="59"/>
      <c r="H394" s="61"/>
      <c r="I394" s="62"/>
      <c r="J394" s="63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5"/>
      <c r="AS394" s="63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5"/>
      <c r="CB394" s="60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</row>
    <row r="395" spans="2:130" x14ac:dyDescent="0.15">
      <c r="B395" s="58" t="str">
        <f>IF(G395&lt;&gt;"",SUBTOTAL(3,$G$6:G395),"")</f>
        <v/>
      </c>
      <c r="C395" s="58"/>
      <c r="D395" s="58"/>
      <c r="E395" s="59"/>
      <c r="F395" s="59"/>
      <c r="G395" s="59"/>
      <c r="H395" s="61"/>
      <c r="I395" s="62"/>
      <c r="J395" s="63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5"/>
      <c r="AS395" s="63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5"/>
      <c r="CB395" s="60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</row>
    <row r="396" spans="2:130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63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5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58" t="str">
        <f>IF(G398&lt;&gt;"",SUBTOTAL(3,$G$6:G398),"")</f>
        <v/>
      </c>
      <c r="C398" s="58"/>
      <c r="D398" s="58"/>
      <c r="E398" s="59"/>
      <c r="F398" s="59"/>
      <c r="G398" s="59"/>
      <c r="H398" s="61"/>
      <c r="I398" s="62"/>
      <c r="J398" s="63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5"/>
      <c r="AS398" s="63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5"/>
      <c r="CB398" s="60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  <row r="399" spans="2:130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63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5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x14ac:dyDescent="0.15">
      <c r="B402" s="58" t="str">
        <f>IF(G402&lt;&gt;"",SUBTOTAL(3,$G$6:G402),"")</f>
        <v/>
      </c>
      <c r="C402" s="58"/>
      <c r="D402" s="58"/>
      <c r="E402" s="59"/>
      <c r="F402" s="59"/>
      <c r="G402" s="59"/>
      <c r="H402" s="61"/>
      <c r="I402" s="62"/>
      <c r="J402" s="63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5"/>
      <c r="AS402" s="63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5"/>
      <c r="CB402" s="60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  <row r="403" spans="2:130" x14ac:dyDescent="0.15">
      <c r="B403" s="58" t="str">
        <f>IF(G403&lt;&gt;"",SUBTOTAL(3,$G$6:G403),"")</f>
        <v/>
      </c>
      <c r="C403" s="58"/>
      <c r="D403" s="58"/>
      <c r="E403" s="59"/>
      <c r="F403" s="59"/>
      <c r="G403" s="59"/>
      <c r="H403" s="61"/>
      <c r="I403" s="62"/>
      <c r="J403" s="63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5"/>
      <c r="AS403" s="63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5"/>
      <c r="CB403" s="60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</row>
    <row r="404" spans="2:130" x14ac:dyDescent="0.15">
      <c r="B404" s="58" t="str">
        <f>IF(G404&lt;&gt;"",SUBTOTAL(3,$G$6:G404),"")</f>
        <v/>
      </c>
      <c r="C404" s="58"/>
      <c r="D404" s="58"/>
      <c r="E404" s="59"/>
      <c r="F404" s="59"/>
      <c r="G404" s="59"/>
      <c r="H404" s="61"/>
      <c r="I404" s="62"/>
      <c r="J404" s="63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5"/>
      <c r="AS404" s="63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5"/>
      <c r="CB404" s="60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</row>
    <row r="405" spans="2:130" x14ac:dyDescent="0.15">
      <c r="B405" s="85" t="str">
        <f>IF(G405&lt;&gt;"",SUBTOTAL(3,$G$6:G405),"")</f>
        <v/>
      </c>
      <c r="C405" s="85"/>
      <c r="D405" s="85"/>
      <c r="E405" s="86"/>
      <c r="F405" s="86"/>
      <c r="G405" s="86"/>
      <c r="H405" s="87"/>
      <c r="I405" s="88"/>
      <c r="J405" s="89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1"/>
      <c r="AS405" s="89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1"/>
      <c r="CB405" s="92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</row>
  </sheetData>
  <autoFilter ref="B5:CB405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76:I376 B390:I390 B382:I382 B45:D45 B52:H52 B61:H61 B377:AR381 B391:AR405 B383:AR389 F45:CB45 B46:CB50 J51:CB52 B62:CB62 K43:CB43 B44:CB44 K63:CB63 K292:CB292 B372:CB372 K371:CB371 K373:CB373 I180:CA180 K104:CB104 J60:CB61 B53:CB59 J64:CB66 B67:CB103 B105:CB146 I183:I190 B183:H191 J183:CB191 B374:AR375 AS374:CB405 J191:J193 B181:CB182 J180:J182 B293:CB370 B6:CB42 B237:CB291 B236:I236 K236:CB236 B192:CB235 I147:I179 B147:H180 CB147:CB180 AS147:CA179 J147:AR180">
    <cfRule type="expression" dxfId="28" priority="100">
      <formula>AND($I6&lt;&gt;1,$I6&lt;&gt;"")</formula>
    </cfRule>
  </conditionalFormatting>
  <conditionalFormatting sqref="I191:AR191">
    <cfRule type="expression" dxfId="27" priority="86">
      <formula>AND($I191&lt;&gt;1,$I191&lt;&gt;"")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292:I292">
    <cfRule type="expression" dxfId="11" priority="22">
      <formula>AND($I292&lt;&gt;1,$I292&lt;&gt;"")</formula>
    </cfRule>
  </conditionalFormatting>
  <conditionalFormatting sqref="B371:I371 B373:I373">
    <cfRule type="expression" dxfId="10" priority="14">
      <formula>AND($I371&lt;&gt;1,$I371&lt;&gt;"")</formula>
    </cfRule>
  </conditionalFormatting>
  <conditionalFormatting sqref="J373">
    <cfRule type="expression" dxfId="9" priority="13">
      <formula>AND($I373&lt;&gt;1,$I373&lt;&gt;"")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192">
    <cfRule type="expression" dxfId="3" priority="4">
      <formula>AND($I192&lt;&gt;1,$I192&lt;&gt;"")</formula>
    </cfRule>
  </conditionalFormatting>
  <conditionalFormatting sqref="J191">
    <cfRule type="expression" dxfId="2" priority="3">
      <formula>AND($I191&lt;&gt;1,$I191&lt;&gt;"")</formula>
    </cfRule>
  </conditionalFormatting>
  <conditionalFormatting sqref="J236">
    <cfRule type="expression" dxfId="1" priority="2">
      <formula>AND($I236&lt;&gt;1,$I236&lt;&gt;"")</formula>
    </cfRule>
  </conditionalFormatting>
  <conditionalFormatting sqref="J292">
    <cfRule type="expression" dxfId="0" priority="1">
      <formula>AND($I292&lt;&gt;1,$I292&lt;&gt;"")</formula>
    </cfRule>
  </conditionalFormatting>
  <dataValidations count="1">
    <dataValidation type="list" allowBlank="1" showInputMessage="1" showErrorMessage="1" sqref="I6:I405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94" location="toABC143_C_Slimes" display="(→)" xr:uid="{D0A14FDC-339D-483C-A7FB-42784F1DB2F9}"/>
    <hyperlink ref="CB206" location="toABC147_C_Honest_or_Unkind2" display="(→)" xr:uid="{5E89EE6B-F278-4D19-9890-D06616736879}"/>
    <hyperlink ref="CB212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73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2020-11-01T10:15:18Z</dcterms:modified>
</cp:coreProperties>
</file>
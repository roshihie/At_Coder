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71B7B075-5DB8-4D48-AB8C-A5AB924D414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At_Coder_C問題!$B$5:$CB$374</definedName>
    <definedName name="fromABC114_C_755">At_Coder_C問題!$J$68</definedName>
    <definedName name="fromABC143_C_Slimes">At_Coder_C問題!$J$183</definedName>
    <definedName name="fromABC147_C_Honest_or_Unkind2">At_Coder_C問題!$J$195</definedName>
    <definedName name="fromABC149_C_NextPrime">At_Coder_C問題!$J$201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46" i="3" l="1"/>
  <c r="B247" i="3"/>
  <c r="B248" i="3"/>
  <c r="B249" i="3"/>
  <c r="B264" i="3"/>
  <c r="B1" i="3"/>
  <c r="B265" i="3"/>
  <c r="B266" i="3"/>
  <c r="B280" i="3"/>
  <c r="B273" i="3"/>
  <c r="B275" i="3"/>
  <c r="B276" i="3"/>
  <c r="B281" i="3"/>
  <c r="B277" i="3"/>
  <c r="B278" i="3"/>
  <c r="B279" i="3"/>
  <c r="B274" i="3"/>
  <c r="B282" i="3"/>
  <c r="B271" i="3" l="1"/>
  <c r="B272" i="3"/>
  <c r="B283" i="3"/>
  <c r="B305" i="3"/>
  <c r="B303" i="3"/>
  <c r="B304" i="3"/>
  <c r="B302" i="3"/>
  <c r="B306" i="3"/>
  <c r="B308" i="3" l="1"/>
  <c r="B10" i="3" l="1"/>
  <c r="B9" i="3"/>
  <c r="B11" i="3"/>
  <c r="B226" i="3"/>
  <c r="B196" i="3"/>
  <c r="B197" i="3"/>
  <c r="B192" i="3"/>
  <c r="B193" i="3"/>
  <c r="B185" i="3" l="1"/>
  <c r="B184" i="3"/>
  <c r="B186" i="3"/>
  <c r="B164" i="3" l="1"/>
  <c r="B165" i="3"/>
  <c r="B163" i="3"/>
  <c r="B162" i="3"/>
  <c r="B252" i="3" l="1"/>
  <c r="B251" i="3"/>
  <c r="B253" i="3"/>
  <c r="B244" i="3"/>
  <c r="B241" i="3"/>
  <c r="B242" i="3"/>
  <c r="B243" i="3"/>
  <c r="B237" i="3" l="1"/>
  <c r="B238" i="3"/>
  <c r="B239" i="3"/>
  <c r="B236" i="3"/>
  <c r="B234" i="3" l="1"/>
  <c r="B232" i="3" l="1"/>
  <c r="B229" i="3"/>
  <c r="B228" i="3"/>
  <c r="B230" i="3" l="1"/>
  <c r="B160" i="3" l="1"/>
  <c r="B158" i="3"/>
  <c r="B159" i="3"/>
  <c r="B224" i="3" l="1"/>
  <c r="B222" i="3" l="1"/>
  <c r="B220" i="3"/>
  <c r="B219" i="3"/>
  <c r="B214" i="3"/>
  <c r="B190" i="3" l="1"/>
  <c r="B189" i="3"/>
  <c r="B188" i="3" l="1"/>
  <c r="B179" i="3"/>
  <c r="B167" i="3"/>
  <c r="B168" i="3"/>
  <c r="B202" i="3" l="1"/>
  <c r="B203" i="3"/>
  <c r="B208" i="3"/>
  <c r="B207" i="3"/>
  <c r="B206" i="3"/>
  <c r="B205" i="3"/>
  <c r="B211" i="3" l="1"/>
  <c r="B210" i="3"/>
  <c r="B200" i="3"/>
  <c r="B199" i="3"/>
  <c r="B173" i="3" l="1"/>
  <c r="B176" i="3"/>
  <c r="B177" i="3"/>
  <c r="B175" i="3"/>
  <c r="B33" i="3"/>
  <c r="B32" i="3"/>
  <c r="B31" i="3"/>
  <c r="B30" i="3"/>
  <c r="B141" i="3" l="1"/>
  <c r="B294" i="3"/>
  <c r="B295" i="3"/>
  <c r="B293" i="3"/>
  <c r="B296" i="3"/>
  <c r="B23" i="3" l="1"/>
  <c r="B16" i="3"/>
  <c r="B7" i="3" l="1"/>
  <c r="B65" i="3" l="1"/>
  <c r="B66" i="3"/>
  <c r="B342" i="3" l="1"/>
  <c r="B341" i="3"/>
  <c r="B340" i="3"/>
  <c r="B339" i="3"/>
  <c r="B336" i="3"/>
  <c r="B334" i="3"/>
  <c r="B333" i="3"/>
  <c r="B332" i="3"/>
  <c r="B331" i="3"/>
  <c r="B330" i="3"/>
  <c r="B329" i="3"/>
  <c r="B337" i="3"/>
  <c r="B335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0" i="3"/>
  <c r="B299" i="3"/>
  <c r="B298" i="3"/>
  <c r="B297" i="3"/>
  <c r="B291" i="3"/>
  <c r="B290" i="3"/>
  <c r="B289" i="3"/>
  <c r="B288" i="3"/>
  <c r="B287" i="3"/>
  <c r="B286" i="3"/>
  <c r="B285" i="3"/>
  <c r="B269" i="3"/>
  <c r="B268" i="3"/>
  <c r="J261" i="3"/>
  <c r="B261" i="3"/>
  <c r="B260" i="3"/>
  <c r="B259" i="3"/>
  <c r="B258" i="3"/>
  <c r="B257" i="3"/>
  <c r="B256" i="3"/>
  <c r="B255" i="3"/>
  <c r="B182" i="3"/>
  <c r="B181" i="3"/>
  <c r="B171" i="3"/>
  <c r="B170" i="3"/>
  <c r="B146" i="3"/>
  <c r="B145" i="3"/>
  <c r="B144" i="3"/>
  <c r="B143" i="3"/>
  <c r="B142" i="3"/>
  <c r="B139" i="3"/>
  <c r="B138" i="3"/>
  <c r="B136" i="3"/>
  <c r="B135" i="3"/>
  <c r="B134" i="3"/>
  <c r="B133" i="3"/>
  <c r="B132" i="3"/>
  <c r="B130" i="3"/>
  <c r="B129" i="3"/>
  <c r="B128" i="3"/>
  <c r="B127" i="3"/>
  <c r="B126" i="3"/>
  <c r="B125" i="3"/>
  <c r="B123" i="3"/>
  <c r="B122" i="3"/>
  <c r="B121" i="3"/>
  <c r="B120" i="3"/>
  <c r="B119" i="3"/>
  <c r="B118" i="3"/>
  <c r="B117" i="3"/>
  <c r="B116" i="3"/>
  <c r="B115" i="3"/>
  <c r="B114" i="3"/>
  <c r="B112" i="3"/>
  <c r="B111" i="3"/>
  <c r="B110" i="3"/>
  <c r="B109" i="3"/>
  <c r="B108" i="3"/>
  <c r="B106" i="3"/>
  <c r="B105" i="3"/>
  <c r="B104" i="3"/>
  <c r="B103" i="3"/>
  <c r="B102" i="3"/>
  <c r="B101" i="3"/>
  <c r="B100" i="3"/>
  <c r="B98" i="3"/>
  <c r="B97" i="3"/>
  <c r="B96" i="3"/>
  <c r="B95" i="3"/>
  <c r="B94" i="3"/>
  <c r="B93" i="3"/>
  <c r="B92" i="3"/>
  <c r="B90" i="3"/>
  <c r="B89" i="3"/>
  <c r="B88" i="3"/>
  <c r="B86" i="3"/>
  <c r="B85" i="3"/>
  <c r="B84" i="3"/>
  <c r="B81" i="3"/>
  <c r="B80" i="3"/>
  <c r="B79" i="3"/>
  <c r="B78" i="3"/>
  <c r="B77" i="3"/>
  <c r="B76" i="3"/>
  <c r="B75" i="3"/>
  <c r="B83" i="3"/>
  <c r="B82" i="3"/>
  <c r="B74" i="3"/>
  <c r="B72" i="3"/>
  <c r="J63" i="3"/>
  <c r="B63" i="3"/>
  <c r="B60" i="3"/>
  <c r="B59" i="3"/>
  <c r="B58" i="3"/>
  <c r="B57" i="3"/>
  <c r="B55" i="3"/>
  <c r="B54" i="3"/>
  <c r="B50" i="3"/>
  <c r="B49" i="3"/>
  <c r="B48" i="3"/>
  <c r="B38" i="3"/>
  <c r="B44" i="3"/>
  <c r="B46" i="3"/>
  <c r="B43" i="3"/>
  <c r="B42" i="3"/>
  <c r="B41" i="3"/>
  <c r="B40" i="3"/>
  <c r="B37" i="3"/>
  <c r="B36" i="3"/>
  <c r="B35" i="3"/>
  <c r="B22" i="3"/>
  <c r="B15" i="3"/>
  <c r="B14" i="3"/>
  <c r="B13" i="3"/>
  <c r="B64" i="3" l="1"/>
  <c r="B262" i="3" l="1"/>
  <c r="B34" i="3" l="1"/>
  <c r="B45" i="3" l="1"/>
  <c r="B39" i="3" l="1"/>
  <c r="B53" i="3" l="1"/>
  <c r="B56" i="3"/>
  <c r="B61" i="3"/>
  <c r="B62" i="3"/>
  <c r="B67" i="3"/>
  <c r="B68" i="3"/>
  <c r="B69" i="3"/>
  <c r="B70" i="3"/>
  <c r="B71" i="3"/>
  <c r="B73" i="3"/>
  <c r="B87" i="3"/>
  <c r="B91" i="3"/>
  <c r="B99" i="3"/>
  <c r="B47" i="3"/>
  <c r="B107" i="3" l="1"/>
  <c r="B113" i="3" l="1"/>
  <c r="B124" i="3" l="1"/>
  <c r="B131" i="3" l="1"/>
  <c r="B374" i="3" l="1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38" i="3"/>
  <c r="B309" i="3"/>
  <c r="B307" i="3"/>
  <c r="B301" i="3"/>
  <c r="B292" i="3"/>
  <c r="B284" i="3"/>
  <c r="B270" i="3"/>
  <c r="B267" i="3"/>
  <c r="B263" i="3"/>
  <c r="B254" i="3"/>
  <c r="B250" i="3"/>
  <c r="B245" i="3"/>
  <c r="B240" i="3"/>
  <c r="B235" i="3"/>
  <c r="B233" i="3"/>
  <c r="B231" i="3"/>
  <c r="B227" i="3"/>
  <c r="B225" i="3"/>
  <c r="B223" i="3"/>
  <c r="B221" i="3"/>
  <c r="B218" i="3"/>
  <c r="B217" i="3"/>
  <c r="B216" i="3"/>
  <c r="B215" i="3"/>
  <c r="B213" i="3"/>
  <c r="B212" i="3"/>
  <c r="B209" i="3"/>
  <c r="B204" i="3"/>
  <c r="B201" i="3"/>
  <c r="B198" i="3"/>
  <c r="B195" i="3"/>
  <c r="B194" i="3"/>
  <c r="B191" i="3"/>
  <c r="B187" i="3"/>
  <c r="B183" i="3"/>
  <c r="B180" i="3"/>
  <c r="B178" i="3"/>
  <c r="B174" i="3"/>
  <c r="B172" i="3"/>
  <c r="B169" i="3"/>
  <c r="B166" i="3"/>
  <c r="B161" i="3"/>
  <c r="B157" i="3"/>
  <c r="B156" i="3"/>
  <c r="B155" i="3"/>
  <c r="B154" i="3"/>
  <c r="B153" i="3"/>
  <c r="B152" i="3"/>
  <c r="B151" i="3"/>
  <c r="B150" i="3"/>
  <c r="B149" i="3"/>
  <c r="B148" i="3"/>
  <c r="B147" i="3"/>
  <c r="B140" i="3"/>
  <c r="B137" i="3"/>
  <c r="B29" i="3"/>
  <c r="B28" i="3"/>
  <c r="B27" i="3"/>
  <c r="B26" i="3"/>
  <c r="B25" i="3"/>
  <c r="B24" i="3"/>
  <c r="B21" i="3"/>
  <c r="B20" i="3"/>
  <c r="B19" i="3"/>
  <c r="B18" i="3"/>
  <c r="B17" i="3"/>
  <c r="B12" i="3"/>
  <c r="B8" i="3"/>
  <c r="B6" i="3"/>
</calcChain>
</file>

<file path=xl/sharedStrings.xml><?xml version="1.0" encoding="utf-8"?>
<sst xmlns="http://schemas.openxmlformats.org/spreadsheetml/2006/main" count="792" uniqueCount="494">
  <si>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</si>
  <si>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</si>
  <si>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</si>
  <si>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</si>
  <si>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</si>
  <si>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</si>
  <si>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</si>
  <si>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</si>
  <si>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</si>
  <si>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</si>
  <si>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</si>
  <si>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</si>
  <si>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</si>
  <si>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</si>
  <si>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</si>
  <si>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</si>
  <si>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</si>
  <si>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</si>
  <si>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</si>
  <si>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</si>
  <si>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</si>
  <si>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</si>
  <si>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</si>
  <si>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</si>
  <si>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</si>
  <si>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</si>
  <si>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</si>
  <si>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</si>
  <si>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</si>
  <si>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</si>
  <si>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</si>
  <si>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</si>
  <si>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</si>
  <si>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</si>
  <si>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</si>
  <si>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</si>
  <si>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</si>
  <si>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</si>
  <si>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</si>
  <si>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</si>
  <si>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</si>
  <si>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</si>
  <si>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</si>
  <si>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</si>
  <si>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</si>
  <si>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</si>
  <si>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</si>
  <si>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</si>
  <si>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</si>
  <si>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</si>
  <si>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</si>
  <si>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</si>
  <si>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</si>
  <si>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</si>
  <si>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</si>
  <si>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</si>
  <si>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</si>
  <si>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</si>
  <si>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</si>
  <si>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</si>
  <si>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</si>
  <si>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</si>
  <si>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</si>
  <si>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</si>
  <si>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</si>
  <si>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</si>
  <si>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</si>
  <si>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</si>
  <si>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</si>
  <si>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</si>
  <si>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</si>
  <si>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</si>
  <si>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</si>
  <si>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</si>
  <si>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</si>
  <si>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</si>
  <si>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</si>
  <si>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</si>
  <si>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</si>
  <si>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</si>
  <si>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</si>
  <si>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</si>
  <si>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</si>
  <si>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</si>
  <si>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</si>
  <si>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</si>
  <si>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</si>
  <si>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</si>
  <si>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</si>
  <si>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</si>
  <si>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</si>
  <si>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</si>
  <si>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</si>
  <si>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</si>
  <si>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</si>
  <si>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</si>
  <si>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</si>
  <si>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</si>
  <si>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</si>
  <si>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</si>
  <si>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</si>
  <si>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</si>
  <si>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</si>
  <si>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</si>
  <si>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</si>
  <si>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</si>
  <si>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</si>
  <si>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</si>
  <si>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</si>
  <si>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</si>
  <si>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</si>
  <si>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</si>
  <si>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</si>
  <si>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</si>
  <si>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</si>
  <si>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</si>
  <si>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</si>
  <si>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</si>
  <si>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</si>
  <si>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</si>
  <si>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</si>
  <si>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</si>
  <si>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</si>
  <si>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</si>
  <si>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</si>
  <si>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</si>
  <si>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</si>
  <si>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</si>
  <si>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</si>
  <si>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</si>
  <si>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</si>
  <si>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</si>
  <si>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</si>
  <si>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</si>
  <si>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</si>
  <si>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</si>
  <si>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</si>
  <si>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</si>
  <si>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</si>
  <si>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</si>
  <si>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</si>
  <si>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</si>
  <si>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</si>
  <si>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</si>
  <si>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</si>
  <si>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</si>
  <si>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</si>
  <si>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</si>
  <si>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</si>
  <si>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</si>
  <si>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</si>
  <si>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</si>
  <si>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</si>
  <si>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</si>
  <si>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</si>
  <si>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</si>
  <si>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</si>
  <si>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</si>
  <si>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</si>
  <si>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</si>
  <si>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</si>
  <si>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</si>
  <si>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</si>
  <si>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</si>
  <si>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</si>
  <si>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</si>
  <si>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</si>
  <si>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</si>
  <si>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</si>
  <si>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</si>
  <si>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</si>
  <si>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</si>
  <si>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</si>
  <si>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</si>
  <si>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</si>
  <si>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</si>
  <si>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</si>
  <si>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</si>
  <si>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</si>
  <si>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</si>
  <si>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</si>
  <si>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</si>
  <si>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</si>
  <si>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</si>
  <si>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</si>
  <si>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</si>
  <si>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</si>
  <si>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</si>
  <si>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</si>
  <si>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</si>
  <si>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</si>
  <si>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</si>
  <si>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</si>
  <si>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</si>
  <si>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</si>
  <si>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</si>
  <si>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</si>
  <si>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</si>
  <si>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</si>
  <si>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</si>
  <si>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</si>
  <si>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</si>
  <si>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</si>
  <si>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</si>
  <si>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</si>
  <si>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</si>
  <si>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</si>
  <si>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</si>
  <si>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</si>
  <si>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</si>
  <si>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</si>
  <si>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</si>
  <si>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</si>
  <si>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</si>
  <si>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</si>
  <si>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</si>
  <si>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</si>
  <si>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</si>
  <si>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</si>
  <si>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</si>
  <si>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</si>
  <si>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</si>
  <si>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</si>
  <si>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</si>
  <si>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</si>
  <si>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</si>
  <si>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</si>
  <si>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</si>
  <si>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</si>
  <si>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</si>
  <si>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</si>
  <si>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</si>
  <si>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</si>
  <si>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</si>
  <si>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</si>
  <si>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</si>
  <si>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</si>
  <si>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</si>
  <si>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</si>
  <si>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</si>
  <si>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</si>
  <si>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</si>
  <si>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</si>
  <si>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</si>
  <si>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</si>
  <si>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</si>
  <si>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</si>
  <si>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</si>
  <si>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</si>
  <si>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</si>
  <si>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</si>
  <si>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</si>
  <si>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</si>
  <si>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</si>
  <si>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</si>
  <si>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</si>
  <si>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</si>
  <si>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</si>
  <si>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</si>
  <si>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</si>
  <si>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</si>
  <si>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</si>
  <si>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</si>
  <si>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</si>
  <si>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</si>
  <si>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</si>
  <si>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</si>
  <si>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</si>
  <si>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</si>
  <si>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</si>
  <si>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</si>
  <si>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</si>
  <si>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</si>
  <si>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</si>
  <si>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</si>
  <si>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</si>
  <si>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</si>
  <si>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</si>
  <si>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</si>
  <si>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</si>
  <si>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</si>
  <si>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</si>
  <si>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</si>
  <si>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</si>
  <si>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</si>
  <si>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</si>
  <si>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</si>
  <si>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</si>
  <si>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</si>
  <si>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</si>
  <si>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</si>
  <si>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</si>
  <si>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</si>
  <si>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</si>
  <si>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</si>
  <si>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</si>
  <si>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</si>
  <si>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</si>
  <si>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</si>
  <si>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</si>
  <si>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</si>
  <si>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</si>
  <si>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</si>
  <si>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</si>
  <si>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</si>
  <si>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</si>
  <si>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</si>
  <si>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</si>
  <si>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</si>
  <si>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</si>
  <si>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</si>
  <si>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</si>
  <si>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</si>
  <si>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</si>
  <si>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</si>
  <si>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</si>
  <si>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</si>
  <si>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</si>
  <si>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</si>
  <si>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</si>
  <si>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</si>
  <si>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</si>
  <si>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</si>
  <si>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</si>
  <si>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</si>
  <si>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</si>
  <si>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</si>
  <si>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</si>
  <si>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</si>
  <si>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</si>
  <si>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</si>
  <si>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</si>
  <si>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</si>
  <si>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</si>
  <si>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</si>
  <si>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</si>
  <si>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</si>
  <si>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</si>
  <si>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</si>
  <si>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</si>
  <si>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</si>
  <si>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</si>
  <si>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</si>
  <si>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</si>
  <si>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</si>
  <si>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</si>
  <si>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</si>
  <si>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</si>
  <si>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</si>
  <si>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</si>
  <si>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</si>
  <si>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</si>
  <si>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</si>
  <si>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</si>
  <si>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</si>
  <si>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</si>
  <si>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</si>
  <si>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</si>
  <si>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</si>
  <si>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</si>
  <si>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</si>
  <si>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</si>
  <si>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</si>
  <si>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</si>
  <si>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</si>
  <si>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</si>
  <si>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</si>
  <si>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</si>
  <si>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</si>
  <si>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</si>
  <si>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</si>
  <si>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</si>
  <si>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</si>
  <si>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</si>
  <si>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</si>
  <si>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</si>
  <si>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</si>
  <si>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</si>
  <si>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</si>
  <si>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</si>
  <si>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</si>
  <si>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</si>
  <si>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</si>
  <si>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</si>
  <si>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</si>
  <si>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</si>
  <si>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</si>
  <si>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</si>
  <si>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</si>
  <si>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</si>
  <si>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</si>
  <si>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</si>
  <si>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</si>
  <si>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</si>
  <si>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</si>
  <si>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</si>
  <si>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</si>
  <si>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</si>
  <si>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</si>
  <si>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</si>
  <si>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</si>
  <si>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</si>
  <si>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</si>
  <si>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</si>
  <si>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</si>
  <si>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</si>
  <si>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</si>
  <si>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</si>
  <si>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</si>
  <si>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</si>
  <si>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</si>
  <si>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</si>
  <si>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</si>
  <si>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</si>
  <si>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</si>
  <si>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</si>
  <si>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</si>
  <si>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</si>
  <si>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</si>
  <si>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</si>
  <si>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</si>
  <si>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</si>
  <si>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</si>
  <si>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</si>
  <si>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</si>
  <si>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</si>
  <si>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</si>
  <si>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</si>
  <si>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</si>
  <si>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</si>
  <si>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</si>
  <si>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</si>
  <si>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</si>
  <si>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</si>
  <si>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</si>
  <si>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</si>
  <si>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r>
      <t xml:space="preserve">  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10</t>
    </r>
    <r>
      <rPr>
        <sz val="10"/>
        <color theme="1"/>
        <rFont val="Meiryo UI"/>
        <family val="3"/>
        <charset val="128"/>
      </rPr>
      <t>＝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9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92378</t>
    </r>
    <r>
      <rPr>
        <sz val="10"/>
        <color theme="1"/>
        <rFont val="Meiryo UI"/>
        <family val="3"/>
        <charset val="128"/>
      </rPr>
      <t xml:space="preserve"> なので十分検索可能</t>
    </r>
    <rPh sb="22" eb="24">
      <t>ジュウブン</t>
    </rPh>
    <rPh sb="24" eb="26">
      <t>ケンサク</t>
    </rPh>
    <rPh sb="26" eb="28">
      <t>カノウ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</si>
  <si>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となる数列の並べ方は 重複くみあわせにより </t>
    </r>
    <r>
      <rPr>
        <sz val="12"/>
        <color theme="1"/>
        <rFont val="BKM-cmmi10"/>
        <family val="2"/>
        <charset val="2"/>
      </rPr>
      <t>n</t>
    </r>
    <r>
      <rPr>
        <sz val="10"/>
        <color theme="1"/>
        <rFont val="Meiryo UI"/>
        <family val="3"/>
        <charset val="128"/>
      </rPr>
      <t>+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>-</t>
    </r>
    <r>
      <rPr>
        <sz val="11.5"/>
        <color theme="1"/>
        <rFont val="HGS明朝B"/>
        <family val="1"/>
        <charset val="128"/>
      </rPr>
      <t>1</t>
    </r>
    <r>
      <rPr>
        <sz val="12"/>
        <color theme="1"/>
        <rFont val="BKM-cmmi10"/>
        <family val="2"/>
        <charset val="2"/>
      </rPr>
      <t>Cn</t>
    </r>
    <r>
      <rPr>
        <sz val="10"/>
        <color theme="1"/>
        <rFont val="Meiryo UI"/>
        <family val="3"/>
        <charset val="128"/>
      </rPr>
      <t xml:space="preserve"> となる</t>
    </r>
    <rPh sb="21" eb="23">
      <t>スウレツ</t>
    </rPh>
    <rPh sb="24" eb="25">
      <t>ナラ</t>
    </rPh>
    <rPh sb="26" eb="27">
      <t>カタ</t>
    </rPh>
    <rPh sb="29" eb="31">
      <t>チョウフク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</si>
  <si>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となる数列を dfs で１つずつ作成し、その数列のポイントを算出する</t>
    </r>
    <rPh sb="21" eb="23">
      <t>スウレツ</t>
    </rPh>
    <rPh sb="34" eb="36">
      <t>サクセイ</t>
    </rPh>
    <rPh sb="40" eb="42">
      <t>スウレツ</t>
    </rPh>
    <rPh sb="48" eb="50">
      <t>サンシュツ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</si>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</sst>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2" fillId="0" borderId="0" xfId="0" applyNumberFormat="1" applyFont="1" applyFill="1" applyBorder="1" applyAlignment="1">
      <alignment vertical="center"/>
    </xf>
    <xf numFmtId="49" fontId="10" fillId="6" borderId="5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49" fontId="10" fillId="6" borderId="5" xfId="0" applyNumberFormat="1" applyFont="1" applyFill="1" applyBorder="1" applyAlignment="1">
      <alignment vertical="center" wrapText="1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10" fillId="0" borderId="0" xfId="0" applyNumberFormat="1" applyFont="1" applyFill="1" applyAlignment="1">
      <alignment horizontal="center"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8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338</xdr:row>
      <xdr:rowOff>33337</xdr:rowOff>
    </xdr:from>
    <xdr:to>
      <xdr:col>16</xdr:col>
      <xdr:colOff>38100</xdr:colOff>
      <xdr:row>338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340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339</xdr:row>
      <xdr:rowOff>35719</xdr:rowOff>
    </xdr:from>
    <xdr:to>
      <xdr:col>21</xdr:col>
      <xdr:colOff>133350</xdr:colOff>
      <xdr:row>340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3</xdr:row>
          <xdr:rowOff>9525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374"/>
  <sheetViews>
    <sheetView tabSelected="1" topLeftCell="A276" zoomScale="115" zoomScaleNormal="115" workbookViewId="0">
      <pane ySplit="6900" topLeftCell="A239" activePane="bottomLeft"/>
      <selection activeCell="AS289" sqref="AS289"/>
      <selection pane="bottomLeft" activeCell="J248" sqref="J248"/>
    </sheetView>
  </sheetViews>
  <sheetFormatPr defaultColWidth="2.625" defaultRowHeight="14.25" outlineLevelCol="1" x14ac:dyDescent="0.15"/>
  <cols>
    <col min="1" max="1" width="0.5" style="57" customWidth="1"/>
    <col min="2" max="2" width="3.5" style="93" bestFit="1" customWidth="1"/>
    <col min="3" max="4" width="3.25" style="93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4" bestFit="1" customWidth="1"/>
    <col min="9" max="9" width="6.125" style="93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x14ac:dyDescent="0.15">
      <c r="B1" s="113" t="str">
        <f>IF(G1&lt;&gt;"",SUBTOTAL(3,$G1:G$5),"")</f>
        <v/>
      </c>
    </row>
    <row r="2" spans="1:130" s="46" customFormat="1" ht="3" customHeight="1" x14ac:dyDescent="0.15">
      <c r="A2" s="43"/>
      <c r="B2" s="44"/>
      <c r="C2" s="44"/>
      <c r="D2" s="44"/>
      <c r="E2" s="43"/>
      <c r="F2" s="43"/>
      <c r="G2" s="43"/>
      <c r="H2" s="45"/>
      <c r="I2" s="44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18" t="s">
        <v>8</v>
      </c>
      <c r="C3" s="123" t="s">
        <v>231</v>
      </c>
      <c r="D3" s="123" t="s">
        <v>232</v>
      </c>
      <c r="E3" s="116" t="s">
        <v>141</v>
      </c>
      <c r="F3" s="117"/>
      <c r="G3" s="117"/>
      <c r="H3" s="120" t="s">
        <v>10</v>
      </c>
      <c r="I3" s="122" t="s">
        <v>11</v>
      </c>
      <c r="J3" s="116" t="s">
        <v>233</v>
      </c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24"/>
      <c r="V3" s="124"/>
      <c r="W3" s="124"/>
      <c r="X3" s="124"/>
      <c r="Y3" s="124"/>
      <c r="Z3" s="124"/>
      <c r="AA3" s="124"/>
      <c r="AB3" s="124"/>
      <c r="AC3" s="124"/>
      <c r="AD3" s="124"/>
      <c r="AE3" s="124"/>
      <c r="AF3" s="124"/>
      <c r="AG3" s="124"/>
      <c r="AH3" s="124"/>
      <c r="AI3" s="124"/>
      <c r="AJ3" s="125"/>
      <c r="AK3" s="125"/>
      <c r="AL3" s="125"/>
      <c r="AM3" s="125"/>
      <c r="AN3" s="125"/>
      <c r="AO3" s="125"/>
      <c r="AP3" s="125"/>
      <c r="AQ3" s="125"/>
      <c r="AR3" s="126"/>
      <c r="AS3" s="116" t="s">
        <v>398</v>
      </c>
      <c r="AT3" s="131"/>
      <c r="AU3" s="131"/>
      <c r="AV3" s="131"/>
      <c r="AW3" s="131"/>
      <c r="AX3" s="131"/>
      <c r="AY3" s="131"/>
      <c r="AZ3" s="131"/>
      <c r="BA3" s="131"/>
      <c r="BB3" s="131"/>
      <c r="BC3" s="131"/>
      <c r="BD3" s="131"/>
      <c r="BE3" s="131"/>
      <c r="BF3" s="131"/>
      <c r="BG3" s="131"/>
      <c r="BH3" s="131"/>
      <c r="BI3" s="131"/>
      <c r="BJ3" s="131"/>
      <c r="BK3" s="131"/>
      <c r="BL3" s="131"/>
      <c r="BM3" s="131"/>
      <c r="BN3" s="131"/>
      <c r="BO3" s="131"/>
      <c r="BP3" s="131"/>
      <c r="BQ3" s="131"/>
      <c r="BR3" s="131"/>
      <c r="BS3" s="131"/>
      <c r="BT3" s="131"/>
      <c r="BU3" s="131"/>
      <c r="BV3" s="131"/>
      <c r="BW3" s="131"/>
      <c r="BX3" s="131"/>
      <c r="BY3" s="131"/>
      <c r="BZ3" s="131"/>
      <c r="CA3" s="132"/>
      <c r="CB3" s="114" t="s">
        <v>12</v>
      </c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16.5" x14ac:dyDescent="0.15">
      <c r="A4" s="47"/>
      <c r="B4" s="119"/>
      <c r="C4" s="119"/>
      <c r="D4" s="119"/>
      <c r="E4" s="36" t="s">
        <v>137</v>
      </c>
      <c r="F4" s="36" t="s">
        <v>138</v>
      </c>
      <c r="G4" s="36" t="s">
        <v>9</v>
      </c>
      <c r="H4" s="121"/>
      <c r="I4" s="119"/>
      <c r="J4" s="127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128"/>
      <c r="AF4" s="128"/>
      <c r="AG4" s="128"/>
      <c r="AH4" s="128"/>
      <c r="AI4" s="128"/>
      <c r="AJ4" s="129"/>
      <c r="AK4" s="129"/>
      <c r="AL4" s="129"/>
      <c r="AM4" s="129"/>
      <c r="AN4" s="129"/>
      <c r="AO4" s="129"/>
      <c r="AP4" s="129"/>
      <c r="AQ4" s="129"/>
      <c r="AR4" s="130"/>
      <c r="AS4" s="133"/>
      <c r="AT4" s="134"/>
      <c r="AU4" s="134"/>
      <c r="AV4" s="134"/>
      <c r="AW4" s="134"/>
      <c r="AX4" s="134"/>
      <c r="AY4" s="134"/>
      <c r="AZ4" s="134"/>
      <c r="BA4" s="134"/>
      <c r="BB4" s="134"/>
      <c r="BC4" s="134"/>
      <c r="BD4" s="134"/>
      <c r="BE4" s="134"/>
      <c r="BF4" s="134"/>
      <c r="BG4" s="134"/>
      <c r="BH4" s="134"/>
      <c r="BI4" s="134"/>
      <c r="BJ4" s="134"/>
      <c r="BK4" s="134"/>
      <c r="BL4" s="134"/>
      <c r="BM4" s="134"/>
      <c r="BN4" s="134"/>
      <c r="BO4" s="134"/>
      <c r="BP4" s="134"/>
      <c r="BQ4" s="134"/>
      <c r="BR4" s="134"/>
      <c r="BS4" s="134"/>
      <c r="BT4" s="134"/>
      <c r="BU4" s="134"/>
      <c r="BV4" s="134"/>
      <c r="BW4" s="134"/>
      <c r="BX4" s="134"/>
      <c r="BY4" s="134"/>
      <c r="BZ4" s="134"/>
      <c r="CA4" s="135"/>
      <c r="CB4" s="115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s="46" customFormat="1" ht="8.1" customHeight="1" x14ac:dyDescent="0.15">
      <c r="B5" s="48"/>
      <c r="C5" s="48"/>
      <c r="D5" s="48"/>
      <c r="E5" s="49"/>
      <c r="F5" s="49"/>
      <c r="G5" s="49"/>
      <c r="H5" s="50"/>
      <c r="I5" s="48"/>
      <c r="J5" s="51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3"/>
      <c r="AS5" s="54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6"/>
      <c r="CB5" s="49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3"/>
      <c r="CY5" s="43"/>
      <c r="CZ5" s="43"/>
      <c r="DA5" s="43"/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</row>
    <row r="6" spans="1:130" x14ac:dyDescent="0.15">
      <c r="B6" s="58">
        <f>IF(G6&lt;&gt;"",SUBTOTAL(3,$G$6:G6),"")</f>
        <v>1</v>
      </c>
      <c r="C6" s="58"/>
      <c r="D6" s="58"/>
      <c r="E6" s="59" t="s">
        <v>140</v>
      </c>
      <c r="F6" s="59" t="s">
        <v>135</v>
      </c>
      <c r="G6" s="60" t="s">
        <v>143</v>
      </c>
      <c r="H6" s="61">
        <v>43960</v>
      </c>
      <c r="I6" s="62"/>
      <c r="J6" s="63" t="s">
        <v>353</v>
      </c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 t="str">
        <f>IF(G7&lt;&gt;"",SUBTOTAL(3,$G$6:G7),"")</f>
        <v/>
      </c>
      <c r="C7" s="58"/>
      <c r="D7" s="58"/>
      <c r="E7" s="59"/>
      <c r="F7" s="59"/>
      <c r="G7" s="60"/>
      <c r="H7" s="61"/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IF(G8&lt;&gt;"",SUBTOTAL(3,$G$6:G8),"")</f>
        <v>2</v>
      </c>
      <c r="C8" s="58"/>
      <c r="D8" s="58"/>
      <c r="E8" s="59" t="s">
        <v>139</v>
      </c>
      <c r="F8" s="59" t="s">
        <v>135</v>
      </c>
      <c r="G8" s="60" t="s">
        <v>144</v>
      </c>
      <c r="H8" s="61">
        <v>43871</v>
      </c>
      <c r="I8" s="62">
        <v>1</v>
      </c>
      <c r="J8" s="63" t="s">
        <v>460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0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99" t="str">
        <f>IF(G9&lt;&gt;"",SUBTOTAL(3,$G$6:G9),"")</f>
        <v/>
      </c>
      <c r="C9" s="58"/>
      <c r="D9" s="58"/>
      <c r="E9" s="59"/>
      <c r="F9" s="59"/>
      <c r="G9" s="60"/>
      <c r="H9" s="61"/>
      <c r="I9" s="70">
        <v>1</v>
      </c>
      <c r="J9" s="63" t="s">
        <v>461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0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99" t="str">
        <f>IF(G10&lt;&gt;"",SUBTOTAL(3,$G$6:G10),"")</f>
        <v/>
      </c>
      <c r="C10" s="58"/>
      <c r="D10" s="58"/>
      <c r="E10" s="59"/>
      <c r="F10" s="59"/>
      <c r="G10" s="60"/>
      <c r="H10" s="61"/>
      <c r="I10" s="70">
        <v>1</v>
      </c>
      <c r="J10" s="63" t="s">
        <v>462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0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99" t="str">
        <f>IF(G11&lt;&gt;"",SUBTOTAL(3,$G$6:G11),"")</f>
        <v/>
      </c>
      <c r="C11" s="58"/>
      <c r="D11" s="58"/>
      <c r="E11" s="59"/>
      <c r="F11" s="59"/>
      <c r="G11" s="60"/>
      <c r="H11" s="61"/>
      <c r="I11" s="70">
        <v>1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0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>
        <f>IF(G12&lt;&gt;"",SUBTOTAL(3,$G$6:G12),"")</f>
        <v>3</v>
      </c>
      <c r="C12" s="58"/>
      <c r="D12" s="58"/>
      <c r="E12" s="59" t="s">
        <v>139</v>
      </c>
      <c r="F12" s="59" t="s">
        <v>135</v>
      </c>
      <c r="G12" s="60" t="s">
        <v>145</v>
      </c>
      <c r="H12" s="61">
        <v>43995</v>
      </c>
      <c r="I12" s="62">
        <v>0.5</v>
      </c>
      <c r="J12" s="63" t="s">
        <v>238</v>
      </c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 t="s">
        <v>241</v>
      </c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IF(G13&lt;&gt;"",SUBTOTAL(3,$G$6:G13),"")</f>
        <v/>
      </c>
      <c r="C13" s="58"/>
      <c r="D13" s="58"/>
      <c r="E13" s="59"/>
      <c r="F13" s="59"/>
      <c r="G13" s="60"/>
      <c r="H13" s="61"/>
      <c r="I13" s="68">
        <v>0.5</v>
      </c>
      <c r="J13" s="63" t="s">
        <v>240</v>
      </c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 t="s">
        <v>357</v>
      </c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 t="str">
        <f>IF(G14&lt;&gt;"",SUBTOTAL(3,$G$6:G14),"")</f>
        <v/>
      </c>
      <c r="C14" s="58"/>
      <c r="D14" s="58"/>
      <c r="E14" s="59"/>
      <c r="F14" s="59"/>
      <c r="G14" s="60"/>
      <c r="H14" s="61"/>
      <c r="I14" s="68">
        <v>0.5</v>
      </c>
      <c r="J14" s="63" t="s">
        <v>239</v>
      </c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 t="s">
        <v>358</v>
      </c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7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 t="str">
        <f>IF(G15&lt;&gt;"",SUBTOTAL(3,$G$6:G15),"")</f>
        <v/>
      </c>
      <c r="C15" s="58"/>
      <c r="D15" s="58"/>
      <c r="E15" s="59"/>
      <c r="F15" s="59"/>
      <c r="G15" s="60"/>
      <c r="H15" s="61"/>
      <c r="I15" s="68">
        <v>0.5</v>
      </c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 t="s">
        <v>359</v>
      </c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7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 t="str">
        <f>IF(G16&lt;&gt;"",SUBTOTAL(3,$G$6:G16),"")</f>
        <v/>
      </c>
      <c r="C16" s="58"/>
      <c r="D16" s="58"/>
      <c r="E16" s="59"/>
      <c r="F16" s="59"/>
      <c r="G16" s="60"/>
      <c r="H16" s="61"/>
      <c r="I16" s="68">
        <v>0.5</v>
      </c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7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IF(G17&lt;&gt;"",SUBTOTAL(3,$G$6:G17),"")</f>
        <v>4</v>
      </c>
      <c r="C17" s="58"/>
      <c r="D17" s="58"/>
      <c r="E17" s="105" t="s">
        <v>139</v>
      </c>
      <c r="F17" s="105" t="s">
        <v>135</v>
      </c>
      <c r="G17" s="106" t="s">
        <v>146</v>
      </c>
      <c r="H17" s="103">
        <v>43995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IF(G18&lt;&gt;"",SUBTOTAL(3,$G$6:G18),"")</f>
        <v>5</v>
      </c>
      <c r="C18" s="58"/>
      <c r="D18" s="58"/>
      <c r="E18" s="105" t="s">
        <v>139</v>
      </c>
      <c r="F18" s="105" t="s">
        <v>135</v>
      </c>
      <c r="G18" s="106" t="s">
        <v>147</v>
      </c>
      <c r="H18" s="103">
        <v>43869</v>
      </c>
      <c r="I18" s="62"/>
      <c r="J18" s="63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9"/>
      <c r="DH18" s="69"/>
      <c r="DI18" s="69"/>
      <c r="DJ18" s="69"/>
      <c r="DK18" s="69"/>
      <c r="DL18" s="69"/>
      <c r="DM18" s="69"/>
      <c r="DN18" s="69"/>
      <c r="DO18" s="69"/>
      <c r="DP18" s="69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>
        <f>IF(G19&lt;&gt;"",SUBTOTAL(3,$G$6:G19),"")</f>
        <v>6</v>
      </c>
      <c r="C19" s="58"/>
      <c r="D19" s="58"/>
      <c r="E19" s="105" t="s">
        <v>139</v>
      </c>
      <c r="F19" s="105" t="s">
        <v>135</v>
      </c>
      <c r="G19" s="106" t="s">
        <v>148</v>
      </c>
      <c r="H19" s="103">
        <v>43871</v>
      </c>
      <c r="I19" s="62"/>
      <c r="J19" s="63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>
        <f>IF(G20&lt;&gt;"",SUBTOTAL(3,$G$6:G20),"")</f>
        <v>7</v>
      </c>
      <c r="C20" s="58"/>
      <c r="D20" s="58"/>
      <c r="E20" s="105" t="s">
        <v>139</v>
      </c>
      <c r="F20" s="105" t="s">
        <v>135</v>
      </c>
      <c r="G20" s="106" t="s">
        <v>149</v>
      </c>
      <c r="H20" s="103">
        <v>44006</v>
      </c>
      <c r="I20" s="62"/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IF(G21&lt;&gt;"",SUBTOTAL(3,$G$6:G21),"")</f>
        <v>8</v>
      </c>
      <c r="C21" s="58"/>
      <c r="D21" s="58"/>
      <c r="E21" s="59" t="s">
        <v>139</v>
      </c>
      <c r="F21" s="59" t="s">
        <v>135</v>
      </c>
      <c r="G21" s="60" t="s">
        <v>150</v>
      </c>
      <c r="H21" s="61">
        <v>43869</v>
      </c>
      <c r="I21" s="70">
        <v>1</v>
      </c>
      <c r="J21" s="63" t="s">
        <v>242</v>
      </c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 t="str">
        <f>IF(G22&lt;&gt;"",SUBTOTAL(3,$G$6:G22),"")</f>
        <v/>
      </c>
      <c r="C22" s="58"/>
      <c r="D22" s="58"/>
      <c r="E22" s="59"/>
      <c r="F22" s="59"/>
      <c r="G22" s="60"/>
      <c r="H22" s="61"/>
      <c r="I22" s="70">
        <v>1</v>
      </c>
      <c r="J22" s="63" t="s">
        <v>243</v>
      </c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 t="str">
        <f>IF(G23&lt;&gt;"",SUBTOTAL(3,$G$6:G23),"")</f>
        <v/>
      </c>
      <c r="C23" s="58"/>
      <c r="D23" s="58"/>
      <c r="E23" s="59"/>
      <c r="F23" s="59"/>
      <c r="G23" s="60"/>
      <c r="H23" s="61"/>
      <c r="I23" s="70">
        <v>1</v>
      </c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IF(G24&lt;&gt;"",SUBTOTAL(3,$G$6:G24),"")</f>
        <v>9</v>
      </c>
      <c r="C24" s="58"/>
      <c r="D24" s="58"/>
      <c r="E24" s="105" t="s">
        <v>139</v>
      </c>
      <c r="F24" s="105" t="s">
        <v>135</v>
      </c>
      <c r="G24" s="106" t="s">
        <v>151</v>
      </c>
      <c r="H24" s="103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IF(G25&lt;&gt;"",SUBTOTAL(3,$G$6:G25),"")</f>
        <v>10</v>
      </c>
      <c r="C25" s="58"/>
      <c r="D25" s="58"/>
      <c r="E25" s="105" t="s">
        <v>139</v>
      </c>
      <c r="F25" s="105" t="s">
        <v>135</v>
      </c>
      <c r="G25" s="106" t="s">
        <v>152</v>
      </c>
      <c r="H25" s="103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IF(G26&lt;&gt;"",SUBTOTAL(3,$G$6:G26),"")</f>
        <v>11</v>
      </c>
      <c r="C26" s="58"/>
      <c r="D26" s="58"/>
      <c r="E26" s="105" t="s">
        <v>139</v>
      </c>
      <c r="F26" s="105" t="s">
        <v>135</v>
      </c>
      <c r="G26" s="106" t="s">
        <v>153</v>
      </c>
      <c r="H26" s="103">
        <v>43869</v>
      </c>
      <c r="I26" s="62"/>
      <c r="J26" s="63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>
        <f>IF(G27&lt;&gt;"",SUBTOTAL(3,$G$6:G27),"")</f>
        <v>12</v>
      </c>
      <c r="C27" s="58"/>
      <c r="D27" s="58"/>
      <c r="E27" s="105" t="s">
        <v>139</v>
      </c>
      <c r="F27" s="105" t="s">
        <v>135</v>
      </c>
      <c r="G27" s="106" t="s">
        <v>154</v>
      </c>
      <c r="H27" s="103">
        <v>43869</v>
      </c>
      <c r="I27" s="62"/>
      <c r="J27" s="63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>
        <f>IF(G28&lt;&gt;"",SUBTOTAL(3,$G$6:G28),"")</f>
        <v>13</v>
      </c>
      <c r="C28" s="58"/>
      <c r="D28" s="58"/>
      <c r="E28" s="105" t="s">
        <v>139</v>
      </c>
      <c r="F28" s="105" t="s">
        <v>135</v>
      </c>
      <c r="G28" s="106" t="s">
        <v>155</v>
      </c>
      <c r="H28" s="103">
        <v>43869</v>
      </c>
      <c r="I28" s="62"/>
      <c r="J28" s="63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>
        <f>IF(G29&lt;&gt;"",SUBTOTAL(3,$G$6:G29),"")</f>
        <v>14</v>
      </c>
      <c r="C29" s="58"/>
      <c r="D29" s="58"/>
      <c r="E29" s="59" t="s">
        <v>139</v>
      </c>
      <c r="F29" s="59" t="s">
        <v>135</v>
      </c>
      <c r="G29" s="60" t="s">
        <v>156</v>
      </c>
      <c r="H29" s="61">
        <v>43871</v>
      </c>
      <c r="I29" s="62">
        <v>0.5</v>
      </c>
      <c r="J29" s="63" t="s">
        <v>1</v>
      </c>
      <c r="K29" s="64" t="s">
        <v>399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IF(G30&lt;&gt;"",SUBTOTAL(3,$G$6:G30),"")</f>
        <v/>
      </c>
      <c r="C30" s="58"/>
      <c r="D30" s="58"/>
      <c r="E30" s="59"/>
      <c r="F30" s="59"/>
      <c r="G30" s="60"/>
      <c r="H30" s="61"/>
      <c r="I30" s="68">
        <v>0.5</v>
      </c>
      <c r="J30" s="63" t="s">
        <v>400</v>
      </c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 t="str">
        <f>IF(G31&lt;&gt;"",SUBTOTAL(3,$G$6:G31),"")</f>
        <v/>
      </c>
      <c r="C31" s="58"/>
      <c r="D31" s="58"/>
      <c r="E31" s="59"/>
      <c r="F31" s="59"/>
      <c r="G31" s="60"/>
      <c r="H31" s="61"/>
      <c r="I31" s="68">
        <v>0.5</v>
      </c>
      <c r="J31" s="63" t="s">
        <v>1</v>
      </c>
      <c r="K31" s="64" t="s">
        <v>401</v>
      </c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IF(G32&lt;&gt;"",SUBTOTAL(3,$G$6:G32),"")</f>
        <v/>
      </c>
      <c r="C32" s="58"/>
      <c r="D32" s="58"/>
      <c r="E32" s="59"/>
      <c r="F32" s="59"/>
      <c r="G32" s="60"/>
      <c r="H32" s="61"/>
      <c r="I32" s="68">
        <v>0.5</v>
      </c>
      <c r="J32" s="63"/>
      <c r="K32" s="64" t="s">
        <v>402</v>
      </c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IF(G33&lt;&gt;"",SUBTOTAL(3,$G$6:G33),"")</f>
        <v/>
      </c>
      <c r="C33" s="58"/>
      <c r="D33" s="58"/>
      <c r="E33" s="59"/>
      <c r="F33" s="59"/>
      <c r="G33" s="60"/>
      <c r="H33" s="61"/>
      <c r="I33" s="68">
        <v>0.5</v>
      </c>
      <c r="J33" s="63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>
        <f>IF(G34&lt;&gt;"",SUBTOTAL(3,$G$6:G34),"")</f>
        <v>15</v>
      </c>
      <c r="C34" s="58"/>
      <c r="D34" s="58"/>
      <c r="E34" s="59" t="s">
        <v>139</v>
      </c>
      <c r="F34" s="59" t="s">
        <v>142</v>
      </c>
      <c r="G34" s="60" t="s">
        <v>230</v>
      </c>
      <c r="H34" s="61">
        <v>44087</v>
      </c>
      <c r="I34" s="62">
        <v>1</v>
      </c>
      <c r="J34" s="63" t="s">
        <v>244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IF(G35&lt;&gt;"",SUBTOTAL(3,$G$6:G35),"")</f>
        <v/>
      </c>
      <c r="C35" s="58"/>
      <c r="D35" s="58"/>
      <c r="E35" s="59"/>
      <c r="F35" s="59"/>
      <c r="G35" s="60"/>
      <c r="H35" s="61"/>
      <c r="I35" s="70">
        <v>1</v>
      </c>
      <c r="J35" s="63" t="s">
        <v>245</v>
      </c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 t="str">
        <f>IF(G36&lt;&gt;"",SUBTOTAL(3,$G$6:G36),"")</f>
        <v/>
      </c>
      <c r="C36" s="58"/>
      <c r="D36" s="58"/>
      <c r="E36" s="59"/>
      <c r="F36" s="59"/>
      <c r="G36" s="60"/>
      <c r="H36" s="61"/>
      <c r="I36" s="70">
        <v>1</v>
      </c>
      <c r="J36" s="63" t="s">
        <v>246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IF(G37&lt;&gt;"",SUBTOTAL(3,$G$6:G37),"")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247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IF(G38&lt;&gt;"",SUBTOTAL(3,$G$6:G38),"")</f>
        <v/>
      </c>
      <c r="C38" s="58"/>
      <c r="D38" s="58"/>
      <c r="E38" s="59"/>
      <c r="F38" s="59"/>
      <c r="G38" s="60"/>
      <c r="H38" s="61"/>
      <c r="I38" s="70">
        <v>1</v>
      </c>
      <c r="J38" s="63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>
        <f>IF(G39&lt;&gt;"",SUBTOTAL(3,$G$6:G39),"")</f>
        <v>16</v>
      </c>
      <c r="C39" s="58"/>
      <c r="D39" s="58"/>
      <c r="E39" s="59" t="s">
        <v>139</v>
      </c>
      <c r="F39" s="59" t="s">
        <v>142</v>
      </c>
      <c r="G39" s="60" t="s">
        <v>229</v>
      </c>
      <c r="H39" s="61">
        <v>44076</v>
      </c>
      <c r="I39" s="62">
        <v>1</v>
      </c>
      <c r="J39" s="63" t="s">
        <v>248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IF(G40&lt;&gt;"",SUBTOTAL(3,$G$6:G40),"")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249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IF(G41&lt;&gt;"",SUBTOTAL(3,$G$6:G41),"")</f>
        <v/>
      </c>
      <c r="C41" s="58"/>
      <c r="D41" s="58"/>
      <c r="E41" s="59"/>
      <c r="F41" s="59"/>
      <c r="G41" s="60"/>
      <c r="H41" s="61"/>
      <c r="I41" s="70">
        <v>1</v>
      </c>
      <c r="J41" s="63" t="s">
        <v>250</v>
      </c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 t="str">
        <f>IF(G42&lt;&gt;"",SUBTOTAL(3,$G$6:G42),"")</f>
        <v/>
      </c>
      <c r="C42" s="58"/>
      <c r="D42" s="58"/>
      <c r="E42" s="59"/>
      <c r="F42" s="59"/>
      <c r="G42" s="60"/>
      <c r="H42" s="61"/>
      <c r="I42" s="70">
        <v>1</v>
      </c>
      <c r="J42" s="63" t="s">
        <v>251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IF(G43&lt;&gt;"",SUBTOTAL(3,$G$6:G43),"")</f>
        <v/>
      </c>
      <c r="C43" s="58"/>
      <c r="D43" s="58"/>
      <c r="E43" s="59"/>
      <c r="F43" s="59"/>
      <c r="G43" s="60"/>
      <c r="H43" s="61"/>
      <c r="I43" s="70">
        <v>1</v>
      </c>
      <c r="J43" s="63" t="s">
        <v>252</v>
      </c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 t="str">
        <f>IF(G44&lt;&gt;"",SUBTOTAL(3,$G$6:G44),"")</f>
        <v/>
      </c>
      <c r="C44" s="58"/>
      <c r="D44" s="58"/>
      <c r="E44" s="59"/>
      <c r="F44" s="59"/>
      <c r="G44" s="60"/>
      <c r="H44" s="61"/>
      <c r="I44" s="70">
        <v>1</v>
      </c>
      <c r="J44" s="63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>
        <f>IF(G45&lt;&gt;"",SUBTOTAL(3,$G$6:G45),"")</f>
        <v>17</v>
      </c>
      <c r="C45" s="58"/>
      <c r="D45" s="58"/>
      <c r="E45" s="59" t="s">
        <v>139</v>
      </c>
      <c r="F45" s="59" t="s">
        <v>142</v>
      </c>
      <c r="G45" s="60" t="s">
        <v>228</v>
      </c>
      <c r="H45" s="61">
        <v>44080</v>
      </c>
      <c r="I45" s="62">
        <v>1</v>
      </c>
      <c r="J45" s="63" t="s">
        <v>234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IF(G46&lt;&gt;"",SUBTOTAL(3,$G$6:G46),"")</f>
        <v/>
      </c>
      <c r="C46" s="58"/>
      <c r="D46" s="58"/>
      <c r="E46" s="59"/>
      <c r="F46" s="59"/>
      <c r="G46" s="60"/>
      <c r="H46" s="61"/>
      <c r="I46" s="70">
        <v>1</v>
      </c>
      <c r="J46" s="63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>
        <f>IF(G47&lt;&gt;"",SUBTOTAL(3,$G$6:G47),"")</f>
        <v>18</v>
      </c>
      <c r="C47" s="58"/>
      <c r="D47" s="58"/>
      <c r="E47" s="59" t="s">
        <v>139</v>
      </c>
      <c r="F47" s="59" t="s">
        <v>142</v>
      </c>
      <c r="G47" s="60" t="s">
        <v>226</v>
      </c>
      <c r="H47" s="61">
        <v>43871</v>
      </c>
      <c r="I47" s="62">
        <v>0.3</v>
      </c>
      <c r="J47" s="63" t="s">
        <v>253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 t="s">
        <v>360</v>
      </c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 t="str">
        <f>IF(G48&lt;&gt;"",SUBTOTAL(3,$G$6:G48),"")</f>
        <v/>
      </c>
      <c r="C48" s="58"/>
      <c r="D48" s="58"/>
      <c r="E48" s="59"/>
      <c r="F48" s="59"/>
      <c r="G48" s="60"/>
      <c r="H48" s="61"/>
      <c r="I48" s="68">
        <v>0.3</v>
      </c>
      <c r="J48" s="63" t="s">
        <v>345</v>
      </c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5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 t="str">
        <f>IF(G49&lt;&gt;"",SUBTOTAL(3,$G$6:G49),"")</f>
        <v/>
      </c>
      <c r="C49" s="58"/>
      <c r="D49" s="58"/>
      <c r="E49" s="59"/>
      <c r="F49" s="59"/>
      <c r="G49" s="60"/>
      <c r="H49" s="61"/>
      <c r="I49" s="68">
        <v>0.3</v>
      </c>
      <c r="J49" s="63" t="s">
        <v>346</v>
      </c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5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 t="str">
        <f>IF(G50&lt;&gt;"",SUBTOTAL(3,$G$6:G50),"")</f>
        <v/>
      </c>
      <c r="C50" s="58"/>
      <c r="D50" s="58"/>
      <c r="E50" s="59"/>
      <c r="F50" s="59"/>
      <c r="G50" s="60"/>
      <c r="H50" s="61"/>
      <c r="I50" s="68">
        <v>0.3</v>
      </c>
      <c r="J50" s="63" t="s">
        <v>254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/>
      <c r="C51" s="58"/>
      <c r="D51" s="58"/>
      <c r="E51" s="59"/>
      <c r="F51" s="59"/>
      <c r="G51" s="60"/>
      <c r="H51" s="61"/>
      <c r="I51" s="68">
        <v>0.3</v>
      </c>
      <c r="J51" s="71" t="s">
        <v>227</v>
      </c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3"/>
      <c r="AS51" s="63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/>
      <c r="C52" s="58"/>
      <c r="D52" s="58"/>
      <c r="E52" s="59"/>
      <c r="F52" s="59"/>
      <c r="G52" s="60"/>
      <c r="H52" s="61"/>
      <c r="I52" s="68">
        <v>0.3</v>
      </c>
      <c r="J52" s="71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3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IF(G53&lt;&gt;"",SUBTOTAL(3,$G$6:G53),"")</f>
        <v>19</v>
      </c>
      <c r="C53" s="58"/>
      <c r="D53" s="58"/>
      <c r="E53" s="59" t="s">
        <v>139</v>
      </c>
      <c r="F53" s="59" t="s">
        <v>135</v>
      </c>
      <c r="G53" s="60" t="s">
        <v>224</v>
      </c>
      <c r="H53" s="61">
        <v>44072</v>
      </c>
      <c r="I53" s="62">
        <v>0.8</v>
      </c>
      <c r="J53" s="63" t="s">
        <v>364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361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IF(G54&lt;&gt;"",SUBTOTAL(3,$G$6:G54),"")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365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 t="s">
        <v>362</v>
      </c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IF(G55&lt;&gt;"",SUBTOTAL(3,$G$6:G55),"")</f>
        <v/>
      </c>
      <c r="C55" s="58"/>
      <c r="D55" s="58"/>
      <c r="E55" s="59"/>
      <c r="F55" s="59"/>
      <c r="G55" s="60"/>
      <c r="H55" s="61"/>
      <c r="I55" s="68">
        <v>0.8</v>
      </c>
      <c r="J55" s="63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>
        <f>IF(G56&lt;&gt;"",SUBTOTAL(3,$G$6:G56),"")</f>
        <v>20</v>
      </c>
      <c r="C56" s="58"/>
      <c r="D56" s="58"/>
      <c r="E56" s="59" t="s">
        <v>139</v>
      </c>
      <c r="F56" s="59" t="s">
        <v>135</v>
      </c>
      <c r="G56" s="60" t="s">
        <v>222</v>
      </c>
      <c r="H56" s="61">
        <v>44070</v>
      </c>
      <c r="I56" s="62">
        <v>0.8</v>
      </c>
      <c r="J56" s="63" t="s">
        <v>366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 t="s">
        <v>363</v>
      </c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IF(G57&lt;&gt;"",SUBTOTAL(3,$G$6:G57),"")</f>
        <v/>
      </c>
      <c r="C57" s="58"/>
      <c r="D57" s="58"/>
      <c r="E57" s="59"/>
      <c r="F57" s="59"/>
      <c r="G57" s="60"/>
      <c r="H57" s="61"/>
      <c r="I57" s="68">
        <v>0.8</v>
      </c>
      <c r="J57" s="63" t="s">
        <v>255</v>
      </c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IF(G58&lt;&gt;"",SUBTOTAL(3,$G$6:G58),"")</f>
        <v/>
      </c>
      <c r="C58" s="58"/>
      <c r="D58" s="58"/>
      <c r="E58" s="59"/>
      <c r="F58" s="59"/>
      <c r="G58" s="60"/>
      <c r="H58" s="61"/>
      <c r="I58" s="68">
        <v>0.8</v>
      </c>
      <c r="J58" s="63" t="s">
        <v>256</v>
      </c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5"/>
      <c r="AS58" s="63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5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 t="str">
        <f>IF(G59&lt;&gt;"",SUBTOTAL(3,$G$6:G59),"")</f>
        <v/>
      </c>
      <c r="C59" s="58"/>
      <c r="D59" s="58"/>
      <c r="E59" s="59"/>
      <c r="F59" s="59"/>
      <c r="G59" s="60"/>
      <c r="H59" s="61"/>
      <c r="I59" s="68">
        <v>0.8</v>
      </c>
      <c r="J59" s="71" t="s">
        <v>223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IF(G60&lt;&gt;"",SUBTOTAL(3,$G$6:G60),"")</f>
        <v/>
      </c>
      <c r="C60" s="58"/>
      <c r="D60" s="58"/>
      <c r="E60" s="59"/>
      <c r="F60" s="59"/>
      <c r="G60" s="60"/>
      <c r="H60" s="61"/>
      <c r="I60" s="68">
        <v>0.8</v>
      </c>
      <c r="J60" s="71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IF(G61&lt;&gt;"",SUBTOTAL(3,$G$6:G61),"")</f>
        <v/>
      </c>
      <c r="C61" s="58"/>
      <c r="D61" s="58"/>
      <c r="E61" s="59"/>
      <c r="F61" s="59"/>
      <c r="G61" s="60"/>
      <c r="H61" s="61"/>
      <c r="I61" s="68">
        <v>0.8</v>
      </c>
      <c r="J61" s="71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71"/>
      <c r="AT61" s="72"/>
      <c r="AU61" s="72"/>
      <c r="AV61" s="72"/>
      <c r="AW61" s="72"/>
      <c r="AX61" s="72"/>
      <c r="AY61" s="72"/>
      <c r="AZ61" s="72"/>
      <c r="BA61" s="72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3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>
        <f>IF(G62&lt;&gt;"",SUBTOTAL(3,$G$6:G62),"")</f>
        <v>21</v>
      </c>
      <c r="C62" s="58"/>
      <c r="D62" s="58"/>
      <c r="E62" s="59" t="s">
        <v>139</v>
      </c>
      <c r="F62" s="59" t="s">
        <v>135</v>
      </c>
      <c r="G62" s="60" t="s">
        <v>218</v>
      </c>
      <c r="H62" s="61">
        <v>44066</v>
      </c>
      <c r="I62" s="62">
        <v>0</v>
      </c>
      <c r="J62" s="63" t="s">
        <v>257</v>
      </c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5"/>
      <c r="AS62" s="63" t="s">
        <v>219</v>
      </c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IF(G63&lt;&gt;"",SUBTOTAL(3,$G$6:G63),"")</f>
        <v/>
      </c>
      <c r="C63" s="58"/>
      <c r="D63" s="58"/>
      <c r="E63" s="59"/>
      <c r="F63" s="59"/>
      <c r="G63" s="60"/>
      <c r="H63" s="61"/>
      <c r="I63" s="68">
        <v>0</v>
      </c>
      <c r="J63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5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 t="str">
        <f>IF(G64&lt;&gt;"",SUBTOTAL(3,$G$6:G64),"")</f>
        <v/>
      </c>
      <c r="C64" s="58"/>
      <c r="D64" s="58"/>
      <c r="E64" s="59"/>
      <c r="F64" s="59"/>
      <c r="G64" s="60"/>
      <c r="H64" s="61"/>
      <c r="I64" s="68">
        <v>0</v>
      </c>
      <c r="J64" s="97" t="s">
        <v>367</v>
      </c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3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 t="str">
        <f>IF(G65&lt;&gt;"",SUBTOTAL(3,$G$6:G65),"")</f>
        <v/>
      </c>
      <c r="C65" s="58"/>
      <c r="D65" s="58"/>
      <c r="E65" s="59"/>
      <c r="F65" s="59"/>
      <c r="G65" s="60"/>
      <c r="H65" s="61"/>
      <c r="I65" s="68">
        <v>0</v>
      </c>
      <c r="J65" s="98" t="s">
        <v>352</v>
      </c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3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0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 t="str">
        <f>IF(G66&lt;&gt;"",SUBTOTAL(3,$G$6:G66),"")</f>
        <v/>
      </c>
      <c r="C66" s="58"/>
      <c r="D66" s="58"/>
      <c r="E66" s="59"/>
      <c r="F66" s="59"/>
      <c r="G66" s="60"/>
      <c r="H66" s="61"/>
      <c r="I66" s="68">
        <v>0</v>
      </c>
      <c r="J66" s="97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3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IF(G67&lt;&gt;"",SUBTOTAL(3,$G$6:G67),"")</f>
        <v>22</v>
      </c>
      <c r="C67" s="58"/>
      <c r="D67" s="58"/>
      <c r="E67" s="105" t="s">
        <v>139</v>
      </c>
      <c r="F67" s="105" t="s">
        <v>135</v>
      </c>
      <c r="G67" s="106" t="s">
        <v>116</v>
      </c>
      <c r="H67" s="103">
        <v>43869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IF(G68&lt;&gt;"",SUBTOTAL(3,$G$6:G68),"")</f>
        <v>23</v>
      </c>
      <c r="C68" s="58"/>
      <c r="D68" s="58"/>
      <c r="E68" s="105" t="s">
        <v>139</v>
      </c>
      <c r="F68" s="105" t="s">
        <v>135</v>
      </c>
      <c r="G68" s="106" t="s">
        <v>157</v>
      </c>
      <c r="H68" s="103">
        <v>43995</v>
      </c>
      <c r="I68" s="62"/>
      <c r="J68" s="63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7" t="s">
        <v>13</v>
      </c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>
        <f>IF(G69&lt;&gt;"",SUBTOTAL(3,$G$6:G69),"")</f>
        <v>24</v>
      </c>
      <c r="C69" s="58"/>
      <c r="D69" s="58"/>
      <c r="E69" s="105" t="s">
        <v>139</v>
      </c>
      <c r="F69" s="105" t="s">
        <v>135</v>
      </c>
      <c r="G69" s="106" t="s">
        <v>158</v>
      </c>
      <c r="H69" s="103">
        <v>43961</v>
      </c>
      <c r="I69" s="62"/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IF(G70&lt;&gt;"",SUBTOTAL(3,$G$6:G70),"")</f>
        <v>25</v>
      </c>
      <c r="C70" s="58"/>
      <c r="D70" s="58"/>
      <c r="E70" s="105" t="s">
        <v>139</v>
      </c>
      <c r="F70" s="105" t="s">
        <v>135</v>
      </c>
      <c r="G70" s="106" t="s">
        <v>159</v>
      </c>
      <c r="H70" s="103">
        <v>43995</v>
      </c>
      <c r="I70" s="62"/>
      <c r="J70" s="63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>
        <f>IF(G71&lt;&gt;"",SUBTOTAL(3,$G$6:G71),"")</f>
        <v>26</v>
      </c>
      <c r="C71" s="58"/>
      <c r="D71" s="58"/>
      <c r="E71" s="59" t="s">
        <v>139</v>
      </c>
      <c r="F71" s="59" t="s">
        <v>135</v>
      </c>
      <c r="G71" s="60" t="s">
        <v>217</v>
      </c>
      <c r="H71" s="61">
        <v>44058</v>
      </c>
      <c r="I71" s="62">
        <v>1</v>
      </c>
      <c r="J71" s="63" t="s">
        <v>368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IF(G72&lt;&gt;"",SUBTOTAL(3,$G$6:G72),"")</f>
        <v/>
      </c>
      <c r="C72" s="58"/>
      <c r="D72" s="58"/>
      <c r="E72" s="59"/>
      <c r="F72" s="59"/>
      <c r="G72" s="60"/>
      <c r="H72" s="61"/>
      <c r="I72" s="70">
        <v>1</v>
      </c>
      <c r="J72" s="63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>
        <f>IF(G73&lt;&gt;"",SUBTOTAL(3,$G$6:G73),"")</f>
        <v>27</v>
      </c>
      <c r="C73" s="58"/>
      <c r="D73" s="58"/>
      <c r="E73" s="59" t="s">
        <v>139</v>
      </c>
      <c r="F73" s="59" t="s">
        <v>135</v>
      </c>
      <c r="G73" s="60" t="s">
        <v>216</v>
      </c>
      <c r="H73" s="61">
        <v>44057</v>
      </c>
      <c r="I73" s="62">
        <v>1</v>
      </c>
      <c r="J73" s="110" t="s">
        <v>258</v>
      </c>
      <c r="K73" s="111"/>
      <c r="L73" s="111"/>
      <c r="M73" s="111"/>
      <c r="N73" s="111"/>
      <c r="O73" s="111"/>
      <c r="P73" s="111"/>
      <c r="Q73" s="111"/>
      <c r="R73" s="111"/>
      <c r="S73" s="111"/>
      <c r="T73" s="111"/>
      <c r="U73" s="111"/>
      <c r="V73" s="111"/>
      <c r="W73" s="111"/>
      <c r="X73" s="111"/>
      <c r="Y73" s="111"/>
      <c r="Z73" s="111"/>
      <c r="AA73" s="111"/>
      <c r="AB73" s="111"/>
      <c r="AC73" s="111"/>
      <c r="AD73" s="111"/>
      <c r="AE73" s="111"/>
      <c r="AF73" s="111"/>
      <c r="AG73" s="111"/>
      <c r="AH73" s="111"/>
      <c r="AI73" s="111"/>
      <c r="AJ73" s="111"/>
      <c r="AK73" s="111"/>
      <c r="AL73" s="111"/>
      <c r="AM73" s="111"/>
      <c r="AN73" s="111"/>
      <c r="AO73" s="111"/>
      <c r="AP73" s="111"/>
      <c r="AQ73" s="111"/>
      <c r="AR73" s="112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IF(G74&lt;&gt;"",SUBTOTAL(3,$G$6:G74),"")</f>
        <v/>
      </c>
      <c r="C74" s="58"/>
      <c r="D74" s="58"/>
      <c r="E74" s="59"/>
      <c r="F74" s="59"/>
      <c r="G74" s="60"/>
      <c r="H74" s="61"/>
      <c r="I74" s="70">
        <v>1</v>
      </c>
      <c r="J74" s="110" t="s">
        <v>259</v>
      </c>
      <c r="K74" s="111"/>
      <c r="L74" s="111"/>
      <c r="M74" s="111"/>
      <c r="N74" s="111"/>
      <c r="O74" s="111"/>
      <c r="P74" s="111"/>
      <c r="Q74" s="111"/>
      <c r="R74" s="111"/>
      <c r="S74" s="111"/>
      <c r="T74" s="111"/>
      <c r="U74" s="111"/>
      <c r="V74" s="111"/>
      <c r="W74" s="111"/>
      <c r="X74" s="111"/>
      <c r="Y74" s="111"/>
      <c r="Z74" s="111"/>
      <c r="AA74" s="111"/>
      <c r="AB74" s="111"/>
      <c r="AC74" s="111"/>
      <c r="AD74" s="111"/>
      <c r="AE74" s="111"/>
      <c r="AF74" s="111"/>
      <c r="AG74" s="111"/>
      <c r="AH74" s="111"/>
      <c r="AI74" s="111"/>
      <c r="AJ74" s="111"/>
      <c r="AK74" s="111"/>
      <c r="AL74" s="111"/>
      <c r="AM74" s="111"/>
      <c r="AN74" s="111"/>
      <c r="AO74" s="111"/>
      <c r="AP74" s="111"/>
      <c r="AQ74" s="111"/>
      <c r="AR74" s="112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IF(G75&lt;&gt;"",SUBTOTAL(3,$G$6:G75),"")</f>
        <v/>
      </c>
      <c r="C75" s="58"/>
      <c r="D75" s="58"/>
      <c r="E75" s="59"/>
      <c r="F75" s="59"/>
      <c r="G75" s="60"/>
      <c r="H75" s="61"/>
      <c r="I75" s="70">
        <v>1</v>
      </c>
      <c r="J75" s="110" t="s">
        <v>260</v>
      </c>
      <c r="K75" s="111"/>
      <c r="L75" s="111"/>
      <c r="M75" s="111"/>
      <c r="N75" s="111"/>
      <c r="O75" s="111"/>
      <c r="P75" s="111"/>
      <c r="Q75" s="111"/>
      <c r="R75" s="111"/>
      <c r="S75" s="111"/>
      <c r="T75" s="111"/>
      <c r="U75" s="111"/>
      <c r="V75" s="111"/>
      <c r="W75" s="111"/>
      <c r="X75" s="111"/>
      <c r="Y75" s="111"/>
      <c r="Z75" s="111"/>
      <c r="AA75" s="111"/>
      <c r="AB75" s="111"/>
      <c r="AC75" s="111"/>
      <c r="AD75" s="111"/>
      <c r="AE75" s="111"/>
      <c r="AF75" s="111"/>
      <c r="AG75" s="111"/>
      <c r="AH75" s="111"/>
      <c r="AI75" s="111"/>
      <c r="AJ75" s="111"/>
      <c r="AK75" s="111"/>
      <c r="AL75" s="111"/>
      <c r="AM75" s="111"/>
      <c r="AN75" s="111"/>
      <c r="AO75" s="111"/>
      <c r="AP75" s="111"/>
      <c r="AQ75" s="111"/>
      <c r="AR75" s="112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IF(G76&lt;&gt;"",SUBTOTAL(3,$G$6:G76),"")</f>
        <v/>
      </c>
      <c r="C76" s="58"/>
      <c r="D76" s="58"/>
      <c r="E76" s="59"/>
      <c r="F76" s="59"/>
      <c r="G76" s="60"/>
      <c r="H76" s="61"/>
      <c r="I76" s="70">
        <v>1</v>
      </c>
      <c r="J76" s="110" t="s">
        <v>261</v>
      </c>
      <c r="K76" s="111"/>
      <c r="L76" s="111"/>
      <c r="M76" s="111"/>
      <c r="N76" s="111"/>
      <c r="O76" s="111"/>
      <c r="P76" s="111"/>
      <c r="Q76" s="111"/>
      <c r="R76" s="111"/>
      <c r="S76" s="111"/>
      <c r="T76" s="111"/>
      <c r="U76" s="111"/>
      <c r="V76" s="111"/>
      <c r="W76" s="111"/>
      <c r="X76" s="111"/>
      <c r="Y76" s="111"/>
      <c r="Z76" s="111"/>
      <c r="AA76" s="111"/>
      <c r="AB76" s="111"/>
      <c r="AC76" s="111"/>
      <c r="AD76" s="111"/>
      <c r="AE76" s="111"/>
      <c r="AF76" s="111"/>
      <c r="AG76" s="111"/>
      <c r="AH76" s="111"/>
      <c r="AI76" s="111"/>
      <c r="AJ76" s="111"/>
      <c r="AK76" s="111"/>
      <c r="AL76" s="111"/>
      <c r="AM76" s="111"/>
      <c r="AN76" s="111"/>
      <c r="AO76" s="111"/>
      <c r="AP76" s="111"/>
      <c r="AQ76" s="111"/>
      <c r="AR76" s="112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IF(G77&lt;&gt;"",SUBTOTAL(3,$G$6:G77),"")</f>
        <v/>
      </c>
      <c r="C77" s="58"/>
      <c r="D77" s="58"/>
      <c r="E77" s="59"/>
      <c r="F77" s="59"/>
      <c r="G77" s="60"/>
      <c r="H77" s="61"/>
      <c r="I77" s="70">
        <v>1</v>
      </c>
      <c r="J77" s="110" t="s">
        <v>262</v>
      </c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  <c r="X77" s="111"/>
      <c r="Y77" s="111"/>
      <c r="Z77" s="111"/>
      <c r="AA77" s="111"/>
      <c r="AB77" s="111"/>
      <c r="AC77" s="111"/>
      <c r="AD77" s="111"/>
      <c r="AE77" s="111"/>
      <c r="AF77" s="111"/>
      <c r="AG77" s="111"/>
      <c r="AH77" s="111"/>
      <c r="AI77" s="111"/>
      <c r="AJ77" s="111"/>
      <c r="AK77" s="111"/>
      <c r="AL77" s="111"/>
      <c r="AM77" s="111"/>
      <c r="AN77" s="111"/>
      <c r="AO77" s="111"/>
      <c r="AP77" s="111"/>
      <c r="AQ77" s="111"/>
      <c r="AR77" s="112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IF(G78&lt;&gt;"",SUBTOTAL(3,$G$6:G78),"")</f>
        <v/>
      </c>
      <c r="C78" s="58"/>
      <c r="D78" s="58"/>
      <c r="E78" s="59"/>
      <c r="F78" s="59"/>
      <c r="G78" s="60"/>
      <c r="H78" s="61"/>
      <c r="I78" s="70">
        <v>1</v>
      </c>
      <c r="J78" s="110" t="s">
        <v>263</v>
      </c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  <c r="X78" s="111"/>
      <c r="Y78" s="111"/>
      <c r="Z78" s="111"/>
      <c r="AA78" s="111"/>
      <c r="AB78" s="111"/>
      <c r="AC78" s="111"/>
      <c r="AD78" s="111"/>
      <c r="AE78" s="111"/>
      <c r="AF78" s="111"/>
      <c r="AG78" s="111"/>
      <c r="AH78" s="111"/>
      <c r="AI78" s="111"/>
      <c r="AJ78" s="111"/>
      <c r="AK78" s="111"/>
      <c r="AL78" s="111"/>
      <c r="AM78" s="111"/>
      <c r="AN78" s="111"/>
      <c r="AO78" s="111"/>
      <c r="AP78" s="111"/>
      <c r="AQ78" s="111"/>
      <c r="AR78" s="112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IF(G79&lt;&gt;"",SUBTOTAL(3,$G$6:G79),"")</f>
        <v/>
      </c>
      <c r="C79" s="58"/>
      <c r="D79" s="58"/>
      <c r="E79" s="59"/>
      <c r="F79" s="59"/>
      <c r="G79" s="60"/>
      <c r="H79" s="61"/>
      <c r="I79" s="70">
        <v>1</v>
      </c>
      <c r="J79" s="110" t="s">
        <v>264</v>
      </c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  <c r="X79" s="111"/>
      <c r="Y79" s="111"/>
      <c r="Z79" s="111"/>
      <c r="AA79" s="111"/>
      <c r="AB79" s="111"/>
      <c r="AC79" s="111"/>
      <c r="AD79" s="111"/>
      <c r="AE79" s="111"/>
      <c r="AF79" s="111"/>
      <c r="AG79" s="111"/>
      <c r="AH79" s="111"/>
      <c r="AI79" s="111"/>
      <c r="AJ79" s="111"/>
      <c r="AK79" s="111"/>
      <c r="AL79" s="111"/>
      <c r="AM79" s="111"/>
      <c r="AN79" s="111"/>
      <c r="AO79" s="111"/>
      <c r="AP79" s="111"/>
      <c r="AQ79" s="111"/>
      <c r="AR79" s="112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IF(G80&lt;&gt;"",SUBTOTAL(3,$G$6:G80),"")</f>
        <v/>
      </c>
      <c r="C80" s="58"/>
      <c r="D80" s="58"/>
      <c r="E80" s="59"/>
      <c r="F80" s="59"/>
      <c r="G80" s="60"/>
      <c r="H80" s="61"/>
      <c r="I80" s="70">
        <v>1</v>
      </c>
      <c r="J80" s="110" t="s">
        <v>265</v>
      </c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  <c r="X80" s="111"/>
      <c r="Y80" s="111"/>
      <c r="Z80" s="111"/>
      <c r="AA80" s="111"/>
      <c r="AB80" s="111"/>
      <c r="AC80" s="111"/>
      <c r="AD80" s="111"/>
      <c r="AE80" s="111"/>
      <c r="AF80" s="111"/>
      <c r="AG80" s="111"/>
      <c r="AH80" s="111"/>
      <c r="AI80" s="111"/>
      <c r="AJ80" s="111"/>
      <c r="AK80" s="111"/>
      <c r="AL80" s="111"/>
      <c r="AM80" s="111"/>
      <c r="AN80" s="111"/>
      <c r="AO80" s="111"/>
      <c r="AP80" s="111"/>
      <c r="AQ80" s="111"/>
      <c r="AR80" s="112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IF(G81&lt;&gt;"",SUBTOTAL(3,$G$6:G81),"")</f>
        <v/>
      </c>
      <c r="C81" s="58"/>
      <c r="D81" s="58"/>
      <c r="E81" s="59"/>
      <c r="F81" s="59"/>
      <c r="G81" s="60"/>
      <c r="H81" s="61"/>
      <c r="I81" s="70">
        <v>1</v>
      </c>
      <c r="J81" s="110" t="s">
        <v>266</v>
      </c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  <c r="X81" s="111"/>
      <c r="Y81" s="111"/>
      <c r="Z81" s="111"/>
      <c r="AA81" s="111"/>
      <c r="AB81" s="111"/>
      <c r="AC81" s="111"/>
      <c r="AD81" s="111"/>
      <c r="AE81" s="111"/>
      <c r="AF81" s="111"/>
      <c r="AG81" s="111"/>
      <c r="AH81" s="111"/>
      <c r="AI81" s="111"/>
      <c r="AJ81" s="111"/>
      <c r="AK81" s="111"/>
      <c r="AL81" s="111"/>
      <c r="AM81" s="111"/>
      <c r="AN81" s="111"/>
      <c r="AO81" s="111"/>
      <c r="AP81" s="111"/>
      <c r="AQ81" s="111"/>
      <c r="AR81" s="112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IF(G82&lt;&gt;"",SUBTOTAL(3,$G$6:G82),"")</f>
        <v/>
      </c>
      <c r="C82" s="58"/>
      <c r="D82" s="58"/>
      <c r="E82" s="59"/>
      <c r="F82" s="59"/>
      <c r="G82" s="60"/>
      <c r="H82" s="61"/>
      <c r="I82" s="70">
        <v>1</v>
      </c>
      <c r="J82" s="110" t="s">
        <v>267</v>
      </c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  <c r="X82" s="111"/>
      <c r="Y82" s="111"/>
      <c r="Z82" s="111"/>
      <c r="AA82" s="111"/>
      <c r="AB82" s="111"/>
      <c r="AC82" s="111"/>
      <c r="AD82" s="111"/>
      <c r="AE82" s="111"/>
      <c r="AF82" s="111"/>
      <c r="AG82" s="111"/>
      <c r="AH82" s="111"/>
      <c r="AI82" s="111"/>
      <c r="AJ82" s="111"/>
      <c r="AK82" s="111"/>
      <c r="AL82" s="111"/>
      <c r="AM82" s="111"/>
      <c r="AN82" s="111"/>
      <c r="AO82" s="111"/>
      <c r="AP82" s="111"/>
      <c r="AQ82" s="111"/>
      <c r="AR82" s="112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IF(G83&lt;&gt;"",SUBTOTAL(3,$G$6:G83),"")</f>
        <v/>
      </c>
      <c r="C83" s="58"/>
      <c r="D83" s="58"/>
      <c r="E83" s="59"/>
      <c r="F83" s="59"/>
      <c r="G83" s="60"/>
      <c r="H83" s="61"/>
      <c r="I83" s="70">
        <v>1</v>
      </c>
      <c r="J83" s="110" t="s">
        <v>268</v>
      </c>
      <c r="K83" s="111"/>
      <c r="L83" s="111"/>
      <c r="M83" s="111"/>
      <c r="N83" s="111"/>
      <c r="O83" s="111"/>
      <c r="P83" s="111"/>
      <c r="Q83" s="111"/>
      <c r="R83" s="111"/>
      <c r="S83" s="111"/>
      <c r="T83" s="111"/>
      <c r="U83" s="111"/>
      <c r="V83" s="111"/>
      <c r="W83" s="111"/>
      <c r="X83" s="111"/>
      <c r="Y83" s="111"/>
      <c r="Z83" s="111"/>
      <c r="AA83" s="111"/>
      <c r="AB83" s="111"/>
      <c r="AC83" s="111"/>
      <c r="AD83" s="111"/>
      <c r="AE83" s="111"/>
      <c r="AF83" s="111"/>
      <c r="AG83" s="111"/>
      <c r="AH83" s="111"/>
      <c r="AI83" s="111"/>
      <c r="AJ83" s="111"/>
      <c r="AK83" s="111"/>
      <c r="AL83" s="111"/>
      <c r="AM83" s="111"/>
      <c r="AN83" s="111"/>
      <c r="AO83" s="111"/>
      <c r="AP83" s="111"/>
      <c r="AQ83" s="111"/>
      <c r="AR83" s="112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 t="str">
        <f>IF(G84&lt;&gt;"",SUBTOTAL(3,$G$6:G84),"")</f>
        <v/>
      </c>
      <c r="C84" s="58"/>
      <c r="D84" s="58"/>
      <c r="E84" s="59"/>
      <c r="F84" s="59"/>
      <c r="G84" s="60"/>
      <c r="H84" s="61"/>
      <c r="I84" s="70">
        <v>1</v>
      </c>
      <c r="J84" s="110" t="s">
        <v>269</v>
      </c>
      <c r="K84" s="111"/>
      <c r="L84" s="111"/>
      <c r="M84" s="111"/>
      <c r="N84" s="111"/>
      <c r="O84" s="111"/>
      <c r="P84" s="111"/>
      <c r="Q84" s="111"/>
      <c r="R84" s="111"/>
      <c r="S84" s="111"/>
      <c r="T84" s="111"/>
      <c r="U84" s="111"/>
      <c r="V84" s="111"/>
      <c r="W84" s="111"/>
      <c r="X84" s="111"/>
      <c r="Y84" s="111"/>
      <c r="Z84" s="111"/>
      <c r="AA84" s="111"/>
      <c r="AB84" s="111"/>
      <c r="AC84" s="111"/>
      <c r="AD84" s="111"/>
      <c r="AE84" s="111"/>
      <c r="AF84" s="111"/>
      <c r="AG84" s="111"/>
      <c r="AH84" s="111"/>
      <c r="AI84" s="111"/>
      <c r="AJ84" s="111"/>
      <c r="AK84" s="111"/>
      <c r="AL84" s="111"/>
      <c r="AM84" s="111"/>
      <c r="AN84" s="111"/>
      <c r="AO84" s="111"/>
      <c r="AP84" s="111"/>
      <c r="AQ84" s="111"/>
      <c r="AR84" s="112"/>
      <c r="AS84" s="63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IF(G85&lt;&gt;"",SUBTOTAL(3,$G$6:G85),"")</f>
        <v/>
      </c>
      <c r="C85" s="58"/>
      <c r="D85" s="58"/>
      <c r="E85" s="59"/>
      <c r="F85" s="59"/>
      <c r="G85" s="60"/>
      <c r="H85" s="61"/>
      <c r="I85" s="70">
        <v>1</v>
      </c>
      <c r="J85" s="110" t="s">
        <v>270</v>
      </c>
      <c r="K85" s="111"/>
      <c r="L85" s="111"/>
      <c r="M85" s="111"/>
      <c r="N85" s="111"/>
      <c r="O85" s="111"/>
      <c r="P85" s="111"/>
      <c r="Q85" s="111"/>
      <c r="R85" s="111"/>
      <c r="S85" s="111"/>
      <c r="T85" s="111"/>
      <c r="U85" s="111"/>
      <c r="V85" s="111"/>
      <c r="W85" s="111"/>
      <c r="X85" s="111"/>
      <c r="Y85" s="111"/>
      <c r="Z85" s="111"/>
      <c r="AA85" s="111"/>
      <c r="AB85" s="111"/>
      <c r="AC85" s="111"/>
      <c r="AD85" s="111"/>
      <c r="AE85" s="111"/>
      <c r="AF85" s="111"/>
      <c r="AG85" s="111"/>
      <c r="AH85" s="111"/>
      <c r="AI85" s="111"/>
      <c r="AJ85" s="111"/>
      <c r="AK85" s="111"/>
      <c r="AL85" s="111"/>
      <c r="AM85" s="111"/>
      <c r="AN85" s="111"/>
      <c r="AO85" s="111"/>
      <c r="AP85" s="111"/>
      <c r="AQ85" s="111"/>
      <c r="AR85" s="112"/>
      <c r="AS85" s="63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IF(G86&lt;&gt;"",SUBTOTAL(3,$G$6:G86),"")</f>
        <v/>
      </c>
      <c r="C86" s="58"/>
      <c r="D86" s="58"/>
      <c r="E86" s="59"/>
      <c r="F86" s="59"/>
      <c r="G86" s="60"/>
      <c r="H86" s="61"/>
      <c r="I86" s="70">
        <v>1</v>
      </c>
      <c r="J86" s="110"/>
      <c r="K86" s="111"/>
      <c r="L86" s="111"/>
      <c r="M86" s="111"/>
      <c r="N86" s="111"/>
      <c r="O86" s="111"/>
      <c r="P86" s="111"/>
      <c r="Q86" s="111"/>
      <c r="R86" s="111"/>
      <c r="S86" s="111"/>
      <c r="T86" s="111"/>
      <c r="U86" s="111"/>
      <c r="V86" s="111"/>
      <c r="W86" s="111"/>
      <c r="X86" s="111"/>
      <c r="Y86" s="111"/>
      <c r="Z86" s="111"/>
      <c r="AA86" s="111"/>
      <c r="AB86" s="111"/>
      <c r="AC86" s="111"/>
      <c r="AD86" s="111"/>
      <c r="AE86" s="111"/>
      <c r="AF86" s="111"/>
      <c r="AG86" s="111"/>
      <c r="AH86" s="111"/>
      <c r="AI86" s="111"/>
      <c r="AJ86" s="111"/>
      <c r="AK86" s="111"/>
      <c r="AL86" s="111"/>
      <c r="AM86" s="111"/>
      <c r="AN86" s="111"/>
      <c r="AO86" s="111"/>
      <c r="AP86" s="111"/>
      <c r="AQ86" s="111"/>
      <c r="AR86" s="112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>
        <f>IF(G87&lt;&gt;"",SUBTOTAL(3,$G$6:G87),"")</f>
        <v>28</v>
      </c>
      <c r="C87" s="58"/>
      <c r="D87" s="58"/>
      <c r="E87" s="59" t="s">
        <v>139</v>
      </c>
      <c r="F87" s="59" t="s">
        <v>135</v>
      </c>
      <c r="G87" s="60" t="s">
        <v>215</v>
      </c>
      <c r="H87" s="61">
        <v>44053</v>
      </c>
      <c r="I87" s="62">
        <v>0.3</v>
      </c>
      <c r="J87" s="63" t="s">
        <v>271</v>
      </c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 t="s">
        <v>369</v>
      </c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 t="str">
        <f>IF(G88&lt;&gt;"",SUBTOTAL(3,$G$6:G88),"")</f>
        <v/>
      </c>
      <c r="C88" s="58"/>
      <c r="D88" s="58"/>
      <c r="E88" s="59"/>
      <c r="F88" s="59"/>
      <c r="G88" s="60"/>
      <c r="H88" s="61"/>
      <c r="I88" s="68">
        <v>0.3</v>
      </c>
      <c r="J88" s="63" t="s">
        <v>370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272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IF(G89&lt;&gt;"",SUBTOTAL(3,$G$6:G89),"")</f>
        <v/>
      </c>
      <c r="C89" s="58"/>
      <c r="D89" s="58"/>
      <c r="E89" s="59"/>
      <c r="F89" s="59"/>
      <c r="G89" s="60"/>
      <c r="H89" s="61"/>
      <c r="I89" s="68">
        <v>0.3</v>
      </c>
      <c r="J89" s="63" t="s">
        <v>371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IF(G90&lt;&gt;"",SUBTOTAL(3,$G$6:G90),"")</f>
        <v/>
      </c>
      <c r="C90" s="58"/>
      <c r="D90" s="58"/>
      <c r="E90" s="59"/>
      <c r="F90" s="59"/>
      <c r="G90" s="60"/>
      <c r="H90" s="61"/>
      <c r="I90" s="68">
        <v>0.3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/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>
        <f>IF(G91&lt;&gt;"",SUBTOTAL(3,$G$6:G91),"")</f>
        <v>29</v>
      </c>
      <c r="C91" s="58"/>
      <c r="D91" s="58"/>
      <c r="E91" s="59" t="s">
        <v>139</v>
      </c>
      <c r="F91" s="59" t="s">
        <v>135</v>
      </c>
      <c r="G91" s="60" t="s">
        <v>214</v>
      </c>
      <c r="H91" s="61">
        <v>44045</v>
      </c>
      <c r="I91" s="62">
        <v>1</v>
      </c>
      <c r="J91" s="63" t="s">
        <v>273</v>
      </c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275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IF(G92&lt;&gt;"",SUBTOTAL(3,$G$6:G92),"")</f>
        <v/>
      </c>
      <c r="C92" s="58"/>
      <c r="D92" s="58"/>
      <c r="E92" s="59"/>
      <c r="F92" s="59"/>
      <c r="G92" s="60"/>
      <c r="H92" s="61"/>
      <c r="I92" s="70">
        <v>1</v>
      </c>
      <c r="J92" s="63" t="s">
        <v>274</v>
      </c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276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IF(G93&lt;&gt;"",SUBTOTAL(3,$G$6:G93),"")</f>
        <v/>
      </c>
      <c r="C93" s="58"/>
      <c r="D93" s="58"/>
      <c r="E93" s="59"/>
      <c r="F93" s="59"/>
      <c r="G93" s="60"/>
      <c r="H93" s="61"/>
      <c r="I93" s="70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277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IF(G94&lt;&gt;"",SUBTOTAL(3,$G$6:G94),"")</f>
        <v/>
      </c>
      <c r="C94" s="58"/>
      <c r="D94" s="58"/>
      <c r="E94" s="59"/>
      <c r="F94" s="59"/>
      <c r="G94" s="60"/>
      <c r="H94" s="61"/>
      <c r="I94" s="70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278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IF(G95&lt;&gt;"",SUBTOTAL(3,$G$6:G95),"")</f>
        <v/>
      </c>
      <c r="C95" s="58"/>
      <c r="D95" s="58"/>
      <c r="E95" s="59"/>
      <c r="F95" s="59"/>
      <c r="G95" s="60"/>
      <c r="H95" s="61"/>
      <c r="I95" s="70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278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 t="str">
        <f>IF(G96&lt;&gt;"",SUBTOTAL(3,$G$6:G96),"")</f>
        <v/>
      </c>
      <c r="C96" s="58"/>
      <c r="D96" s="58"/>
      <c r="E96" s="59"/>
      <c r="F96" s="59"/>
      <c r="G96" s="60"/>
      <c r="H96" s="61"/>
      <c r="I96" s="70">
        <v>1</v>
      </c>
      <c r="J96" s="63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279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IF(G97&lt;&gt;"",SUBTOTAL(3,$G$6:G97),"")</f>
        <v/>
      </c>
      <c r="C97" s="58"/>
      <c r="D97" s="58"/>
      <c r="E97" s="59"/>
      <c r="F97" s="59"/>
      <c r="G97" s="60"/>
      <c r="H97" s="61"/>
      <c r="I97" s="70">
        <v>1</v>
      </c>
      <c r="J97" s="63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280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IF(G98&lt;&gt;"",SUBTOTAL(3,$G$6:G98),"")</f>
        <v/>
      </c>
      <c r="C98" s="58"/>
      <c r="D98" s="58"/>
      <c r="E98" s="59"/>
      <c r="F98" s="59"/>
      <c r="G98" s="60"/>
      <c r="H98" s="61"/>
      <c r="I98" s="70">
        <v>1</v>
      </c>
      <c r="J98" s="63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281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>
        <f>IF(G99&lt;&gt;"",SUBTOTAL(3,$G$6:G99),"")</f>
        <v>30</v>
      </c>
      <c r="C99" s="58"/>
      <c r="D99" s="58"/>
      <c r="E99" s="59" t="s">
        <v>139</v>
      </c>
      <c r="F99" s="59" t="s">
        <v>135</v>
      </c>
      <c r="G99" s="60" t="s">
        <v>211</v>
      </c>
      <c r="H99" s="61">
        <v>44045</v>
      </c>
      <c r="I99" s="62">
        <v>0.8</v>
      </c>
      <c r="J99" s="63" t="s">
        <v>282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287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IF(G100&lt;&gt;"",SUBTOTAL(3,$G$6:G100),"")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283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288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IF(G101&lt;&gt;"",SUBTOTAL(3,$G$6:G101),"")</f>
        <v/>
      </c>
      <c r="C101" s="58"/>
      <c r="D101" s="58"/>
      <c r="E101" s="59"/>
      <c r="F101" s="59"/>
      <c r="G101" s="60"/>
      <c r="H101" s="61"/>
      <c r="I101" s="68">
        <v>0.8</v>
      </c>
      <c r="J101" s="63" t="s">
        <v>284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289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IF(G102&lt;&gt;"",SUBTOTAL(3,$G$6:G102),"")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 t="s">
        <v>285</v>
      </c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292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IF(G103&lt;&gt;"",SUBTOTAL(3,$G$6:G103),"")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 t="s">
        <v>286</v>
      </c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 t="s">
        <v>293</v>
      </c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 t="str">
        <f>IF(G104&lt;&gt;"",SUBTOTAL(3,$G$6:G104),"")</f>
        <v/>
      </c>
      <c r="C104" s="58"/>
      <c r="D104" s="58"/>
      <c r="E104" s="59"/>
      <c r="F104" s="59"/>
      <c r="G104" s="60"/>
      <c r="H104" s="61"/>
      <c r="I104" s="68">
        <v>0.8</v>
      </c>
      <c r="J104" s="71" t="s">
        <v>212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 t="s">
        <v>290</v>
      </c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IF(G105&lt;&gt;"",SUBTOTAL(3,$G$6:G105),"")</f>
        <v/>
      </c>
      <c r="C105" s="58"/>
      <c r="D105" s="58"/>
      <c r="E105" s="59"/>
      <c r="F105" s="59"/>
      <c r="G105" s="60"/>
      <c r="H105" s="61"/>
      <c r="I105" s="68">
        <v>0.8</v>
      </c>
      <c r="J105" s="63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 t="s">
        <v>291</v>
      </c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IF(G106&lt;&gt;"",SUBTOTAL(3,$G$6:G106),"")</f>
        <v/>
      </c>
      <c r="C106" s="58"/>
      <c r="D106" s="58"/>
      <c r="E106" s="59"/>
      <c r="F106" s="59"/>
      <c r="G106" s="60"/>
      <c r="H106" s="61"/>
      <c r="I106" s="68">
        <v>0.8</v>
      </c>
      <c r="J106" s="63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>
        <f>IF(G107&lt;&gt;"",SUBTOTAL(3,$G$6:G107),"")</f>
        <v>31</v>
      </c>
      <c r="C107" s="58"/>
      <c r="D107" s="58"/>
      <c r="E107" s="59" t="s">
        <v>139</v>
      </c>
      <c r="F107" s="59" t="s">
        <v>135</v>
      </c>
      <c r="G107" s="60" t="s">
        <v>210</v>
      </c>
      <c r="H107" s="61">
        <v>44045</v>
      </c>
      <c r="I107" s="62">
        <v>1</v>
      </c>
      <c r="J107" s="63" t="s">
        <v>294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IF(G108&lt;&gt;"",SUBTOTAL(3,$G$6:G108),"")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295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IF(G109&lt;&gt;"",SUBTOTAL(3,$G$6:G109),"")</f>
        <v/>
      </c>
      <c r="C109" s="58"/>
      <c r="D109" s="58"/>
      <c r="E109" s="59"/>
      <c r="F109" s="59"/>
      <c r="G109" s="60"/>
      <c r="H109" s="61"/>
      <c r="I109" s="70">
        <v>1</v>
      </c>
      <c r="J109" s="63" t="s">
        <v>296</v>
      </c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 t="str">
        <f>IF(G110&lt;&gt;"",SUBTOTAL(3,$G$6:G110),"")</f>
        <v/>
      </c>
      <c r="C110" s="58"/>
      <c r="D110" s="58"/>
      <c r="E110" s="59"/>
      <c r="F110" s="59"/>
      <c r="G110" s="60"/>
      <c r="H110" s="61"/>
      <c r="I110" s="70">
        <v>1</v>
      </c>
      <c r="J110" s="63" t="s">
        <v>297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IF(G111&lt;&gt;"",SUBTOTAL(3,$G$6:G111),"")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298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IF(G112&lt;&gt;"",SUBTOTAL(3,$G$6:G112),"")</f>
        <v/>
      </c>
      <c r="C112" s="58"/>
      <c r="D112" s="58"/>
      <c r="E112" s="59"/>
      <c r="F112" s="59"/>
      <c r="G112" s="60"/>
      <c r="H112" s="61"/>
      <c r="I112" s="70">
        <v>1</v>
      </c>
      <c r="J112" s="63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>
        <f>IF(G113&lt;&gt;"",SUBTOTAL(3,$G$6:G113),"")</f>
        <v>32</v>
      </c>
      <c r="C113" s="58"/>
      <c r="D113" s="58"/>
      <c r="E113" s="59" t="s">
        <v>139</v>
      </c>
      <c r="F113" s="59" t="s">
        <v>135</v>
      </c>
      <c r="G113" s="60" t="s">
        <v>209</v>
      </c>
      <c r="H113" s="61">
        <v>44044</v>
      </c>
      <c r="I113" s="62">
        <v>1</v>
      </c>
      <c r="J113" s="63" t="s">
        <v>485</v>
      </c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275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IF(G114&lt;&gt;"",SUBTOTAL(3,$G$6:G114),"")</f>
        <v/>
      </c>
      <c r="C114" s="58"/>
      <c r="D114" s="58"/>
      <c r="E114" s="59"/>
      <c r="F114" s="59"/>
      <c r="G114" s="60"/>
      <c r="H114" s="61"/>
      <c r="I114" s="70">
        <v>1</v>
      </c>
      <c r="J114" s="63" t="s">
        <v>486</v>
      </c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372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IF(G115&lt;&gt;"",SUBTOTAL(3,$G$6:G115),"")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373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IF(G116&lt;&gt;"",SUBTOTAL(3,$G$6:G116),"")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374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IF(G117&lt;&gt;"",SUBTOTAL(3,$G$6:G117),"")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375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IF(G118&lt;&gt;"",SUBTOTAL(3,$G$6:G118),"")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279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IF(G119&lt;&gt;"",SUBTOTAL(3,$G$6:G119),"")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 t="s">
        <v>299</v>
      </c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IF(G120&lt;&gt;"",SUBTOTAL(3,$G$6:G120),"")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 t="s">
        <v>300</v>
      </c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 t="str">
        <f>IF(G121&lt;&gt;"",SUBTOTAL(3,$G$6:G121),"")</f>
        <v/>
      </c>
      <c r="C121" s="58"/>
      <c r="D121" s="58"/>
      <c r="E121" s="59"/>
      <c r="F121" s="59"/>
      <c r="G121" s="60"/>
      <c r="H121" s="61"/>
      <c r="I121" s="70">
        <v>1</v>
      </c>
      <c r="J121" s="63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301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IF(G122&lt;&gt;"",SUBTOTAL(3,$G$6:G122),"")</f>
        <v/>
      </c>
      <c r="C122" s="58"/>
      <c r="D122" s="58"/>
      <c r="E122" s="59"/>
      <c r="F122" s="59"/>
      <c r="G122" s="60"/>
      <c r="H122" s="61"/>
      <c r="I122" s="70">
        <v>1</v>
      </c>
      <c r="J122" s="63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IF(G123&lt;&gt;"",SUBTOTAL(3,$G$6:G123),"")</f>
        <v/>
      </c>
      <c r="C123" s="58"/>
      <c r="D123" s="58"/>
      <c r="E123" s="59"/>
      <c r="F123" s="59"/>
      <c r="G123" s="60"/>
      <c r="H123" s="61"/>
      <c r="I123" s="70">
        <v>1</v>
      </c>
      <c r="J123" s="63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>
        <f>IF(G124&lt;&gt;"",SUBTOTAL(3,$G$6:G124),"")</f>
        <v>33</v>
      </c>
      <c r="C124" s="58"/>
      <c r="D124" s="58"/>
      <c r="E124" s="59" t="s">
        <v>139</v>
      </c>
      <c r="F124" s="59" t="s">
        <v>135</v>
      </c>
      <c r="G124" s="60" t="s">
        <v>208</v>
      </c>
      <c r="H124" s="61">
        <v>44038</v>
      </c>
      <c r="I124" s="62">
        <v>1</v>
      </c>
      <c r="J124" s="63" t="s">
        <v>302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 t="s">
        <v>275</v>
      </c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IF(G125&lt;&gt;"",SUBTOTAL(3,$G$6:G125),"")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303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 t="s">
        <v>376</v>
      </c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IF(G126&lt;&gt;"",SUBTOTAL(3,$G$6:G126),"")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347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IF(G127&lt;&gt;"",SUBTOTAL(3,$G$6:G127),"")</f>
        <v/>
      </c>
      <c r="C127" s="58"/>
      <c r="D127" s="58"/>
      <c r="E127" s="59"/>
      <c r="F127" s="59"/>
      <c r="G127" s="60"/>
      <c r="H127" s="61"/>
      <c r="I127" s="70">
        <v>1</v>
      </c>
      <c r="J127" s="63" t="s">
        <v>348</v>
      </c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 t="str">
        <f>IF(G128&lt;&gt;"",SUBTOTAL(3,$G$6:G128),"")</f>
        <v/>
      </c>
      <c r="C128" s="58"/>
      <c r="D128" s="58"/>
      <c r="E128" s="59"/>
      <c r="F128" s="59"/>
      <c r="G128" s="60"/>
      <c r="H128" s="61"/>
      <c r="I128" s="70">
        <v>1</v>
      </c>
      <c r="J128" s="63" t="s">
        <v>304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/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0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IF(G129&lt;&gt;"",SUBTOTAL(3,$G$6:G129),"")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305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0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IF(G130&lt;&gt;"",SUBTOTAL(3,$G$6:G130),"")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0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>
        <f>IF(G131&lt;&gt;"",SUBTOTAL(3,$G$6:G131),"")</f>
        <v>34</v>
      </c>
      <c r="C131" s="58"/>
      <c r="D131" s="58"/>
      <c r="E131" s="59" t="s">
        <v>139</v>
      </c>
      <c r="F131" s="59" t="s">
        <v>135</v>
      </c>
      <c r="G131" s="60" t="s">
        <v>207</v>
      </c>
      <c r="H131" s="61">
        <v>44038</v>
      </c>
      <c r="I131" s="62">
        <v>1</v>
      </c>
      <c r="J131" s="63" t="s">
        <v>377</v>
      </c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275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IF(G132&lt;&gt;"",SUBTOTAL(3,$G$6:G132),"")</f>
        <v/>
      </c>
      <c r="C132" s="58"/>
      <c r="D132" s="58"/>
      <c r="E132" s="59"/>
      <c r="F132" s="59"/>
      <c r="G132" s="60"/>
      <c r="H132" s="61"/>
      <c r="I132" s="70">
        <v>1</v>
      </c>
      <c r="J132" s="63" t="s">
        <v>378</v>
      </c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306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IF(G133&lt;&gt;"",SUBTOTAL(3,$G$6:G133),"")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 t="s">
        <v>379</v>
      </c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 t="str">
        <f>IF(G134&lt;&gt;"",SUBTOTAL(3,$G$6:G134),"")</f>
        <v/>
      </c>
      <c r="C134" s="58"/>
      <c r="D134" s="58"/>
      <c r="E134" s="59"/>
      <c r="F134" s="59"/>
      <c r="G134" s="60"/>
      <c r="H134" s="61"/>
      <c r="I134" s="70">
        <v>1</v>
      </c>
      <c r="J134" s="63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380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IF(G135&lt;&gt;"",SUBTOTAL(3,$G$6:G135),"")</f>
        <v/>
      </c>
      <c r="C135" s="58"/>
      <c r="D135" s="58"/>
      <c r="E135" s="59"/>
      <c r="F135" s="59"/>
      <c r="G135" s="60"/>
      <c r="H135" s="61"/>
      <c r="I135" s="70">
        <v>1</v>
      </c>
      <c r="J135" s="63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381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IF(G136&lt;&gt;"",SUBTOTAL(3,$G$6:G136),"")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x14ac:dyDescent="0.15">
      <c r="B137" s="58">
        <f>IF(G137&lt;&gt;"",SUBTOTAL(3,$G$6:G137),"")</f>
        <v>35</v>
      </c>
      <c r="C137" s="58"/>
      <c r="D137" s="58"/>
      <c r="E137" s="59" t="s">
        <v>139</v>
      </c>
      <c r="F137" s="59" t="s">
        <v>135</v>
      </c>
      <c r="G137" s="60" t="s">
        <v>160</v>
      </c>
      <c r="H137" s="61">
        <v>43960</v>
      </c>
      <c r="I137" s="62">
        <v>1</v>
      </c>
      <c r="J137" s="63" t="s">
        <v>307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3" t="s">
        <v>275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7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IF(G138&lt;&gt;"",SUBTOTAL(3,$G$6:G138),"")</f>
        <v/>
      </c>
      <c r="C138" s="58"/>
      <c r="D138" s="58"/>
      <c r="E138" s="59"/>
      <c r="F138" s="59"/>
      <c r="G138" s="60"/>
      <c r="H138" s="61"/>
      <c r="I138" s="70">
        <v>1</v>
      </c>
      <c r="J138" s="63" t="s">
        <v>308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3" t="s">
        <v>382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7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IF(G139&lt;&gt;"",SUBTOTAL(3,$G$6:G139),"")</f>
        <v/>
      </c>
      <c r="C139" s="58"/>
      <c r="D139" s="58"/>
      <c r="E139" s="59"/>
      <c r="F139" s="59"/>
      <c r="G139" s="60"/>
      <c r="H139" s="61"/>
      <c r="I139" s="70">
        <v>1</v>
      </c>
      <c r="J139" s="63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3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7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ht="15.75" x14ac:dyDescent="0.15">
      <c r="B140" s="58">
        <f>IF(G140&lt;&gt;"",SUBTOTAL(3,$G$6:G140),"")</f>
        <v>36</v>
      </c>
      <c r="C140" s="58"/>
      <c r="D140" s="58"/>
      <c r="E140" s="59" t="s">
        <v>139</v>
      </c>
      <c r="F140" s="59" t="s">
        <v>135</v>
      </c>
      <c r="G140" s="60" t="s">
        <v>161</v>
      </c>
      <c r="H140" s="61">
        <v>44036</v>
      </c>
      <c r="I140" s="62">
        <v>0.3</v>
      </c>
      <c r="J140" s="63" t="s">
        <v>309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 t="s">
        <v>356</v>
      </c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IF(G141&lt;&gt;"",SUBTOTAL(3,$G$6:G141),"")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354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 t="s">
        <v>275</v>
      </c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IF(G142&lt;&gt;"",SUBTOTAL(3,$G$6:G142),"")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 t="s">
        <v>355</v>
      </c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 t="s">
        <v>311</v>
      </c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IF(G143&lt;&gt;"",SUBTOTAL(3,$G$6:G143),"")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 t="s">
        <v>349</v>
      </c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 t="str">
        <f>IF(G144&lt;&gt;"",SUBTOTAL(3,$G$6:G144),"")</f>
        <v/>
      </c>
      <c r="C144" s="58"/>
      <c r="D144" s="58"/>
      <c r="E144" s="59"/>
      <c r="F144" s="59"/>
      <c r="G144" s="60"/>
      <c r="H144" s="61"/>
      <c r="I144" s="68">
        <v>0.3</v>
      </c>
      <c r="J144" s="63" t="s">
        <v>310</v>
      </c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 t="str">
        <f>IF(G145&lt;&gt;"",SUBTOTAL(3,$G$6:G145),"")</f>
        <v/>
      </c>
      <c r="C145" s="58"/>
      <c r="D145" s="58"/>
      <c r="E145" s="59"/>
      <c r="F145" s="59"/>
      <c r="G145" s="60"/>
      <c r="H145" s="61"/>
      <c r="I145" s="68">
        <v>0.3</v>
      </c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 t="str">
        <f>IF(G146&lt;&gt;"",SUBTOTAL(3,$G$6:G146),"")</f>
        <v/>
      </c>
      <c r="C146" s="58"/>
      <c r="D146" s="58"/>
      <c r="E146" s="59"/>
      <c r="F146" s="59"/>
      <c r="G146" s="60"/>
      <c r="H146" s="61"/>
      <c r="I146" s="68">
        <v>0.3</v>
      </c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IF(G147&lt;&gt;"",SUBTOTAL(3,$G$6:G147),"")</f>
        <v>37</v>
      </c>
      <c r="C147" s="58"/>
      <c r="D147" s="58"/>
      <c r="E147" s="105" t="s">
        <v>139</v>
      </c>
      <c r="F147" s="105" t="s">
        <v>135</v>
      </c>
      <c r="G147" s="106" t="s">
        <v>162</v>
      </c>
      <c r="H147" s="103">
        <v>44013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IF(G148&lt;&gt;"",SUBTOTAL(3,$G$6:G148),"")</f>
        <v>38</v>
      </c>
      <c r="C148" s="58"/>
      <c r="D148" s="58"/>
      <c r="E148" s="105" t="s">
        <v>139</v>
      </c>
      <c r="F148" s="105" t="s">
        <v>135</v>
      </c>
      <c r="G148" s="106" t="s">
        <v>163</v>
      </c>
      <c r="H148" s="103">
        <v>44010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IF(G149&lt;&gt;"",SUBTOTAL(3,$G$6:G149),"")</f>
        <v>39</v>
      </c>
      <c r="C149" s="58"/>
      <c r="D149" s="58"/>
      <c r="E149" s="105" t="s">
        <v>139</v>
      </c>
      <c r="F149" s="105" t="s">
        <v>135</v>
      </c>
      <c r="G149" s="106" t="s">
        <v>164</v>
      </c>
      <c r="H149" s="103">
        <v>44007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IF(G150&lt;&gt;"",SUBTOTAL(3,$G$6:G150),"")</f>
        <v>40</v>
      </c>
      <c r="C150" s="58"/>
      <c r="D150" s="58"/>
      <c r="E150" s="105" t="s">
        <v>139</v>
      </c>
      <c r="F150" s="105" t="s">
        <v>135</v>
      </c>
      <c r="G150" s="106" t="s">
        <v>165</v>
      </c>
      <c r="H150" s="103">
        <v>44006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IF(G151&lt;&gt;"",SUBTOTAL(3,$G$6:G151),"")</f>
        <v>41</v>
      </c>
      <c r="C151" s="58"/>
      <c r="D151" s="58"/>
      <c r="E151" s="105" t="s">
        <v>139</v>
      </c>
      <c r="F151" s="105" t="s">
        <v>135</v>
      </c>
      <c r="G151" s="106" t="s">
        <v>166</v>
      </c>
      <c r="H151" s="103">
        <v>44003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IF(G152&lt;&gt;"",SUBTOTAL(3,$G$6:G152),"")</f>
        <v>42</v>
      </c>
      <c r="C152" s="58"/>
      <c r="D152" s="58"/>
      <c r="E152" s="105" t="s">
        <v>139</v>
      </c>
      <c r="F152" s="105" t="s">
        <v>135</v>
      </c>
      <c r="G152" s="106" t="s">
        <v>167</v>
      </c>
      <c r="H152" s="103">
        <v>44000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IF(G153&lt;&gt;"",SUBTOTAL(3,$G$6:G153),"")</f>
        <v>43</v>
      </c>
      <c r="C153" s="58"/>
      <c r="D153" s="58"/>
      <c r="E153" s="105" t="s">
        <v>139</v>
      </c>
      <c r="F153" s="105" t="s">
        <v>135</v>
      </c>
      <c r="G153" s="106" t="s">
        <v>168</v>
      </c>
      <c r="H153" s="103">
        <v>43996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IF(G154&lt;&gt;"",SUBTOTAL(3,$G$6:G154),"")</f>
        <v>44</v>
      </c>
      <c r="C154" s="58"/>
      <c r="D154" s="58"/>
      <c r="E154" s="105" t="s">
        <v>139</v>
      </c>
      <c r="F154" s="105" t="s">
        <v>135</v>
      </c>
      <c r="G154" s="106" t="s">
        <v>169</v>
      </c>
      <c r="H154" s="103">
        <v>43996</v>
      </c>
      <c r="I154" s="62"/>
      <c r="J154" s="63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58">
        <f>IF(G155&lt;&gt;"",SUBTOTAL(3,$G$6:G155),"")</f>
        <v>45</v>
      </c>
      <c r="C155" s="58"/>
      <c r="D155" s="58"/>
      <c r="E155" s="105" t="s">
        <v>139</v>
      </c>
      <c r="F155" s="105" t="s">
        <v>135</v>
      </c>
      <c r="G155" s="106" t="s">
        <v>170</v>
      </c>
      <c r="H155" s="103">
        <v>43996</v>
      </c>
      <c r="I155" s="62"/>
      <c r="J155" s="63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58">
        <f>IF(G156&lt;&gt;"",SUBTOTAL(3,$G$6:G156),"")</f>
        <v>46</v>
      </c>
      <c r="C156" s="58"/>
      <c r="D156" s="58"/>
      <c r="E156" s="105" t="s">
        <v>139</v>
      </c>
      <c r="F156" s="105" t="s">
        <v>135</v>
      </c>
      <c r="G156" s="106" t="s">
        <v>171</v>
      </c>
      <c r="H156" s="103">
        <v>43995</v>
      </c>
      <c r="I156" s="62"/>
      <c r="J156" s="63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x14ac:dyDescent="0.15">
      <c r="B157" s="58">
        <f>IF(G157&lt;&gt;"",SUBTOTAL(3,$G$6:G157),"")</f>
        <v>47</v>
      </c>
      <c r="C157" s="58"/>
      <c r="D157" s="58"/>
      <c r="E157" s="59" t="s">
        <v>139</v>
      </c>
      <c r="F157" s="59" t="s">
        <v>135</v>
      </c>
      <c r="G157" s="60" t="s">
        <v>172</v>
      </c>
      <c r="H157" s="61">
        <v>43995</v>
      </c>
      <c r="I157" s="62">
        <v>1</v>
      </c>
      <c r="J157" s="63" t="s">
        <v>430</v>
      </c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5"/>
      <c r="AS157" s="63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5"/>
      <c r="CB157" s="60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</row>
    <row r="158" spans="2:130" x14ac:dyDescent="0.15">
      <c r="B158" s="99" t="str">
        <f>IF(G158&lt;&gt;"",SUBTOTAL(3,$G$6:G158),"")</f>
        <v/>
      </c>
      <c r="C158" s="58"/>
      <c r="D158" s="58"/>
      <c r="E158" s="59"/>
      <c r="F158" s="59"/>
      <c r="G158" s="60"/>
      <c r="H158" s="61"/>
      <c r="I158" s="70">
        <v>1</v>
      </c>
      <c r="J158" s="63" t="s">
        <v>428</v>
      </c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5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60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</row>
    <row r="159" spans="2:130" x14ac:dyDescent="0.15">
      <c r="B159" s="99" t="str">
        <f>IF(G159&lt;&gt;"",SUBTOTAL(3,$G$6:G159),"")</f>
        <v/>
      </c>
      <c r="C159" s="58"/>
      <c r="D159" s="58"/>
      <c r="E159" s="59"/>
      <c r="F159" s="59"/>
      <c r="G159" s="60"/>
      <c r="H159" s="61"/>
      <c r="I159" s="70">
        <v>1</v>
      </c>
      <c r="J159" s="63" t="s">
        <v>429</v>
      </c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5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60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</row>
    <row r="160" spans="2:130" x14ac:dyDescent="0.15">
      <c r="B160" s="99" t="str">
        <f>IF(G160&lt;&gt;"",SUBTOTAL(3,$G$6:G160),"")</f>
        <v/>
      </c>
      <c r="C160" s="58"/>
      <c r="D160" s="58"/>
      <c r="E160" s="59"/>
      <c r="F160" s="59"/>
      <c r="G160" s="60"/>
      <c r="H160" s="61"/>
      <c r="I160" s="70">
        <v>1</v>
      </c>
      <c r="J160" s="63"/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5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60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</row>
    <row r="161" spans="2:130" x14ac:dyDescent="0.15">
      <c r="B161" s="58">
        <f>IF(G161&lt;&gt;"",SUBTOTAL(3,$G$6:G161),"")</f>
        <v>48</v>
      </c>
      <c r="C161" s="58"/>
      <c r="D161" s="58"/>
      <c r="E161" s="59" t="s">
        <v>139</v>
      </c>
      <c r="F161" s="59" t="s">
        <v>135</v>
      </c>
      <c r="G161" s="74" t="s">
        <v>173</v>
      </c>
      <c r="H161" s="61">
        <v>43982</v>
      </c>
      <c r="I161" s="62">
        <v>1</v>
      </c>
      <c r="J161" s="63" t="s">
        <v>448</v>
      </c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5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60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</row>
    <row r="162" spans="2:130" x14ac:dyDescent="0.15">
      <c r="B162" s="99" t="str">
        <f>IF(G162&lt;&gt;"",SUBTOTAL(3,$G$6:G162),"")</f>
        <v/>
      </c>
      <c r="C162" s="58"/>
      <c r="D162" s="58"/>
      <c r="E162" s="59"/>
      <c r="F162" s="59"/>
      <c r="G162" s="74"/>
      <c r="H162" s="61"/>
      <c r="I162" s="70">
        <v>1</v>
      </c>
      <c r="J162" s="63" t="s">
        <v>449</v>
      </c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5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60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</row>
    <row r="163" spans="2:130" x14ac:dyDescent="0.15">
      <c r="B163" s="99" t="str">
        <f>IF(G163&lt;&gt;"",SUBTOTAL(3,$G$6:G163),"")</f>
        <v/>
      </c>
      <c r="C163" s="58"/>
      <c r="D163" s="58"/>
      <c r="E163" s="59"/>
      <c r="F163" s="59"/>
      <c r="G163" s="74"/>
      <c r="H163" s="61"/>
      <c r="I163" s="70">
        <v>1</v>
      </c>
      <c r="J163" s="63" t="s">
        <v>450</v>
      </c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5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60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</row>
    <row r="164" spans="2:130" x14ac:dyDescent="0.15">
      <c r="B164" s="99" t="str">
        <f>IF(G164&lt;&gt;"",SUBTOTAL(3,$G$6:G164),"")</f>
        <v/>
      </c>
      <c r="C164" s="58"/>
      <c r="D164" s="58"/>
      <c r="E164" s="59"/>
      <c r="F164" s="59"/>
      <c r="G164" s="74"/>
      <c r="H164" s="61"/>
      <c r="I164" s="70">
        <v>1</v>
      </c>
      <c r="J164" s="63" t="s">
        <v>451</v>
      </c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5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60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4"/>
      <c r="CV164" s="64"/>
      <c r="CW164" s="64"/>
      <c r="CX164" s="64"/>
      <c r="CY164" s="64"/>
      <c r="CZ164" s="64"/>
      <c r="DA164" s="64"/>
      <c r="DB164" s="64"/>
      <c r="DC164" s="64"/>
      <c r="DD164" s="64"/>
      <c r="DE164" s="64"/>
      <c r="DF164" s="64"/>
      <c r="DG164" s="64"/>
      <c r="DH164" s="64"/>
      <c r="DI164" s="64"/>
      <c r="DJ164" s="64"/>
      <c r="DK164" s="64"/>
      <c r="DL164" s="64"/>
      <c r="DM164" s="64"/>
      <c r="DN164" s="64"/>
      <c r="DO164" s="64"/>
      <c r="DP164" s="64"/>
      <c r="DQ164" s="64"/>
      <c r="DR164" s="64"/>
      <c r="DS164" s="64"/>
      <c r="DT164" s="64"/>
      <c r="DU164" s="64"/>
      <c r="DV164" s="64"/>
      <c r="DW164" s="64"/>
      <c r="DX164" s="64"/>
      <c r="DY164" s="64"/>
      <c r="DZ164" s="64"/>
    </row>
    <row r="165" spans="2:130" x14ac:dyDescent="0.15">
      <c r="B165" s="99" t="str">
        <f>IF(G165&lt;&gt;"",SUBTOTAL(3,$G$6:G165),"")</f>
        <v/>
      </c>
      <c r="C165" s="58"/>
      <c r="D165" s="58"/>
      <c r="E165" s="59"/>
      <c r="F165" s="59"/>
      <c r="G165" s="74"/>
      <c r="H165" s="61"/>
      <c r="I165" s="70">
        <v>1</v>
      </c>
      <c r="J165" s="63"/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5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60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4"/>
      <c r="CV165" s="64"/>
      <c r="CW165" s="64"/>
      <c r="CX165" s="64"/>
      <c r="CY165" s="64"/>
      <c r="CZ165" s="64"/>
      <c r="DA165" s="64"/>
      <c r="DB165" s="64"/>
      <c r="DC165" s="64"/>
      <c r="DD165" s="64"/>
      <c r="DE165" s="64"/>
      <c r="DF165" s="64"/>
      <c r="DG165" s="64"/>
      <c r="DH165" s="64"/>
      <c r="DI165" s="64"/>
      <c r="DJ165" s="64"/>
      <c r="DK165" s="64"/>
      <c r="DL165" s="64"/>
      <c r="DM165" s="64"/>
      <c r="DN165" s="64"/>
      <c r="DO165" s="64"/>
      <c r="DP165" s="64"/>
      <c r="DQ165" s="64"/>
      <c r="DR165" s="64"/>
      <c r="DS165" s="64"/>
      <c r="DT165" s="64"/>
      <c r="DU165" s="64"/>
      <c r="DV165" s="64"/>
      <c r="DW165" s="64"/>
      <c r="DX165" s="64"/>
      <c r="DY165" s="64"/>
      <c r="DZ165" s="64"/>
    </row>
    <row r="166" spans="2:130" s="46" customFormat="1" ht="13.5" customHeight="1" x14ac:dyDescent="0.15">
      <c r="B166" s="75">
        <f>IF(G166&lt;&gt;"",SUBTOTAL(3,$G$6:G166),"")</f>
        <v>49</v>
      </c>
      <c r="C166" s="75"/>
      <c r="D166" s="75"/>
      <c r="E166" s="76" t="s">
        <v>139</v>
      </c>
      <c r="F166" s="76" t="s">
        <v>135</v>
      </c>
      <c r="G166" s="74" t="s">
        <v>174</v>
      </c>
      <c r="H166" s="61">
        <v>43995</v>
      </c>
      <c r="I166" s="62">
        <v>1</v>
      </c>
      <c r="J166" s="77" t="s">
        <v>418</v>
      </c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78"/>
      <c r="AS166" s="77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43"/>
      <c r="BN166" s="43"/>
      <c r="BO166" s="43"/>
      <c r="BP166" s="43"/>
      <c r="BQ166" s="43"/>
      <c r="BR166" s="43"/>
      <c r="BS166" s="43"/>
      <c r="BT166" s="43"/>
      <c r="BU166" s="43"/>
      <c r="BV166" s="43"/>
      <c r="BW166" s="43"/>
      <c r="BX166" s="43"/>
      <c r="BY166" s="43"/>
      <c r="BZ166" s="43"/>
      <c r="CA166" s="78"/>
      <c r="CB166" s="74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43"/>
      <c r="CY166" s="43"/>
      <c r="CZ166" s="43"/>
      <c r="DA166" s="43"/>
      <c r="DB166" s="43"/>
      <c r="DC166" s="43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</row>
    <row r="167" spans="2:130" s="46" customFormat="1" ht="13.5" customHeight="1" x14ac:dyDescent="0.15">
      <c r="B167" s="99" t="str">
        <f>IF(G167&lt;&gt;"",SUBTOTAL(3,$G$6:G167),"")</f>
        <v/>
      </c>
      <c r="C167" s="75"/>
      <c r="D167" s="75"/>
      <c r="E167" s="76"/>
      <c r="F167" s="76"/>
      <c r="G167" s="74"/>
      <c r="H167" s="61"/>
      <c r="I167" s="70">
        <v>1</v>
      </c>
      <c r="J167" s="77" t="s">
        <v>419</v>
      </c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78"/>
      <c r="AS167" s="77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43"/>
      <c r="BN167" s="43"/>
      <c r="BO167" s="43"/>
      <c r="BP167" s="43"/>
      <c r="BQ167" s="43"/>
      <c r="BR167" s="43"/>
      <c r="BS167" s="43"/>
      <c r="BT167" s="43"/>
      <c r="BU167" s="43"/>
      <c r="BV167" s="43"/>
      <c r="BW167" s="43"/>
      <c r="BX167" s="43"/>
      <c r="BY167" s="43"/>
      <c r="BZ167" s="43"/>
      <c r="CA167" s="78"/>
      <c r="CB167" s="74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</row>
    <row r="168" spans="2:130" s="46" customFormat="1" ht="13.5" customHeight="1" x14ac:dyDescent="0.15">
      <c r="B168" s="99" t="str">
        <f>IF(G168&lt;&gt;"",SUBTOTAL(3,$G$6:G168),"")</f>
        <v/>
      </c>
      <c r="C168" s="75"/>
      <c r="D168" s="75"/>
      <c r="E168" s="76"/>
      <c r="F168" s="76"/>
      <c r="G168" s="74"/>
      <c r="H168" s="61"/>
      <c r="I168" s="70">
        <v>1</v>
      </c>
      <c r="J168" s="77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78"/>
      <c r="AS168" s="77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43"/>
      <c r="BN168" s="43"/>
      <c r="BO168" s="43"/>
      <c r="BP168" s="43"/>
      <c r="BQ168" s="43"/>
      <c r="BR168" s="43"/>
      <c r="BS168" s="43"/>
      <c r="BT168" s="43"/>
      <c r="BU168" s="43"/>
      <c r="BV168" s="43"/>
      <c r="BW168" s="43"/>
      <c r="BX168" s="43"/>
      <c r="BY168" s="43"/>
      <c r="BZ168" s="43"/>
      <c r="CA168" s="78"/>
      <c r="CB168" s="74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</row>
    <row r="169" spans="2:130" s="46" customFormat="1" x14ac:dyDescent="0.15">
      <c r="B169" s="75">
        <f>IF(G169&lt;&gt;"",SUBTOTAL(3,$G$6:G169),"")</f>
        <v>50</v>
      </c>
      <c r="C169" s="75"/>
      <c r="D169" s="75"/>
      <c r="E169" s="76" t="s">
        <v>139</v>
      </c>
      <c r="F169" s="76" t="s">
        <v>135</v>
      </c>
      <c r="G169" s="74" t="s">
        <v>175</v>
      </c>
      <c r="H169" s="61">
        <v>43955</v>
      </c>
      <c r="I169" s="62">
        <v>1</v>
      </c>
      <c r="J169" s="63" t="s">
        <v>465</v>
      </c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5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74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</row>
    <row r="170" spans="2:130" s="46" customFormat="1" x14ac:dyDescent="0.15">
      <c r="B170" s="75" t="str">
        <f>IF(G170&lt;&gt;"",SUBTOTAL(3,$G$6:G170),"")</f>
        <v/>
      </c>
      <c r="C170" s="75"/>
      <c r="D170" s="75"/>
      <c r="E170" s="76"/>
      <c r="F170" s="76"/>
      <c r="G170" s="74"/>
      <c r="H170" s="61"/>
      <c r="I170" s="70">
        <v>1</v>
      </c>
      <c r="J170" s="63" t="s">
        <v>466</v>
      </c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5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74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</row>
    <row r="171" spans="2:130" s="46" customFormat="1" x14ac:dyDescent="0.15">
      <c r="B171" s="75" t="str">
        <f>IF(G171&lt;&gt;"",SUBTOTAL(3,$G$6:G171),"")</f>
        <v/>
      </c>
      <c r="C171" s="75"/>
      <c r="D171" s="75"/>
      <c r="E171" s="76"/>
      <c r="F171" s="76"/>
      <c r="G171" s="74"/>
      <c r="H171" s="61"/>
      <c r="I171" s="70">
        <v>1</v>
      </c>
      <c r="J171" s="63"/>
      <c r="K171" s="64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  <c r="AA171" s="64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5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74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</row>
    <row r="172" spans="2:130" s="46" customFormat="1" ht="13.5" customHeight="1" x14ac:dyDescent="0.15">
      <c r="B172" s="75">
        <f>IF(G172&lt;&gt;"",SUBTOTAL(3,$G$6:G172),"")</f>
        <v>51</v>
      </c>
      <c r="C172" s="75"/>
      <c r="D172" s="75"/>
      <c r="E172" s="76" t="s">
        <v>139</v>
      </c>
      <c r="F172" s="76" t="s">
        <v>135</v>
      </c>
      <c r="G172" s="74" t="s">
        <v>176</v>
      </c>
      <c r="H172" s="61">
        <v>43967</v>
      </c>
      <c r="I172" s="100">
        <v>1</v>
      </c>
      <c r="J172" s="77" t="s">
        <v>406</v>
      </c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78"/>
      <c r="AS172" s="77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43"/>
      <c r="BN172" s="43"/>
      <c r="BO172" s="43"/>
      <c r="BP172" s="43"/>
      <c r="BQ172" s="43"/>
      <c r="BR172" s="43"/>
      <c r="BS172" s="43"/>
      <c r="BT172" s="43"/>
      <c r="BU172" s="43"/>
      <c r="BV172" s="43"/>
      <c r="BW172" s="43"/>
      <c r="BX172" s="43"/>
      <c r="BY172" s="43"/>
      <c r="BZ172" s="43"/>
      <c r="CA172" s="78"/>
      <c r="CB172" s="74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</row>
    <row r="173" spans="2:130" s="46" customFormat="1" ht="13.5" customHeight="1" x14ac:dyDescent="0.15">
      <c r="B173" s="99" t="str">
        <f>IF(G173&lt;&gt;"",SUBTOTAL(3,$G$6:G173),"")</f>
        <v/>
      </c>
      <c r="C173" s="75"/>
      <c r="D173" s="75"/>
      <c r="E173" s="76"/>
      <c r="F173" s="76"/>
      <c r="G173" s="74"/>
      <c r="H173" s="61"/>
      <c r="I173" s="70">
        <v>1</v>
      </c>
      <c r="J173" s="77" t="s">
        <v>407</v>
      </c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78"/>
      <c r="AS173" s="77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43"/>
      <c r="BO173" s="43"/>
      <c r="BP173" s="43"/>
      <c r="BQ173" s="43"/>
      <c r="BR173" s="43"/>
      <c r="BS173" s="43"/>
      <c r="BT173" s="43"/>
      <c r="BU173" s="43"/>
      <c r="BV173" s="43"/>
      <c r="BW173" s="43"/>
      <c r="BX173" s="43"/>
      <c r="BY173" s="43"/>
      <c r="BZ173" s="43"/>
      <c r="CA173" s="78"/>
      <c r="CB173" s="74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</row>
    <row r="174" spans="2:130" s="46" customFormat="1" ht="13.5" customHeight="1" x14ac:dyDescent="0.15">
      <c r="B174" s="75">
        <f>IF(G174&lt;&gt;"",SUBTOTAL(3,$G$6:G174),"")</f>
        <v>52</v>
      </c>
      <c r="C174" s="75"/>
      <c r="D174" s="75"/>
      <c r="E174" s="76" t="s">
        <v>139</v>
      </c>
      <c r="F174" s="76" t="s">
        <v>135</v>
      </c>
      <c r="G174" s="74" t="s">
        <v>177</v>
      </c>
      <c r="H174" s="61">
        <v>43870</v>
      </c>
      <c r="I174" s="62">
        <v>1</v>
      </c>
      <c r="J174" s="77" t="s">
        <v>403</v>
      </c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78"/>
      <c r="AS174" s="77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43"/>
      <c r="BR174" s="43"/>
      <c r="BS174" s="43"/>
      <c r="BT174" s="43"/>
      <c r="BU174" s="43"/>
      <c r="BV174" s="43"/>
      <c r="BW174" s="43"/>
      <c r="BX174" s="43"/>
      <c r="BY174" s="43"/>
      <c r="BZ174" s="43"/>
      <c r="CA174" s="78"/>
      <c r="CB174" s="74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</row>
    <row r="175" spans="2:130" s="46" customFormat="1" ht="13.5" customHeight="1" x14ac:dyDescent="0.15">
      <c r="B175" s="99" t="str">
        <f>IF(G175&lt;&gt;"",SUBTOTAL(3,$G$6:G175),"")</f>
        <v/>
      </c>
      <c r="C175" s="75"/>
      <c r="D175" s="75"/>
      <c r="E175" s="76"/>
      <c r="F175" s="76"/>
      <c r="G175" s="74"/>
      <c r="H175" s="61"/>
      <c r="I175" s="68"/>
      <c r="J175" s="77" t="s">
        <v>404</v>
      </c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78"/>
      <c r="AS175" s="77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43"/>
      <c r="BO175" s="43"/>
      <c r="BP175" s="43"/>
      <c r="BQ175" s="43"/>
      <c r="BR175" s="43"/>
      <c r="BS175" s="43"/>
      <c r="BT175" s="43"/>
      <c r="BU175" s="43"/>
      <c r="BV175" s="43"/>
      <c r="BW175" s="43"/>
      <c r="BX175" s="43"/>
      <c r="BY175" s="43"/>
      <c r="BZ175" s="43"/>
      <c r="CA175" s="78"/>
      <c r="CB175" s="74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</row>
    <row r="176" spans="2:130" s="46" customFormat="1" ht="13.5" customHeight="1" x14ac:dyDescent="0.15">
      <c r="B176" s="99" t="str">
        <f>IF(G176&lt;&gt;"",SUBTOTAL(3,$G$6:G176),"")</f>
        <v/>
      </c>
      <c r="C176" s="75"/>
      <c r="D176" s="75"/>
      <c r="E176" s="76"/>
      <c r="F176" s="76"/>
      <c r="G176" s="74"/>
      <c r="H176" s="61"/>
      <c r="I176" s="68"/>
      <c r="J176" s="77" t="s">
        <v>405</v>
      </c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78"/>
      <c r="AS176" s="77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78"/>
      <c r="CB176" s="74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</row>
    <row r="177" spans="2:130" s="46" customFormat="1" ht="13.5" customHeight="1" x14ac:dyDescent="0.15">
      <c r="B177" s="99" t="str">
        <f>IF(G177&lt;&gt;"",SUBTOTAL(3,$G$6:G177),"")</f>
        <v/>
      </c>
      <c r="C177" s="75"/>
      <c r="D177" s="75"/>
      <c r="E177" s="76"/>
      <c r="F177" s="76"/>
      <c r="G177" s="74"/>
      <c r="H177" s="61"/>
      <c r="I177" s="68"/>
      <c r="J177" s="77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78"/>
      <c r="AS177" s="77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78"/>
      <c r="CB177" s="74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</row>
    <row r="178" spans="2:130" s="46" customFormat="1" x14ac:dyDescent="0.15">
      <c r="B178" s="75">
        <f>IF(G178&lt;&gt;"",SUBTOTAL(3,$G$6:G178),"")</f>
        <v>53</v>
      </c>
      <c r="C178" s="75"/>
      <c r="D178" s="75"/>
      <c r="E178" s="76" t="s">
        <v>139</v>
      </c>
      <c r="F178" s="76" t="s">
        <v>135</v>
      </c>
      <c r="G178" s="74" t="s">
        <v>178</v>
      </c>
      <c r="H178" s="61">
        <v>43869</v>
      </c>
      <c r="I178" s="62">
        <v>1</v>
      </c>
      <c r="J178" s="77" t="s">
        <v>473</v>
      </c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78"/>
      <c r="AS178" s="77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78"/>
      <c r="CB178" s="74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</row>
    <row r="179" spans="2:130" s="46" customFormat="1" x14ac:dyDescent="0.15">
      <c r="B179" s="99" t="str">
        <f>IF(G179&lt;&gt;"",SUBTOTAL(3,$G$6:G179),"")</f>
        <v/>
      </c>
      <c r="C179" s="75"/>
      <c r="D179" s="75"/>
      <c r="E179" s="76"/>
      <c r="F179" s="76"/>
      <c r="G179" s="74"/>
      <c r="H179" s="61"/>
      <c r="I179" s="70">
        <v>1</v>
      </c>
      <c r="J179" s="77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78"/>
      <c r="AS179" s="77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43"/>
      <c r="BO179" s="43"/>
      <c r="BP179" s="43"/>
      <c r="BQ179" s="43"/>
      <c r="BR179" s="43"/>
      <c r="BS179" s="43"/>
      <c r="BT179" s="43"/>
      <c r="BU179" s="43"/>
      <c r="BV179" s="43"/>
      <c r="BW179" s="43"/>
      <c r="BX179" s="43"/>
      <c r="BY179" s="43"/>
      <c r="BZ179" s="43"/>
      <c r="CA179" s="78"/>
      <c r="CB179" s="74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</row>
    <row r="180" spans="2:130" s="46" customFormat="1" x14ac:dyDescent="0.15">
      <c r="B180" s="75">
        <f>IF(G180&lt;&gt;"",SUBTOTAL(3,$G$6:G180),"")</f>
        <v>54</v>
      </c>
      <c r="C180" s="75"/>
      <c r="D180" s="75"/>
      <c r="E180" s="76" t="s">
        <v>139</v>
      </c>
      <c r="F180" s="76" t="s">
        <v>135</v>
      </c>
      <c r="G180" s="74" t="s">
        <v>89</v>
      </c>
      <c r="H180" s="61">
        <v>43961</v>
      </c>
      <c r="I180" s="62">
        <v>1</v>
      </c>
      <c r="J180" s="107" t="s">
        <v>463</v>
      </c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W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9"/>
      <c r="AS180" s="63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5"/>
      <c r="CB180" s="74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</row>
    <row r="181" spans="2:130" s="46" customFormat="1" x14ac:dyDescent="0.15">
      <c r="B181" s="75" t="str">
        <f>IF(G181&lt;&gt;"",SUBTOTAL(3,$G$6:G181),"")</f>
        <v/>
      </c>
      <c r="C181" s="75"/>
      <c r="D181" s="75"/>
      <c r="E181" s="76"/>
      <c r="F181" s="76"/>
      <c r="G181" s="74"/>
      <c r="H181" s="61"/>
      <c r="I181" s="70">
        <v>1</v>
      </c>
      <c r="J181" s="107" t="s">
        <v>464</v>
      </c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9"/>
      <c r="AS181" s="63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5"/>
      <c r="CB181" s="74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x14ac:dyDescent="0.15">
      <c r="B182" s="75" t="str">
        <f>IF(G182&lt;&gt;"",SUBTOTAL(3,$G$6:G182),"")</f>
        <v/>
      </c>
      <c r="C182" s="75"/>
      <c r="D182" s="75"/>
      <c r="E182" s="76"/>
      <c r="F182" s="76"/>
      <c r="G182" s="74"/>
      <c r="H182" s="61"/>
      <c r="I182" s="70">
        <v>1</v>
      </c>
      <c r="J182" s="107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9"/>
      <c r="AS182" s="63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5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ht="13.5" customHeight="1" x14ac:dyDescent="0.15">
      <c r="B183" s="75">
        <f>IF(G183&lt;&gt;"",SUBTOTAL(3,$G$6:G183),"")</f>
        <v>55</v>
      </c>
      <c r="C183" s="75"/>
      <c r="D183" s="75"/>
      <c r="E183" s="76" t="s">
        <v>139</v>
      </c>
      <c r="F183" s="76" t="s">
        <v>135</v>
      </c>
      <c r="G183" s="74" t="s">
        <v>179</v>
      </c>
      <c r="H183" s="61">
        <v>43961</v>
      </c>
      <c r="I183" s="62">
        <v>1</v>
      </c>
      <c r="J183" s="77" t="s">
        <v>452</v>
      </c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78"/>
      <c r="AS183" s="77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43"/>
      <c r="BR183" s="43"/>
      <c r="BS183" s="43"/>
      <c r="BT183" s="43"/>
      <c r="BU183" s="43"/>
      <c r="BV183" s="43"/>
      <c r="BW183" s="43"/>
      <c r="BX183" s="43"/>
      <c r="BY183" s="43"/>
      <c r="BZ183" s="43"/>
      <c r="CA183" s="78"/>
      <c r="CB183" s="79" t="s">
        <v>13</v>
      </c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ht="13.5" customHeight="1" x14ac:dyDescent="0.15">
      <c r="B184" s="99" t="str">
        <f>IF(G184&lt;&gt;"",SUBTOTAL(3,$G$6:G184),"")</f>
        <v/>
      </c>
      <c r="C184" s="75"/>
      <c r="D184" s="75"/>
      <c r="E184" s="76"/>
      <c r="F184" s="76"/>
      <c r="G184" s="74"/>
      <c r="H184" s="61"/>
      <c r="I184" s="70">
        <v>1</v>
      </c>
      <c r="J184" s="77" t="s">
        <v>453</v>
      </c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78"/>
      <c r="AS184" s="77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43"/>
      <c r="BI184" s="43"/>
      <c r="BJ184" s="43"/>
      <c r="BK184" s="43"/>
      <c r="BL184" s="43"/>
      <c r="BM184" s="43"/>
      <c r="BN184" s="43"/>
      <c r="BO184" s="43"/>
      <c r="BP184" s="43"/>
      <c r="BQ184" s="43"/>
      <c r="BR184" s="43"/>
      <c r="BS184" s="43"/>
      <c r="BT184" s="43"/>
      <c r="BU184" s="43"/>
      <c r="BV184" s="43"/>
      <c r="BW184" s="43"/>
      <c r="BX184" s="43"/>
      <c r="BY184" s="43"/>
      <c r="BZ184" s="43"/>
      <c r="CA184" s="78"/>
      <c r="CB184" s="79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ht="13.5" customHeight="1" x14ac:dyDescent="0.15">
      <c r="B185" s="99" t="str">
        <f>IF(G185&lt;&gt;"",SUBTOTAL(3,$G$6:G185),"")</f>
        <v/>
      </c>
      <c r="C185" s="75"/>
      <c r="D185" s="75"/>
      <c r="E185" s="76"/>
      <c r="F185" s="76"/>
      <c r="G185" s="74"/>
      <c r="H185" s="61"/>
      <c r="I185" s="70">
        <v>1</v>
      </c>
      <c r="J185" s="77" t="s">
        <v>454</v>
      </c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  <c r="AQ185" s="43"/>
      <c r="AR185" s="78"/>
      <c r="AS185" s="77"/>
      <c r="AT185" s="43"/>
      <c r="AU185" s="43"/>
      <c r="AV185" s="43"/>
      <c r="AW185" s="43"/>
      <c r="AX185" s="43"/>
      <c r="AY185" s="43"/>
      <c r="AZ185" s="43"/>
      <c r="BA185" s="43"/>
      <c r="BB185" s="43"/>
      <c r="BC185" s="43"/>
      <c r="BD185" s="43"/>
      <c r="BE185" s="43"/>
      <c r="BF185" s="43"/>
      <c r="BG185" s="43"/>
      <c r="BH185" s="43"/>
      <c r="BI185" s="43"/>
      <c r="BJ185" s="43"/>
      <c r="BK185" s="43"/>
      <c r="BL185" s="43"/>
      <c r="BM185" s="43"/>
      <c r="BN185" s="43"/>
      <c r="BO185" s="43"/>
      <c r="BP185" s="43"/>
      <c r="BQ185" s="43"/>
      <c r="BR185" s="43"/>
      <c r="BS185" s="43"/>
      <c r="BT185" s="43"/>
      <c r="BU185" s="43"/>
      <c r="BV185" s="43"/>
      <c r="BW185" s="43"/>
      <c r="BX185" s="43"/>
      <c r="BY185" s="43"/>
      <c r="BZ185" s="43"/>
      <c r="CA185" s="78"/>
      <c r="CB185" s="79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ht="13.5" customHeight="1" x14ac:dyDescent="0.15">
      <c r="B186" s="99" t="str">
        <f>IF(G186&lt;&gt;"",SUBTOTAL(3,$G$6:G186),"")</f>
        <v/>
      </c>
      <c r="C186" s="75"/>
      <c r="D186" s="75"/>
      <c r="E186" s="76"/>
      <c r="F186" s="76"/>
      <c r="G186" s="74"/>
      <c r="H186" s="61"/>
      <c r="I186" s="70">
        <v>1</v>
      </c>
      <c r="J186" s="77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  <c r="AK186" s="43"/>
      <c r="AL186" s="43"/>
      <c r="AM186" s="43"/>
      <c r="AN186" s="43"/>
      <c r="AO186" s="43"/>
      <c r="AP186" s="43"/>
      <c r="AQ186" s="43"/>
      <c r="AR186" s="78"/>
      <c r="AS186" s="77"/>
      <c r="AT186" s="43"/>
      <c r="AU186" s="43"/>
      <c r="AV186" s="43"/>
      <c r="AW186" s="43"/>
      <c r="AX186" s="43"/>
      <c r="AY186" s="43"/>
      <c r="AZ186" s="43"/>
      <c r="BA186" s="43"/>
      <c r="BB186" s="43"/>
      <c r="BC186" s="43"/>
      <c r="BD186" s="43"/>
      <c r="BE186" s="43"/>
      <c r="BF186" s="43"/>
      <c r="BG186" s="43"/>
      <c r="BH186" s="43"/>
      <c r="BI186" s="43"/>
      <c r="BJ186" s="43"/>
      <c r="BK186" s="43"/>
      <c r="BL186" s="43"/>
      <c r="BM186" s="43"/>
      <c r="BN186" s="43"/>
      <c r="BO186" s="43"/>
      <c r="BP186" s="43"/>
      <c r="BQ186" s="43"/>
      <c r="BR186" s="43"/>
      <c r="BS186" s="43"/>
      <c r="BT186" s="43"/>
      <c r="BU186" s="43"/>
      <c r="BV186" s="43"/>
      <c r="BW186" s="43"/>
      <c r="BX186" s="43"/>
      <c r="BY186" s="43"/>
      <c r="BZ186" s="43"/>
      <c r="CA186" s="78"/>
      <c r="CB186" s="79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ht="13.5" customHeight="1" x14ac:dyDescent="0.15">
      <c r="B187" s="75">
        <f>IF(G187&lt;&gt;"",SUBTOTAL(3,$G$6:G187),"")</f>
        <v>56</v>
      </c>
      <c r="C187" s="75"/>
      <c r="D187" s="75"/>
      <c r="E187" s="76" t="s">
        <v>139</v>
      </c>
      <c r="F187" s="76" t="s">
        <v>135</v>
      </c>
      <c r="G187" s="74" t="s">
        <v>180</v>
      </c>
      <c r="H187" s="61">
        <v>43995</v>
      </c>
      <c r="I187" s="62">
        <v>1</v>
      </c>
      <c r="J187" s="77" t="s">
        <v>420</v>
      </c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78"/>
      <c r="AS187" s="77"/>
      <c r="AT187" s="43"/>
      <c r="AU187" s="43"/>
      <c r="AV187" s="43"/>
      <c r="AW187" s="43"/>
      <c r="AX187" s="43"/>
      <c r="AY187" s="43"/>
      <c r="AZ187" s="43"/>
      <c r="BA187" s="43"/>
      <c r="BB187" s="43"/>
      <c r="BC187" s="43"/>
      <c r="BD187" s="43"/>
      <c r="BE187" s="43"/>
      <c r="BF187" s="43"/>
      <c r="BG187" s="43"/>
      <c r="BH187" s="43"/>
      <c r="BI187" s="43"/>
      <c r="BJ187" s="43"/>
      <c r="BK187" s="43"/>
      <c r="BL187" s="43"/>
      <c r="BM187" s="43"/>
      <c r="BN187" s="43"/>
      <c r="BO187" s="43"/>
      <c r="BP187" s="43"/>
      <c r="BQ187" s="43"/>
      <c r="BR187" s="43"/>
      <c r="BS187" s="43"/>
      <c r="BT187" s="43"/>
      <c r="BU187" s="43"/>
      <c r="BV187" s="43"/>
      <c r="BW187" s="43"/>
      <c r="BX187" s="43"/>
      <c r="BY187" s="43"/>
      <c r="BZ187" s="43"/>
      <c r="CA187" s="78"/>
      <c r="CB187" s="74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ht="13.5" customHeight="1" x14ac:dyDescent="0.15">
      <c r="B188" s="99" t="str">
        <f>IF(G188&lt;&gt;"",SUBTOTAL(3,$G$6:G188),"")</f>
        <v/>
      </c>
      <c r="C188" s="75"/>
      <c r="D188" s="75"/>
      <c r="E188" s="76"/>
      <c r="F188" s="76"/>
      <c r="G188" s="74"/>
      <c r="H188" s="61"/>
      <c r="I188" s="70">
        <v>1</v>
      </c>
      <c r="J188" s="77" t="s">
        <v>421</v>
      </c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78"/>
      <c r="AS188" s="77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78"/>
      <c r="CB188" s="74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ht="13.5" customHeight="1" x14ac:dyDescent="0.15">
      <c r="B189" s="99" t="str">
        <f>IF(G189&lt;&gt;"",SUBTOTAL(3,$G$6:G189),"")</f>
        <v/>
      </c>
      <c r="C189" s="75"/>
      <c r="D189" s="75"/>
      <c r="E189" s="76"/>
      <c r="F189" s="76"/>
      <c r="G189" s="74"/>
      <c r="H189" s="61"/>
      <c r="I189" s="70">
        <v>1</v>
      </c>
      <c r="J189" s="77" t="s">
        <v>422</v>
      </c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78"/>
      <c r="AS189" s="77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78"/>
      <c r="CB189" s="74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ht="13.5" customHeight="1" x14ac:dyDescent="0.15">
      <c r="B190" s="99" t="str">
        <f>IF(G190&lt;&gt;"",SUBTOTAL(3,$G$6:G190),"")</f>
        <v/>
      </c>
      <c r="C190" s="75"/>
      <c r="D190" s="75"/>
      <c r="E190" s="76"/>
      <c r="F190" s="76"/>
      <c r="G190" s="74"/>
      <c r="H190" s="61"/>
      <c r="I190" s="70">
        <v>1</v>
      </c>
      <c r="J190" s="77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78"/>
      <c r="AS190" s="77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78"/>
      <c r="CB190" s="74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ht="13.5" customHeight="1" x14ac:dyDescent="0.15">
      <c r="B191" s="75">
        <f>IF(G191&lt;&gt;"",SUBTOTAL(3,$G$6:G191),"")</f>
        <v>57</v>
      </c>
      <c r="C191" s="75"/>
      <c r="D191" s="75"/>
      <c r="E191" s="76" t="s">
        <v>139</v>
      </c>
      <c r="F191" s="76" t="s">
        <v>135</v>
      </c>
      <c r="G191" s="74" t="s">
        <v>181</v>
      </c>
      <c r="H191" s="61">
        <v>43961</v>
      </c>
      <c r="I191" s="62">
        <v>1</v>
      </c>
      <c r="J191" s="77" t="s">
        <v>455</v>
      </c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78"/>
      <c r="AS191" s="77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78"/>
      <c r="CB191" s="74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ht="13.5" customHeight="1" x14ac:dyDescent="0.15">
      <c r="B192" s="99" t="str">
        <f>IF(G192&lt;&gt;"",SUBTOTAL(3,$G$6:G192),"")</f>
        <v/>
      </c>
      <c r="C192" s="75"/>
      <c r="D192" s="75"/>
      <c r="E192" s="76"/>
      <c r="F192" s="76"/>
      <c r="G192" s="74"/>
      <c r="H192" s="61"/>
      <c r="I192" s="70">
        <v>1</v>
      </c>
      <c r="J192" s="77" t="s">
        <v>456</v>
      </c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78"/>
      <c r="AS192" s="77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78"/>
      <c r="CB192" s="74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ht="13.5" customHeight="1" x14ac:dyDescent="0.15">
      <c r="B193" s="99" t="str">
        <f>IF(G193&lt;&gt;"",SUBTOTAL(3,$G$6:G193),"")</f>
        <v/>
      </c>
      <c r="C193" s="75"/>
      <c r="D193" s="75"/>
      <c r="E193" s="76"/>
      <c r="F193" s="76"/>
      <c r="G193" s="74"/>
      <c r="H193" s="61"/>
      <c r="I193" s="70">
        <v>1</v>
      </c>
      <c r="J193" s="77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78"/>
      <c r="AS193" s="77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78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ht="13.5" customHeight="1" x14ac:dyDescent="0.15">
      <c r="B194" s="75">
        <f>IF(G194&lt;&gt;"",SUBTOTAL(3,$G$6:G194),"")</f>
        <v>58</v>
      </c>
      <c r="C194" s="75"/>
      <c r="D194" s="75"/>
      <c r="E194" s="76" t="s">
        <v>139</v>
      </c>
      <c r="F194" s="76" t="s">
        <v>135</v>
      </c>
      <c r="G194" s="74" t="s">
        <v>182</v>
      </c>
      <c r="H194" s="61">
        <v>43995</v>
      </c>
      <c r="I194" s="62"/>
      <c r="J194" s="77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78"/>
      <c r="AS194" s="77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78"/>
      <c r="CB194" s="74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ht="13.5" customHeight="1" x14ac:dyDescent="0.15">
      <c r="B195" s="75">
        <f>IF(G195&lt;&gt;"",SUBTOTAL(3,$G$6:G195),"")</f>
        <v>59</v>
      </c>
      <c r="C195" s="75"/>
      <c r="D195" s="75"/>
      <c r="E195" s="76" t="s">
        <v>139</v>
      </c>
      <c r="F195" s="76" t="s">
        <v>135</v>
      </c>
      <c r="G195" s="74" t="s">
        <v>183</v>
      </c>
      <c r="H195" s="61">
        <v>44006</v>
      </c>
      <c r="I195" s="62"/>
      <c r="J195" s="77" t="s">
        <v>457</v>
      </c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78"/>
      <c r="AS195" s="77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78"/>
      <c r="CB195" s="79" t="s">
        <v>13</v>
      </c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ht="13.5" customHeight="1" x14ac:dyDescent="0.15">
      <c r="B196" s="99" t="str">
        <f>IF(G196&lt;&gt;"",SUBTOTAL(3,$G$6:G196),"")</f>
        <v/>
      </c>
      <c r="C196" s="75"/>
      <c r="D196" s="75"/>
      <c r="E196" s="76"/>
      <c r="F196" s="76"/>
      <c r="G196" s="74"/>
      <c r="H196" s="61"/>
      <c r="I196" s="68"/>
      <c r="J196" s="77" t="s">
        <v>458</v>
      </c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78"/>
      <c r="AS196" s="77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78"/>
      <c r="CB196" s="79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ht="13.5" customHeight="1" x14ac:dyDescent="0.15">
      <c r="B197" s="99" t="str">
        <f>IF(G197&lt;&gt;"",SUBTOTAL(3,$G$6:G197),"")</f>
        <v/>
      </c>
      <c r="C197" s="75"/>
      <c r="D197" s="75"/>
      <c r="E197" s="76"/>
      <c r="F197" s="76"/>
      <c r="G197" s="74"/>
      <c r="H197" s="61"/>
      <c r="I197" s="68"/>
      <c r="J197" s="77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78"/>
      <c r="AS197" s="77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78"/>
      <c r="CB197" s="79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ht="13.5" customHeight="1" x14ac:dyDescent="0.15">
      <c r="B198" s="75">
        <f>IF(G198&lt;&gt;"",SUBTOTAL(3,$G$6:G198),"")</f>
        <v>60</v>
      </c>
      <c r="C198" s="75"/>
      <c r="D198" s="75"/>
      <c r="E198" s="76" t="s">
        <v>139</v>
      </c>
      <c r="F198" s="76" t="s">
        <v>135</v>
      </c>
      <c r="G198" s="74" t="s">
        <v>15</v>
      </c>
      <c r="H198" s="61">
        <v>43995</v>
      </c>
      <c r="I198" s="62">
        <v>1</v>
      </c>
      <c r="J198" s="77" t="s">
        <v>408</v>
      </c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78"/>
      <c r="AS198" s="77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78"/>
      <c r="CB198" s="79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99" t="str">
        <f>IF(G199&lt;&gt;"",SUBTOTAL(3,$G$6:G199),"")</f>
        <v/>
      </c>
      <c r="C199" s="75"/>
      <c r="D199" s="75"/>
      <c r="E199" s="76"/>
      <c r="F199" s="76"/>
      <c r="G199" s="74"/>
      <c r="H199" s="61"/>
      <c r="I199" s="70">
        <v>1</v>
      </c>
      <c r="J199" s="77" t="s">
        <v>409</v>
      </c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79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99" t="str">
        <f>IF(G200&lt;&gt;"",SUBTOTAL(3,$G$6:G200),"")</f>
        <v/>
      </c>
      <c r="C200" s="75"/>
      <c r="D200" s="75"/>
      <c r="E200" s="76"/>
      <c r="F200" s="76"/>
      <c r="G200" s="74"/>
      <c r="H200" s="61"/>
      <c r="I200" s="70">
        <v>1</v>
      </c>
      <c r="J200" s="77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79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75">
        <f>IF(G201&lt;&gt;"",SUBTOTAL(3,$G$6:G201),"")</f>
        <v>61</v>
      </c>
      <c r="C201" s="75"/>
      <c r="D201" s="75"/>
      <c r="E201" s="76" t="s">
        <v>139</v>
      </c>
      <c r="F201" s="76" t="s">
        <v>135</v>
      </c>
      <c r="G201" s="74" t="s">
        <v>184</v>
      </c>
      <c r="H201" s="61">
        <v>43871</v>
      </c>
      <c r="I201" s="62">
        <v>1</v>
      </c>
      <c r="J201" s="77" t="s">
        <v>416</v>
      </c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79" t="s">
        <v>13</v>
      </c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99" t="str">
        <f>IF(G202&lt;&gt;"",SUBTOTAL(3,$G$6:G202),"")</f>
        <v/>
      </c>
      <c r="C202" s="75"/>
      <c r="D202" s="75"/>
      <c r="E202" s="76"/>
      <c r="F202" s="76"/>
      <c r="G202" s="74"/>
      <c r="H202" s="61"/>
      <c r="I202" s="70">
        <v>1</v>
      </c>
      <c r="J202" s="77" t="s">
        <v>417</v>
      </c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79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99" t="str">
        <f>IF(G203&lt;&gt;"",SUBTOTAL(3,$G$6:G203),"")</f>
        <v/>
      </c>
      <c r="C203" s="75"/>
      <c r="D203" s="75"/>
      <c r="E203" s="76"/>
      <c r="F203" s="76"/>
      <c r="G203" s="74"/>
      <c r="H203" s="61"/>
      <c r="I203" s="70">
        <v>1</v>
      </c>
      <c r="J203" s="77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79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75">
        <f>IF(G204&lt;&gt;"",SUBTOTAL(3,$G$6:G204),"")</f>
        <v>62</v>
      </c>
      <c r="C204" s="75"/>
      <c r="D204" s="75"/>
      <c r="E204" s="76" t="s">
        <v>139</v>
      </c>
      <c r="F204" s="76" t="s">
        <v>135</v>
      </c>
      <c r="G204" s="74" t="s">
        <v>185</v>
      </c>
      <c r="H204" s="61">
        <v>43936</v>
      </c>
      <c r="I204" s="62">
        <v>1</v>
      </c>
      <c r="J204" s="77" t="s">
        <v>412</v>
      </c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74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99" t="str">
        <f>IF(G205&lt;&gt;"",SUBTOTAL(3,$G$6:G205),"")</f>
        <v/>
      </c>
      <c r="C205" s="75"/>
      <c r="D205" s="75"/>
      <c r="E205" s="76"/>
      <c r="F205" s="76"/>
      <c r="G205" s="74"/>
      <c r="H205" s="61"/>
      <c r="I205" s="70">
        <v>1</v>
      </c>
      <c r="J205" s="77" t="s">
        <v>413</v>
      </c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74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99" t="str">
        <f>IF(G206&lt;&gt;"",SUBTOTAL(3,$G$6:G206),"")</f>
        <v/>
      </c>
      <c r="C206" s="75"/>
      <c r="D206" s="75"/>
      <c r="E206" s="76"/>
      <c r="F206" s="76"/>
      <c r="G206" s="74"/>
      <c r="H206" s="61"/>
      <c r="I206" s="70">
        <v>1</v>
      </c>
      <c r="J206" s="77" t="s">
        <v>414</v>
      </c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74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99" t="str">
        <f>IF(G207&lt;&gt;"",SUBTOTAL(3,$G$6:G207),"")</f>
        <v/>
      </c>
      <c r="C207" s="75"/>
      <c r="D207" s="75"/>
      <c r="E207" s="76"/>
      <c r="F207" s="76"/>
      <c r="G207" s="74"/>
      <c r="H207" s="61"/>
      <c r="I207" s="70">
        <v>1</v>
      </c>
      <c r="J207" s="77" t="s">
        <v>415</v>
      </c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74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99" t="str">
        <f>IF(G208&lt;&gt;"",SUBTOTAL(3,$G$6:G208),"")</f>
        <v/>
      </c>
      <c r="C208" s="75"/>
      <c r="D208" s="75"/>
      <c r="E208" s="76"/>
      <c r="F208" s="76"/>
      <c r="G208" s="74"/>
      <c r="H208" s="61"/>
      <c r="I208" s="70">
        <v>1</v>
      </c>
      <c r="J208" s="77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74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75">
        <f>IF(G209&lt;&gt;"",SUBTOTAL(3,$G$6:G209),"")</f>
        <v>63</v>
      </c>
      <c r="C209" s="75"/>
      <c r="D209" s="75"/>
      <c r="E209" s="76" t="s">
        <v>139</v>
      </c>
      <c r="F209" s="76" t="s">
        <v>135</v>
      </c>
      <c r="G209" s="74" t="s">
        <v>186</v>
      </c>
      <c r="H209" s="61">
        <v>43935</v>
      </c>
      <c r="I209" s="62">
        <v>1</v>
      </c>
      <c r="J209" s="77" t="s">
        <v>411</v>
      </c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74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99" t="str">
        <f>IF(G210&lt;&gt;"",SUBTOTAL(3,$G$6:G210),"")</f>
        <v/>
      </c>
      <c r="C210" s="75"/>
      <c r="D210" s="75"/>
      <c r="E210" s="76"/>
      <c r="F210" s="76"/>
      <c r="G210" s="74"/>
      <c r="H210" s="61"/>
      <c r="I210" s="70">
        <v>1</v>
      </c>
      <c r="J210" s="77" t="s">
        <v>410</v>
      </c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99" t="str">
        <f>IF(G211&lt;&gt;"",SUBTOTAL(3,$G$6:G211),"")</f>
        <v/>
      </c>
      <c r="C211" s="75"/>
      <c r="D211" s="75"/>
      <c r="E211" s="76"/>
      <c r="F211" s="76"/>
      <c r="G211" s="74"/>
      <c r="H211" s="61"/>
      <c r="I211" s="70">
        <v>1</v>
      </c>
      <c r="J211" s="77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75">
        <f>IF(G212&lt;&gt;"",SUBTOTAL(3,$G$6:G212),"")</f>
        <v>64</v>
      </c>
      <c r="C212" s="75"/>
      <c r="D212" s="75"/>
      <c r="E212" s="102" t="s">
        <v>139</v>
      </c>
      <c r="F212" s="102" t="s">
        <v>135</v>
      </c>
      <c r="G212" s="104" t="s">
        <v>187</v>
      </c>
      <c r="H212" s="103">
        <v>43919</v>
      </c>
      <c r="I212" s="62"/>
      <c r="J212" s="77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75">
        <f>IF(G213&lt;&gt;"",SUBTOTAL(3,$G$6:G213),"")</f>
        <v>65</v>
      </c>
      <c r="C213" s="75"/>
      <c r="D213" s="75"/>
      <c r="E213" s="76" t="s">
        <v>139</v>
      </c>
      <c r="F213" s="76" t="s">
        <v>135</v>
      </c>
      <c r="G213" s="74" t="s">
        <v>188</v>
      </c>
      <c r="H213" s="61">
        <v>43995</v>
      </c>
      <c r="I213" s="62">
        <v>1</v>
      </c>
      <c r="J213" s="77" t="s">
        <v>423</v>
      </c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99" t="str">
        <f>IF(G214&lt;&gt;"",SUBTOTAL(3,$G$6:G214),"")</f>
        <v/>
      </c>
      <c r="C214" s="75"/>
      <c r="D214" s="75"/>
      <c r="E214" s="76"/>
      <c r="F214" s="76"/>
      <c r="G214" s="74"/>
      <c r="H214" s="61"/>
      <c r="I214" s="70">
        <v>1</v>
      </c>
      <c r="J214" s="77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75">
        <f>IF(G215&lt;&gt;"",SUBTOTAL(3,$G$6:G215),"")</f>
        <v>66</v>
      </c>
      <c r="C215" s="75"/>
      <c r="D215" s="75"/>
      <c r="E215" s="102" t="s">
        <v>139</v>
      </c>
      <c r="F215" s="102" t="s">
        <v>135</v>
      </c>
      <c r="G215" s="104" t="s">
        <v>189</v>
      </c>
      <c r="H215" s="103">
        <v>43975</v>
      </c>
      <c r="I215" s="62"/>
      <c r="J215" s="77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75">
        <f>IF(G216&lt;&gt;"",SUBTOTAL(3,$G$6:G216),"")</f>
        <v>67</v>
      </c>
      <c r="C216" s="75"/>
      <c r="D216" s="75"/>
      <c r="E216" s="102" t="s">
        <v>139</v>
      </c>
      <c r="F216" s="102" t="s">
        <v>135</v>
      </c>
      <c r="G216" s="104" t="s">
        <v>190</v>
      </c>
      <c r="H216" s="103">
        <v>43975</v>
      </c>
      <c r="I216" s="62"/>
      <c r="J216" s="77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75">
        <f>IF(G217&lt;&gt;"",SUBTOTAL(3,$G$6:G217),"")</f>
        <v>68</v>
      </c>
      <c r="C217" s="75"/>
      <c r="D217" s="75"/>
      <c r="E217" s="102" t="s">
        <v>139</v>
      </c>
      <c r="F217" s="102" t="s">
        <v>135</v>
      </c>
      <c r="G217" s="104" t="s">
        <v>191</v>
      </c>
      <c r="H217" s="103">
        <v>43975</v>
      </c>
      <c r="I217" s="62"/>
      <c r="J217" s="77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75">
        <f>IF(G218&lt;&gt;"",SUBTOTAL(3,$G$6:G218),"")</f>
        <v>69</v>
      </c>
      <c r="C218" s="75"/>
      <c r="D218" s="75"/>
      <c r="E218" s="76" t="s">
        <v>139</v>
      </c>
      <c r="F218" s="76" t="s">
        <v>135</v>
      </c>
      <c r="G218" s="74" t="s">
        <v>192</v>
      </c>
      <c r="H218" s="61">
        <v>43975</v>
      </c>
      <c r="I218" s="62">
        <v>1</v>
      </c>
      <c r="J218" s="77" t="s">
        <v>424</v>
      </c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99" t="str">
        <f>IF(G219&lt;&gt;"",SUBTOTAL(3,$G$6:G219),"")</f>
        <v/>
      </c>
      <c r="C219" s="75"/>
      <c r="D219" s="75"/>
      <c r="E219" s="76"/>
      <c r="F219" s="76"/>
      <c r="G219" s="74"/>
      <c r="H219" s="61"/>
      <c r="I219" s="70">
        <v>1</v>
      </c>
      <c r="J219" s="77" t="s">
        <v>425</v>
      </c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99" t="str">
        <f>IF(G220&lt;&gt;"",SUBTOTAL(3,$G$6:G220),"")</f>
        <v/>
      </c>
      <c r="C220" s="75"/>
      <c r="D220" s="75"/>
      <c r="E220" s="76"/>
      <c r="F220" s="76"/>
      <c r="G220" s="74"/>
      <c r="H220" s="61"/>
      <c r="I220" s="70">
        <v>1</v>
      </c>
      <c r="J220" s="77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75">
        <f>IF(G221&lt;&gt;"",SUBTOTAL(3,$G$6:G221),"")</f>
        <v>70</v>
      </c>
      <c r="C221" s="75"/>
      <c r="D221" s="75"/>
      <c r="E221" s="76" t="s">
        <v>139</v>
      </c>
      <c r="F221" s="76" t="s">
        <v>135</v>
      </c>
      <c r="G221" s="74" t="s">
        <v>193</v>
      </c>
      <c r="H221" s="61">
        <v>43977</v>
      </c>
      <c r="I221" s="62">
        <v>1</v>
      </c>
      <c r="J221" s="77" t="s">
        <v>426</v>
      </c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99" t="str">
        <f>IF(G222&lt;&gt;"",SUBTOTAL(3,$G$6:G222),"")</f>
        <v/>
      </c>
      <c r="C222" s="75"/>
      <c r="D222" s="75"/>
      <c r="E222" s="76"/>
      <c r="F222" s="76"/>
      <c r="G222" s="74"/>
      <c r="H222" s="61"/>
      <c r="I222" s="70">
        <v>1</v>
      </c>
      <c r="J222" s="77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75">
        <f>IF(G223&lt;&gt;"",SUBTOTAL(3,$G$6:G223),"")</f>
        <v>71</v>
      </c>
      <c r="C223" s="75"/>
      <c r="D223" s="75"/>
      <c r="E223" s="76" t="s">
        <v>139</v>
      </c>
      <c r="F223" s="76" t="s">
        <v>135</v>
      </c>
      <c r="G223" s="74" t="s">
        <v>194</v>
      </c>
      <c r="H223" s="61">
        <v>43977</v>
      </c>
      <c r="I223" s="62">
        <v>1</v>
      </c>
      <c r="J223" s="77" t="s">
        <v>427</v>
      </c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99" t="str">
        <f>IF(G224&lt;&gt;"",SUBTOTAL(3,$G$6:G224),"")</f>
        <v/>
      </c>
      <c r="C224" s="75"/>
      <c r="D224" s="75"/>
      <c r="E224" s="76"/>
      <c r="F224" s="76"/>
      <c r="G224" s="74"/>
      <c r="H224" s="61"/>
      <c r="I224" s="70">
        <v>1</v>
      </c>
      <c r="J224" s="77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75">
        <f>IF(G225&lt;&gt;"",SUBTOTAL(3,$G$6:G225),"")</f>
        <v>72</v>
      </c>
      <c r="C225" s="75"/>
      <c r="D225" s="75"/>
      <c r="E225" s="76" t="s">
        <v>139</v>
      </c>
      <c r="F225" s="76" t="s">
        <v>135</v>
      </c>
      <c r="G225" s="74" t="s">
        <v>195</v>
      </c>
      <c r="H225" s="61">
        <v>43977</v>
      </c>
      <c r="I225" s="62">
        <v>1</v>
      </c>
      <c r="J225" s="77" t="s">
        <v>459</v>
      </c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99" t="str">
        <f>IF(G226&lt;&gt;"",SUBTOTAL(3,$G$6:G226),"")</f>
        <v/>
      </c>
      <c r="C226" s="75"/>
      <c r="D226" s="75"/>
      <c r="E226" s="76"/>
      <c r="F226" s="76"/>
      <c r="G226" s="74"/>
      <c r="H226" s="61"/>
      <c r="I226" s="70">
        <v>1</v>
      </c>
      <c r="J226" s="77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75">
        <f>IF(G227&lt;&gt;"",SUBTOTAL(3,$G$6:G227),"")</f>
        <v>73</v>
      </c>
      <c r="C227" s="75"/>
      <c r="D227" s="75"/>
      <c r="E227" s="76" t="s">
        <v>139</v>
      </c>
      <c r="F227" s="76" t="s">
        <v>135</v>
      </c>
      <c r="G227" s="74" t="s">
        <v>196</v>
      </c>
      <c r="H227" s="61">
        <v>43995</v>
      </c>
      <c r="I227" s="62">
        <v>1</v>
      </c>
      <c r="J227" s="77" t="s">
        <v>431</v>
      </c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99" t="str">
        <f>IF(G228&lt;&gt;"",SUBTOTAL(3,$G$6:G228),"")</f>
        <v/>
      </c>
      <c r="C228" s="75"/>
      <c r="D228" s="75"/>
      <c r="E228" s="76"/>
      <c r="F228" s="76"/>
      <c r="G228" s="74"/>
      <c r="H228" s="61"/>
      <c r="I228" s="70">
        <v>1</v>
      </c>
      <c r="J228" s="77" t="s">
        <v>432</v>
      </c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99" t="str">
        <f>IF(G229&lt;&gt;"",SUBTOTAL(3,$G$6:G229),"")</f>
        <v/>
      </c>
      <c r="C229" s="75"/>
      <c r="D229" s="75"/>
      <c r="E229" s="76"/>
      <c r="F229" s="76"/>
      <c r="G229" s="74"/>
      <c r="H229" s="61"/>
      <c r="I229" s="70">
        <v>1</v>
      </c>
      <c r="J229" s="77" t="s">
        <v>433</v>
      </c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99" t="str">
        <f>IF(G230&lt;&gt;"",SUBTOTAL(3,$G$6:G230),"")</f>
        <v/>
      </c>
      <c r="C230" s="75"/>
      <c r="D230" s="75"/>
      <c r="E230" s="76"/>
      <c r="F230" s="76"/>
      <c r="G230" s="74"/>
      <c r="H230" s="61"/>
      <c r="I230" s="70">
        <v>1</v>
      </c>
      <c r="J230" s="77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75">
        <f>IF(G231&lt;&gt;"",SUBTOTAL(3,$G$6:G231),"")</f>
        <v>74</v>
      </c>
      <c r="C231" s="75"/>
      <c r="D231" s="75"/>
      <c r="E231" s="76" t="s">
        <v>139</v>
      </c>
      <c r="F231" s="76" t="s">
        <v>135</v>
      </c>
      <c r="G231" s="74" t="s">
        <v>197</v>
      </c>
      <c r="H231" s="61">
        <v>43982</v>
      </c>
      <c r="I231" s="62">
        <v>1</v>
      </c>
      <c r="J231" s="77" t="s">
        <v>434</v>
      </c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99" t="str">
        <f>IF(G232&lt;&gt;"",SUBTOTAL(3,$G$6:G232),"")</f>
        <v/>
      </c>
      <c r="C232" s="75"/>
      <c r="D232" s="75"/>
      <c r="E232" s="76"/>
      <c r="F232" s="76"/>
      <c r="G232" s="74"/>
      <c r="H232" s="61"/>
      <c r="I232" s="70">
        <v>1</v>
      </c>
      <c r="J232" s="77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75">
        <f>IF(G233&lt;&gt;"",SUBTOTAL(3,$G$6:G233),"")</f>
        <v>75</v>
      </c>
      <c r="C233" s="75"/>
      <c r="D233" s="75"/>
      <c r="E233" s="76" t="s">
        <v>139</v>
      </c>
      <c r="F233" s="76" t="s">
        <v>135</v>
      </c>
      <c r="G233" s="74" t="s">
        <v>198</v>
      </c>
      <c r="H233" s="61">
        <v>43989</v>
      </c>
      <c r="I233" s="62">
        <v>1</v>
      </c>
      <c r="J233" s="77" t="s">
        <v>435</v>
      </c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99" t="str">
        <f>IF(G234&lt;&gt;"",SUBTOTAL(3,$G$6:G234),"")</f>
        <v/>
      </c>
      <c r="C234" s="75"/>
      <c r="D234" s="75"/>
      <c r="E234" s="76"/>
      <c r="F234" s="76"/>
      <c r="G234" s="74"/>
      <c r="H234" s="61"/>
      <c r="I234" s="70">
        <v>1</v>
      </c>
      <c r="J234" s="77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ht="13.5" customHeight="1" x14ac:dyDescent="0.15">
      <c r="B235" s="75">
        <f>IF(G235&lt;&gt;"",SUBTOTAL(3,$G$6:G235),"")</f>
        <v>76</v>
      </c>
      <c r="C235" s="75"/>
      <c r="D235" s="75"/>
      <c r="E235" s="76" t="s">
        <v>139</v>
      </c>
      <c r="F235" s="76" t="s">
        <v>135</v>
      </c>
      <c r="G235" s="74" t="s">
        <v>199</v>
      </c>
      <c r="H235" s="61">
        <v>43989</v>
      </c>
      <c r="I235" s="62">
        <v>0.5</v>
      </c>
      <c r="J235" s="77" t="s">
        <v>437</v>
      </c>
      <c r="K235" s="101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ht="13.5" customHeight="1" x14ac:dyDescent="0.15">
      <c r="B236" s="99" t="str">
        <f>IF(G236&lt;&gt;"",SUBTOTAL(3,$G$6:G236),"")</f>
        <v/>
      </c>
      <c r="C236" s="75"/>
      <c r="D236" s="75"/>
      <c r="E236" s="76"/>
      <c r="F236" s="76"/>
      <c r="G236" s="74"/>
      <c r="H236" s="61"/>
      <c r="I236" s="68">
        <v>0.5</v>
      </c>
      <c r="J236" s="77" t="s">
        <v>436</v>
      </c>
      <c r="K236" s="101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ht="13.5" customHeight="1" x14ac:dyDescent="0.15">
      <c r="B237" s="99" t="str">
        <f>IF(G237&lt;&gt;"",SUBTOTAL(3,$G$6:G237),"")</f>
        <v/>
      </c>
      <c r="C237" s="75"/>
      <c r="D237" s="75"/>
      <c r="E237" s="76"/>
      <c r="F237" s="76"/>
      <c r="G237" s="74"/>
      <c r="H237" s="61"/>
      <c r="I237" s="68">
        <v>0.5</v>
      </c>
      <c r="J237" s="77" t="s">
        <v>438</v>
      </c>
      <c r="K237" s="101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99" t="str">
        <f>IF(G238&lt;&gt;"",SUBTOTAL(3,$G$6:G238),"")</f>
        <v/>
      </c>
      <c r="C238" s="75"/>
      <c r="D238" s="75"/>
      <c r="E238" s="76"/>
      <c r="F238" s="76"/>
      <c r="G238" s="74"/>
      <c r="H238" s="61"/>
      <c r="I238" s="68">
        <v>0.5</v>
      </c>
      <c r="J238" s="77" t="s">
        <v>439</v>
      </c>
      <c r="K238" s="101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ht="13.5" customHeight="1" x14ac:dyDescent="0.15">
      <c r="B239" s="99" t="str">
        <f>IF(G239&lt;&gt;"",SUBTOTAL(3,$G$6:G239),"")</f>
        <v/>
      </c>
      <c r="C239" s="75"/>
      <c r="D239" s="75"/>
      <c r="E239" s="76"/>
      <c r="F239" s="76"/>
      <c r="G239" s="74"/>
      <c r="H239" s="61"/>
      <c r="I239" s="68">
        <v>0.5</v>
      </c>
      <c r="J239" s="77"/>
      <c r="K239" s="101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ht="13.5" customHeight="1" x14ac:dyDescent="0.15">
      <c r="B240" s="75">
        <f>IF(G240&lt;&gt;"",SUBTOTAL(3,$G$6:G240),"")</f>
        <v>77</v>
      </c>
      <c r="C240" s="75"/>
      <c r="D240" s="75"/>
      <c r="E240" s="76" t="s">
        <v>139</v>
      </c>
      <c r="F240" s="76" t="s">
        <v>135</v>
      </c>
      <c r="G240" s="74" t="s">
        <v>200</v>
      </c>
      <c r="H240" s="61">
        <v>43991</v>
      </c>
      <c r="I240" s="62">
        <v>1</v>
      </c>
      <c r="J240" s="77" t="s">
        <v>440</v>
      </c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ht="13.5" customHeight="1" x14ac:dyDescent="0.15">
      <c r="B241" s="99" t="str">
        <f>IF(G241&lt;&gt;"",SUBTOTAL(3,$G$6:G241),"")</f>
        <v/>
      </c>
      <c r="C241" s="75"/>
      <c r="D241" s="75"/>
      <c r="E241" s="76"/>
      <c r="F241" s="76"/>
      <c r="G241" s="74"/>
      <c r="H241" s="61"/>
      <c r="I241" s="70">
        <v>1</v>
      </c>
      <c r="J241" s="77" t="s">
        <v>441</v>
      </c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ht="13.5" customHeight="1" x14ac:dyDescent="0.15">
      <c r="B242" s="99" t="str">
        <f>IF(G242&lt;&gt;"",SUBTOTAL(3,$G$6:G242),"")</f>
        <v/>
      </c>
      <c r="C242" s="75"/>
      <c r="D242" s="75"/>
      <c r="E242" s="76"/>
      <c r="F242" s="76"/>
      <c r="G242" s="74"/>
      <c r="H242" s="61"/>
      <c r="I242" s="70">
        <v>1</v>
      </c>
      <c r="J242" s="77" t="s">
        <v>442</v>
      </c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ht="13.5" customHeight="1" x14ac:dyDescent="0.15">
      <c r="B243" s="99" t="str">
        <f>IF(G243&lt;&gt;"",SUBTOTAL(3,$G$6:G243),"")</f>
        <v/>
      </c>
      <c r="C243" s="75"/>
      <c r="D243" s="75"/>
      <c r="E243" s="76"/>
      <c r="F243" s="76"/>
      <c r="G243" s="74"/>
      <c r="H243" s="61"/>
      <c r="I243" s="70">
        <v>1</v>
      </c>
      <c r="J243" s="77" t="s">
        <v>443</v>
      </c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ht="13.5" customHeight="1" x14ac:dyDescent="0.15">
      <c r="B244" s="99" t="str">
        <f>IF(G244&lt;&gt;"",SUBTOTAL(3,$G$6:G244),"")</f>
        <v/>
      </c>
      <c r="C244" s="75"/>
      <c r="D244" s="75"/>
      <c r="E244" s="76"/>
      <c r="F244" s="76"/>
      <c r="G244" s="74"/>
      <c r="H244" s="61"/>
      <c r="I244" s="70">
        <v>1</v>
      </c>
      <c r="J244" s="77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ht="13.5" customHeight="1" x14ac:dyDescent="0.15">
      <c r="B245" s="75">
        <f>IF(G245&lt;&gt;"",SUBTOTAL(3,$G$6:G245),"")</f>
        <v>78</v>
      </c>
      <c r="C245" s="75"/>
      <c r="D245" s="75"/>
      <c r="E245" s="76" t="s">
        <v>139</v>
      </c>
      <c r="F245" s="76" t="s">
        <v>135</v>
      </c>
      <c r="G245" s="74" t="s">
        <v>201</v>
      </c>
      <c r="H245" s="61">
        <v>43991</v>
      </c>
      <c r="I245" s="62">
        <v>1</v>
      </c>
      <c r="J245" s="77" t="s">
        <v>491</v>
      </c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ht="13.5" customHeight="1" x14ac:dyDescent="0.15">
      <c r="B246" s="99" t="str">
        <f>IF(G246&lt;&gt;"",SUBTOTAL(3,$G$5:G246),"")</f>
        <v/>
      </c>
      <c r="C246" s="75"/>
      <c r="D246" s="75"/>
      <c r="E246" s="76"/>
      <c r="F246" s="76"/>
      <c r="G246" s="74"/>
      <c r="H246" s="61"/>
      <c r="I246" s="70">
        <v>1</v>
      </c>
      <c r="J246" s="77" t="s">
        <v>492</v>
      </c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ht="13.5" customHeight="1" x14ac:dyDescent="0.15">
      <c r="B247" s="99" t="str">
        <f>IF(G247&lt;&gt;"",SUBTOTAL(3,$G$5:G247),"")</f>
        <v/>
      </c>
      <c r="C247" s="75"/>
      <c r="D247" s="75"/>
      <c r="E247" s="76"/>
      <c r="F247" s="76"/>
      <c r="G247" s="74"/>
      <c r="H247" s="61"/>
      <c r="I247" s="70">
        <v>1</v>
      </c>
      <c r="J247" s="77" t="s">
        <v>493</v>
      </c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ht="13.5" customHeight="1" x14ac:dyDescent="0.15">
      <c r="B248" s="99" t="str">
        <f>IF(G248&lt;&gt;"",SUBTOTAL(3,$G$5:G248),"")</f>
        <v/>
      </c>
      <c r="C248" s="75"/>
      <c r="D248" s="75"/>
      <c r="E248" s="76"/>
      <c r="F248" s="76"/>
      <c r="G248" s="74"/>
      <c r="H248" s="61"/>
      <c r="I248" s="70">
        <v>1</v>
      </c>
      <c r="J248" s="77" t="s">
        <v>490</v>
      </c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ht="13.5" customHeight="1" x14ac:dyDescent="0.15">
      <c r="B249" s="99" t="str">
        <f>IF(G249&lt;&gt;"",SUBTOTAL(3,$G$5:G249),"")</f>
        <v/>
      </c>
      <c r="C249" s="75"/>
      <c r="D249" s="75"/>
      <c r="E249" s="76"/>
      <c r="F249" s="76"/>
      <c r="G249" s="74"/>
      <c r="H249" s="61"/>
      <c r="I249" s="70">
        <v>1</v>
      </c>
      <c r="J249" s="77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ht="13.5" customHeight="1" x14ac:dyDescent="0.15">
      <c r="B250" s="75">
        <f>IF(G250&lt;&gt;"",SUBTOTAL(3,$G$6:G250),"")</f>
        <v>79</v>
      </c>
      <c r="C250" s="75"/>
      <c r="D250" s="75"/>
      <c r="E250" s="76" t="s">
        <v>139</v>
      </c>
      <c r="F250" s="76" t="s">
        <v>135</v>
      </c>
      <c r="G250" s="74" t="s">
        <v>444</v>
      </c>
      <c r="H250" s="61">
        <v>43992</v>
      </c>
      <c r="I250" s="62">
        <v>0.8</v>
      </c>
      <c r="J250" s="77" t="s">
        <v>446</v>
      </c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ht="13.5" customHeight="1" x14ac:dyDescent="0.15">
      <c r="B251" s="99" t="str">
        <f>IF(G251&lt;&gt;"",SUBTOTAL(3,$G$6:G251),"")</f>
        <v/>
      </c>
      <c r="C251" s="75"/>
      <c r="D251" s="75"/>
      <c r="E251" s="76"/>
      <c r="F251" s="76"/>
      <c r="G251" s="74"/>
      <c r="H251" s="61"/>
      <c r="I251" s="68">
        <v>0.8</v>
      </c>
      <c r="J251" s="77" t="s">
        <v>445</v>
      </c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ht="13.5" customHeight="1" x14ac:dyDescent="0.15">
      <c r="B252" s="99" t="str">
        <f>IF(G252&lt;&gt;"",SUBTOTAL(3,$G$6:G252),"")</f>
        <v/>
      </c>
      <c r="C252" s="75"/>
      <c r="D252" s="75"/>
      <c r="E252" s="76"/>
      <c r="F252" s="76"/>
      <c r="G252" s="74"/>
      <c r="H252" s="61"/>
      <c r="I252" s="68">
        <v>0.8</v>
      </c>
      <c r="J252" s="77" t="s">
        <v>447</v>
      </c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ht="13.5" customHeight="1" x14ac:dyDescent="0.15">
      <c r="B253" s="99" t="str">
        <f>IF(G253&lt;&gt;"",SUBTOTAL(3,$G$6:G253),"")</f>
        <v/>
      </c>
      <c r="C253" s="75"/>
      <c r="D253" s="75"/>
      <c r="E253" s="76"/>
      <c r="F253" s="76"/>
      <c r="G253" s="74"/>
      <c r="H253" s="61"/>
      <c r="I253" s="68">
        <v>0.8</v>
      </c>
      <c r="J253" s="77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x14ac:dyDescent="0.15">
      <c r="B254" s="75">
        <f>IF(G254&lt;&gt;"",SUBTOTAL(3,$G$6:G254),"")</f>
        <v>80</v>
      </c>
      <c r="C254" s="75"/>
      <c r="D254" s="75"/>
      <c r="E254" s="76" t="s">
        <v>139</v>
      </c>
      <c r="F254" s="76" t="s">
        <v>135</v>
      </c>
      <c r="G254" s="74" t="s">
        <v>202</v>
      </c>
      <c r="H254" s="61">
        <v>43994</v>
      </c>
      <c r="I254" s="62">
        <v>0.8</v>
      </c>
      <c r="J254" s="77" t="s">
        <v>312</v>
      </c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x14ac:dyDescent="0.15">
      <c r="B255" s="75" t="str">
        <f>IF(G255&lt;&gt;"",SUBTOTAL(3,$G$6:G255),"")</f>
        <v/>
      </c>
      <c r="C255" s="75"/>
      <c r="D255" s="75"/>
      <c r="E255" s="76"/>
      <c r="F255" s="76"/>
      <c r="G255" s="74"/>
      <c r="H255" s="61"/>
      <c r="I255" s="68">
        <v>0.8</v>
      </c>
      <c r="J255" s="77" t="s">
        <v>313</v>
      </c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x14ac:dyDescent="0.15">
      <c r="B256" s="75" t="str">
        <f>IF(G256&lt;&gt;"",SUBTOTAL(3,$G$6:G256),"")</f>
        <v/>
      </c>
      <c r="C256" s="75"/>
      <c r="D256" s="75"/>
      <c r="E256" s="76"/>
      <c r="F256" s="76"/>
      <c r="G256" s="74"/>
      <c r="H256" s="61"/>
      <c r="I256" s="68">
        <v>0.8</v>
      </c>
      <c r="J256" s="77" t="s">
        <v>314</v>
      </c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x14ac:dyDescent="0.15">
      <c r="B257" s="75" t="str">
        <f>IF(G257&lt;&gt;"",SUBTOTAL(3,$G$6:G257),"")</f>
        <v/>
      </c>
      <c r="C257" s="75"/>
      <c r="D257" s="75"/>
      <c r="E257" s="76"/>
      <c r="F257" s="76"/>
      <c r="G257" s="74"/>
      <c r="H257" s="61"/>
      <c r="I257" s="68">
        <v>0.8</v>
      </c>
      <c r="J257" s="77" t="s">
        <v>315</v>
      </c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x14ac:dyDescent="0.15">
      <c r="B258" s="75" t="str">
        <f>IF(G258&lt;&gt;"",SUBTOTAL(3,$G$6:G258),"")</f>
        <v/>
      </c>
      <c r="C258" s="75"/>
      <c r="D258" s="75"/>
      <c r="E258" s="76"/>
      <c r="F258" s="76"/>
      <c r="G258" s="74"/>
      <c r="H258" s="61"/>
      <c r="I258" s="68">
        <v>0.8</v>
      </c>
      <c r="J258" s="77" t="s">
        <v>316</v>
      </c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x14ac:dyDescent="0.15">
      <c r="B259" s="75" t="str">
        <f>IF(G259&lt;&gt;"",SUBTOTAL(3,$G$6:G259),"")</f>
        <v/>
      </c>
      <c r="C259" s="75"/>
      <c r="D259" s="75"/>
      <c r="E259" s="76"/>
      <c r="F259" s="76"/>
      <c r="G259" s="74"/>
      <c r="H259" s="61"/>
      <c r="I259" s="68">
        <v>0.8</v>
      </c>
      <c r="J259" s="77" t="s">
        <v>317</v>
      </c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x14ac:dyDescent="0.15">
      <c r="B260" s="75" t="str">
        <f>IF(G260&lt;&gt;"",SUBTOTAL(3,$G$6:G260),"")</f>
        <v/>
      </c>
      <c r="C260" s="75"/>
      <c r="D260" s="75"/>
      <c r="E260" s="76"/>
      <c r="F260" s="76"/>
      <c r="G260" s="74"/>
      <c r="H260" s="61"/>
      <c r="I260" s="68">
        <v>0.8</v>
      </c>
      <c r="J260" s="77" t="s">
        <v>318</v>
      </c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x14ac:dyDescent="0.15">
      <c r="B261" s="75" t="str">
        <f>IF(G261&lt;&gt;"",SUBTOTAL(3,$G$6:G261),"")</f>
        <v/>
      </c>
      <c r="C261" s="75"/>
      <c r="D261" s="75"/>
      <c r="E261" s="76"/>
      <c r="F261" s="76"/>
      <c r="G261" s="74"/>
      <c r="H261" s="61"/>
      <c r="I261" s="68">
        <v>0.8</v>
      </c>
      <c r="J261" s="37" t="str">
        <f>HYPERLINK("C:\Users\roshi_000.000\MyImp\MyOwn\Develop\C++\At_Coder\◆C++_Language解説◆.xlsm#'C++ Language解説'!double型_int型キャスト","◆C++_Languge解説◆.xlsm#'C++ Language解説'!double型_int型キャスト")</f>
        <v>◆C++_Languge解説◆.xlsm#'C++ Language解説'!double型_int型キャスト</v>
      </c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x14ac:dyDescent="0.15">
      <c r="B262" s="75" t="str">
        <f>IF(G262&lt;&gt;"",SUBTOTAL(3,$G$6:G262),"")</f>
        <v/>
      </c>
      <c r="C262" s="75"/>
      <c r="D262" s="75"/>
      <c r="E262" s="76"/>
      <c r="F262" s="76"/>
      <c r="G262" s="74"/>
      <c r="H262" s="61"/>
      <c r="I262" s="68">
        <v>0.8</v>
      </c>
      <c r="J262" s="37"/>
      <c r="K262" s="38"/>
      <c r="L262" s="38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  <c r="AG262" s="38"/>
      <c r="AH262" s="38"/>
      <c r="AI262" s="38"/>
      <c r="AJ262" s="38"/>
      <c r="AK262" s="38"/>
      <c r="AL262" s="38"/>
      <c r="AM262" s="38"/>
      <c r="AN262" s="38"/>
      <c r="AO262" s="38"/>
      <c r="AP262" s="38"/>
      <c r="AQ262" s="38"/>
      <c r="AR262" s="39"/>
      <c r="AS262" s="77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ht="13.5" customHeight="1" x14ac:dyDescent="0.15">
      <c r="B263" s="75">
        <f>IF(G263&lt;&gt;"",SUBTOTAL(3,$G$6:G263),"")</f>
        <v>81</v>
      </c>
      <c r="C263" s="75"/>
      <c r="D263" s="75"/>
      <c r="E263" s="76" t="s">
        <v>139</v>
      </c>
      <c r="F263" s="76" t="s">
        <v>135</v>
      </c>
      <c r="G263" s="74" t="s">
        <v>203</v>
      </c>
      <c r="H263" s="61">
        <v>43995</v>
      </c>
      <c r="I263" s="62">
        <v>1</v>
      </c>
      <c r="J263" s="77" t="s">
        <v>487</v>
      </c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77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ht="13.5" customHeight="1" x14ac:dyDescent="0.15">
      <c r="B264" s="99" t="str">
        <f>IF(G264&lt;&gt;"",SUBTOTAL(3,$G$5:G264),"")</f>
        <v/>
      </c>
      <c r="C264" s="75"/>
      <c r="D264" s="75"/>
      <c r="E264" s="76"/>
      <c r="F264" s="76"/>
      <c r="G264" s="74"/>
      <c r="H264" s="61"/>
      <c r="I264" s="70">
        <v>1</v>
      </c>
      <c r="J264" s="77" t="s">
        <v>488</v>
      </c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ht="13.5" customHeight="1" x14ac:dyDescent="0.15">
      <c r="B265" s="99" t="str">
        <f>IF(G265&lt;&gt;"",SUBTOTAL(3,$G$6:G265),"")</f>
        <v/>
      </c>
      <c r="C265" s="75"/>
      <c r="D265" s="75"/>
      <c r="E265" s="76"/>
      <c r="F265" s="76"/>
      <c r="G265" s="74"/>
      <c r="H265" s="61"/>
      <c r="I265" s="70">
        <v>1</v>
      </c>
      <c r="J265" s="77" t="s">
        <v>489</v>
      </c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77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ht="13.5" customHeight="1" x14ac:dyDescent="0.15">
      <c r="B266" s="99" t="str">
        <f>IF(G266&lt;&gt;"",SUBTOTAL(3,$G$6:G266),"")</f>
        <v/>
      </c>
      <c r="C266" s="75"/>
      <c r="D266" s="75"/>
      <c r="E266" s="76"/>
      <c r="F266" s="76"/>
      <c r="G266" s="74"/>
      <c r="H266" s="61"/>
      <c r="I266" s="70">
        <v>1</v>
      </c>
      <c r="J266" s="77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x14ac:dyDescent="0.15">
      <c r="B267" s="75">
        <f>IF(G267&lt;&gt;"",SUBTOTAL(3,$G$6:G267),"")</f>
        <v>82</v>
      </c>
      <c r="C267" s="75"/>
      <c r="D267" s="75"/>
      <c r="E267" s="76" t="s">
        <v>139</v>
      </c>
      <c r="F267" s="76" t="s">
        <v>135</v>
      </c>
      <c r="G267" s="74" t="s">
        <v>204</v>
      </c>
      <c r="H267" s="61">
        <v>43997</v>
      </c>
      <c r="I267" s="62">
        <v>1</v>
      </c>
      <c r="J267" s="77" t="s">
        <v>384</v>
      </c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 t="s">
        <v>320</v>
      </c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x14ac:dyDescent="0.15">
      <c r="B268" s="75" t="str">
        <f>IF(G268&lt;&gt;"",SUBTOTAL(3,$G$6:G268),"")</f>
        <v/>
      </c>
      <c r="C268" s="75"/>
      <c r="D268" s="75"/>
      <c r="E268" s="76"/>
      <c r="F268" s="76"/>
      <c r="G268" s="74"/>
      <c r="H268" s="61"/>
      <c r="I268" s="70">
        <v>1</v>
      </c>
      <c r="J268" s="77" t="s">
        <v>383</v>
      </c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 t="s">
        <v>385</v>
      </c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x14ac:dyDescent="0.15">
      <c r="B269" s="75" t="str">
        <f>IF(G269&lt;&gt;"",SUBTOTAL(3,$G$6:G269),"")</f>
        <v/>
      </c>
      <c r="C269" s="75"/>
      <c r="D269" s="75"/>
      <c r="E269" s="76"/>
      <c r="F269" s="76"/>
      <c r="G269" s="74"/>
      <c r="H269" s="61"/>
      <c r="I269" s="70">
        <v>1</v>
      </c>
      <c r="J269" s="77" t="s">
        <v>319</v>
      </c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77" t="s">
        <v>386</v>
      </c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ht="13.5" customHeight="1" x14ac:dyDescent="0.15">
      <c r="B270" s="75">
        <f>IF(G270&lt;&gt;"",SUBTOTAL(3,$G$6:G270),"")</f>
        <v>83</v>
      </c>
      <c r="C270" s="75"/>
      <c r="D270" s="75"/>
      <c r="E270" s="76" t="s">
        <v>139</v>
      </c>
      <c r="F270" s="76" t="s">
        <v>135</v>
      </c>
      <c r="G270" s="74" t="s">
        <v>205</v>
      </c>
      <c r="H270" s="61">
        <v>44004</v>
      </c>
      <c r="I270" s="62">
        <v>0.5</v>
      </c>
      <c r="J270" s="77" t="s">
        <v>476</v>
      </c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77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ht="13.5" customHeight="1" x14ac:dyDescent="0.15">
      <c r="B271" s="99" t="str">
        <f>IF(G271&lt;&gt;"",SUBTOTAL(3,$G$6:G271),"")</f>
        <v/>
      </c>
      <c r="C271" s="75"/>
      <c r="D271" s="75"/>
      <c r="E271" s="76"/>
      <c r="F271" s="76"/>
      <c r="G271" s="74"/>
      <c r="H271" s="61"/>
      <c r="I271" s="68">
        <v>0.5</v>
      </c>
      <c r="J271" s="77" t="s">
        <v>477</v>
      </c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77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ht="13.5" customHeight="1" x14ac:dyDescent="0.15">
      <c r="B272" s="99" t="str">
        <f>IF(G272&lt;&gt;"",SUBTOTAL(3,$G$6:G272),"")</f>
        <v/>
      </c>
      <c r="C272" s="75"/>
      <c r="D272" s="75"/>
      <c r="E272" s="76"/>
      <c r="F272" s="76"/>
      <c r="G272" s="74"/>
      <c r="H272" s="61"/>
      <c r="I272" s="68">
        <v>0.5</v>
      </c>
      <c r="J272" s="77" t="s">
        <v>474</v>
      </c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77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ht="13.5" customHeight="1" x14ac:dyDescent="0.15">
      <c r="B273" s="99" t="str">
        <f>IF(G273&lt;&gt;"",SUBTOTAL(3,$G$6:G273),"")</f>
        <v/>
      </c>
      <c r="C273" s="75"/>
      <c r="D273" s="75"/>
      <c r="E273" s="76"/>
      <c r="F273" s="76"/>
      <c r="G273" s="74"/>
      <c r="H273" s="61"/>
      <c r="I273" s="68">
        <v>0.5</v>
      </c>
      <c r="J273" s="77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77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ht="13.5" customHeight="1" x14ac:dyDescent="0.15">
      <c r="B274" s="99" t="str">
        <f>IF(G274&lt;&gt;"",SUBTOTAL(3,$G$6:G274),"")</f>
        <v/>
      </c>
      <c r="C274" s="75"/>
      <c r="D274" s="75"/>
      <c r="E274" s="76"/>
      <c r="F274" s="76"/>
      <c r="G274" s="74"/>
      <c r="H274" s="61"/>
      <c r="I274" s="68">
        <v>0.5</v>
      </c>
      <c r="J274" s="77" t="s">
        <v>483</v>
      </c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77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ht="13.5" customHeight="1" x14ac:dyDescent="0.15">
      <c r="B275" s="99" t="str">
        <f>IF(G275&lt;&gt;"",SUBTOTAL(3,$G$6:G275),"")</f>
        <v/>
      </c>
      <c r="C275" s="75"/>
      <c r="D275" s="75"/>
      <c r="E275" s="76"/>
      <c r="F275" s="76"/>
      <c r="G275" s="74"/>
      <c r="H275" s="61"/>
      <c r="I275" s="68">
        <v>0.5</v>
      </c>
      <c r="J275" s="77" t="s">
        <v>484</v>
      </c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77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ht="13.5" customHeight="1" x14ac:dyDescent="0.15">
      <c r="B276" s="99" t="str">
        <f>IF(G276&lt;&gt;"",SUBTOTAL(3,$G$6:G276),"")</f>
        <v/>
      </c>
      <c r="C276" s="75"/>
      <c r="D276" s="75"/>
      <c r="E276" s="76"/>
      <c r="F276" s="76"/>
      <c r="G276" s="74"/>
      <c r="H276" s="61"/>
      <c r="I276" s="68">
        <v>0.5</v>
      </c>
      <c r="J276" s="77" t="s">
        <v>480</v>
      </c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77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ht="13.5" customHeight="1" x14ac:dyDescent="0.15">
      <c r="B277" s="99" t="str">
        <f>IF(G277&lt;&gt;"",SUBTOTAL(3,$G$6:G277),"")</f>
        <v/>
      </c>
      <c r="C277" s="75"/>
      <c r="D277" s="75"/>
      <c r="E277" s="76"/>
      <c r="F277" s="76"/>
      <c r="G277" s="74"/>
      <c r="H277" s="61"/>
      <c r="I277" s="68">
        <v>0.5</v>
      </c>
      <c r="J277" s="77"/>
      <c r="K277" s="43" t="s">
        <v>481</v>
      </c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77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ht="13.5" customHeight="1" x14ac:dyDescent="0.15">
      <c r="B278" s="99" t="str">
        <f>IF(G278&lt;&gt;"",SUBTOTAL(3,$G$6:G278),"")</f>
        <v/>
      </c>
      <c r="C278" s="75"/>
      <c r="D278" s="75"/>
      <c r="E278" s="76"/>
      <c r="F278" s="76"/>
      <c r="G278" s="74"/>
      <c r="H278" s="61"/>
      <c r="I278" s="68">
        <v>0.5</v>
      </c>
      <c r="J278" s="77"/>
      <c r="K278" s="43" t="s">
        <v>482</v>
      </c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77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ht="13.5" customHeight="1" x14ac:dyDescent="0.15">
      <c r="B279" s="99" t="str">
        <f>IF(G279&lt;&gt;"",SUBTOTAL(3,$G$6:G279),"")</f>
        <v/>
      </c>
      <c r="C279" s="75"/>
      <c r="D279" s="75"/>
      <c r="E279" s="76"/>
      <c r="F279" s="76"/>
      <c r="G279" s="74"/>
      <c r="H279" s="61"/>
      <c r="I279" s="68">
        <v>0.5</v>
      </c>
      <c r="J279" s="77"/>
      <c r="K279" s="43" t="s">
        <v>475</v>
      </c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77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ht="13.5" customHeight="1" x14ac:dyDescent="0.15">
      <c r="B280" s="99" t="str">
        <f>IF(G280&lt;&gt;"",SUBTOTAL(3,$G$6:G280),"")</f>
        <v/>
      </c>
      <c r="C280" s="75"/>
      <c r="D280" s="75"/>
      <c r="E280" s="76"/>
      <c r="F280" s="76"/>
      <c r="G280" s="74"/>
      <c r="H280" s="61"/>
      <c r="I280" s="68">
        <v>0.5</v>
      </c>
      <c r="J280" s="77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77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ht="13.5" customHeight="1" x14ac:dyDescent="0.15">
      <c r="B281" s="99" t="str">
        <f>IF(G281&lt;&gt;"",SUBTOTAL(3,$G$6:G281),"")</f>
        <v/>
      </c>
      <c r="C281" s="75"/>
      <c r="D281" s="75"/>
      <c r="E281" s="76"/>
      <c r="F281" s="76"/>
      <c r="G281" s="74"/>
      <c r="H281" s="61"/>
      <c r="I281" s="68">
        <v>0.5</v>
      </c>
      <c r="J281" s="77"/>
      <c r="K281" s="43" t="s">
        <v>478</v>
      </c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77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ht="13.5" customHeight="1" x14ac:dyDescent="0.15">
      <c r="B282" s="99" t="str">
        <f>IF(G282&lt;&gt;"",SUBTOTAL(3,$G$6:G282),"")</f>
        <v/>
      </c>
      <c r="C282" s="75"/>
      <c r="D282" s="75"/>
      <c r="E282" s="76"/>
      <c r="F282" s="76"/>
      <c r="G282" s="74"/>
      <c r="H282" s="61"/>
      <c r="I282" s="68">
        <v>0.5</v>
      </c>
      <c r="J282" s="77"/>
      <c r="K282" s="43" t="s">
        <v>479</v>
      </c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77"/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ht="13.5" customHeight="1" x14ac:dyDescent="0.15">
      <c r="B283" s="99" t="str">
        <f>IF(G283&lt;&gt;"",SUBTOTAL(3,$G$6:G283),"")</f>
        <v/>
      </c>
      <c r="C283" s="75"/>
      <c r="D283" s="75"/>
      <c r="E283" s="76"/>
      <c r="F283" s="76"/>
      <c r="G283" s="74"/>
      <c r="H283" s="61"/>
      <c r="I283" s="68">
        <v>0.5</v>
      </c>
      <c r="J283" s="77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77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x14ac:dyDescent="0.15">
      <c r="B284" s="75">
        <f>IF(G284&lt;&gt;"",SUBTOTAL(3,$G$6:G284),"")</f>
        <v>84</v>
      </c>
      <c r="C284" s="75"/>
      <c r="D284" s="75"/>
      <c r="E284" s="76" t="s">
        <v>139</v>
      </c>
      <c r="F284" s="76" t="s">
        <v>142</v>
      </c>
      <c r="G284" s="76" t="s">
        <v>206</v>
      </c>
      <c r="H284" s="61">
        <v>44030</v>
      </c>
      <c r="I284" s="62">
        <v>1</v>
      </c>
      <c r="J284" s="77" t="s">
        <v>321</v>
      </c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77" t="s">
        <v>387</v>
      </c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x14ac:dyDescent="0.15">
      <c r="B285" s="75" t="str">
        <f>IF(G285&lt;&gt;"",SUBTOTAL(3,$G$6:G285),"")</f>
        <v/>
      </c>
      <c r="C285" s="75"/>
      <c r="D285" s="75"/>
      <c r="E285" s="76"/>
      <c r="F285" s="76"/>
      <c r="G285" s="76"/>
      <c r="H285" s="61"/>
      <c r="I285" s="70">
        <v>1</v>
      </c>
      <c r="J285" s="77" t="s">
        <v>322</v>
      </c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77"/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x14ac:dyDescent="0.15">
      <c r="B286" s="75" t="str">
        <f>IF(G286&lt;&gt;"",SUBTOTAL(3,$G$6:G286),"")</f>
        <v/>
      </c>
      <c r="C286" s="75"/>
      <c r="D286" s="75"/>
      <c r="E286" s="76"/>
      <c r="F286" s="76"/>
      <c r="G286" s="76"/>
      <c r="H286" s="61"/>
      <c r="I286" s="70">
        <v>1</v>
      </c>
      <c r="J286" s="77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77" t="s">
        <v>388</v>
      </c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x14ac:dyDescent="0.15">
      <c r="B287" s="75" t="str">
        <f>IF(G287&lt;&gt;"",SUBTOTAL(3,$G$6:G287),"")</f>
        <v/>
      </c>
      <c r="C287" s="75"/>
      <c r="D287" s="75"/>
      <c r="E287" s="76"/>
      <c r="F287" s="76"/>
      <c r="G287" s="76"/>
      <c r="H287" s="61"/>
      <c r="I287" s="70">
        <v>1</v>
      </c>
      <c r="J287" s="77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77" t="s">
        <v>323</v>
      </c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ht="15.75" x14ac:dyDescent="0.15">
      <c r="B288" s="75" t="str">
        <f>IF(G288&lt;&gt;"",SUBTOTAL(3,$G$6:G288),"")</f>
        <v/>
      </c>
      <c r="C288" s="75"/>
      <c r="D288" s="75"/>
      <c r="E288" s="76"/>
      <c r="F288" s="76"/>
      <c r="G288" s="76"/>
      <c r="H288" s="61"/>
      <c r="I288" s="70">
        <v>1</v>
      </c>
      <c r="J288" s="77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77" t="s">
        <v>350</v>
      </c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x14ac:dyDescent="0.15">
      <c r="B289" s="75" t="str">
        <f>IF(G289&lt;&gt;"",SUBTOTAL(3,$G$6:G289),"")</f>
        <v/>
      </c>
      <c r="C289" s="75"/>
      <c r="D289" s="75"/>
      <c r="E289" s="76"/>
      <c r="F289" s="76"/>
      <c r="G289" s="76"/>
      <c r="H289" s="61"/>
      <c r="I289" s="70">
        <v>1</v>
      </c>
      <c r="J289" s="77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77" t="s">
        <v>389</v>
      </c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x14ac:dyDescent="0.15">
      <c r="B290" s="75" t="str">
        <f>IF(G290&lt;&gt;"",SUBTOTAL(3,$G$6:G290),"")</f>
        <v/>
      </c>
      <c r="C290" s="75"/>
      <c r="D290" s="75"/>
      <c r="E290" s="76"/>
      <c r="F290" s="76"/>
      <c r="G290" s="76"/>
      <c r="H290" s="61"/>
      <c r="I290" s="70">
        <v>1</v>
      </c>
      <c r="J290" s="77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77" t="s">
        <v>390</v>
      </c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x14ac:dyDescent="0.15">
      <c r="B291" s="75" t="str">
        <f>IF(G291&lt;&gt;"",SUBTOTAL(3,$G$6:G291),"")</f>
        <v/>
      </c>
      <c r="C291" s="75"/>
      <c r="D291" s="75"/>
      <c r="E291" s="76"/>
      <c r="F291" s="76"/>
      <c r="G291" s="76"/>
      <c r="H291" s="61"/>
      <c r="I291" s="70">
        <v>1</v>
      </c>
      <c r="J291" s="77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77"/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x14ac:dyDescent="0.15">
      <c r="B292" s="75">
        <f>IF(G292&lt;&gt;"",SUBTOTAL(3,$G$6:G292),"")</f>
        <v>85</v>
      </c>
      <c r="C292" s="75"/>
      <c r="D292" s="75"/>
      <c r="E292" s="76" t="s">
        <v>139</v>
      </c>
      <c r="F292" s="76" t="s">
        <v>142</v>
      </c>
      <c r="G292" s="76" t="s">
        <v>213</v>
      </c>
      <c r="H292" s="61">
        <v>44052</v>
      </c>
      <c r="I292" s="62">
        <v>0.5</v>
      </c>
      <c r="J292" s="77" t="s">
        <v>324</v>
      </c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77" t="s">
        <v>392</v>
      </c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x14ac:dyDescent="0.15">
      <c r="B293" s="99" t="str">
        <f>IF(G293&lt;&gt;"",SUBTOTAL(3,$G$6:G293),"")</f>
        <v/>
      </c>
      <c r="C293" s="75"/>
      <c r="D293" s="75"/>
      <c r="E293" s="76"/>
      <c r="F293" s="76"/>
      <c r="G293" s="76"/>
      <c r="H293" s="61"/>
      <c r="I293" s="68">
        <v>0.5</v>
      </c>
      <c r="J293" s="77" t="s">
        <v>351</v>
      </c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77" t="s">
        <v>391</v>
      </c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x14ac:dyDescent="0.15">
      <c r="B294" s="99" t="str">
        <f>IF(G294&lt;&gt;"",SUBTOTAL(3,$G$6:G294),"")</f>
        <v/>
      </c>
      <c r="C294" s="75"/>
      <c r="D294" s="75"/>
      <c r="E294" s="76"/>
      <c r="F294" s="76"/>
      <c r="G294" s="76"/>
      <c r="H294" s="61"/>
      <c r="I294" s="68">
        <v>0.5</v>
      </c>
      <c r="J294" s="77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77" t="s">
        <v>393</v>
      </c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x14ac:dyDescent="0.15">
      <c r="B295" s="99" t="str">
        <f>IF(G295&lt;&gt;"",SUBTOTAL(3,$G$6:G295),"")</f>
        <v/>
      </c>
      <c r="C295" s="75"/>
      <c r="D295" s="75"/>
      <c r="E295" s="76"/>
      <c r="F295" s="76"/>
      <c r="G295" s="76"/>
      <c r="H295" s="61"/>
      <c r="I295" s="68">
        <v>0.5</v>
      </c>
      <c r="J295" s="77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77" t="s">
        <v>394</v>
      </c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x14ac:dyDescent="0.15">
      <c r="B296" s="99" t="str">
        <f>IF(G296&lt;&gt;"",SUBTOTAL(3,$G$6:G296),"")</f>
        <v/>
      </c>
      <c r="C296" s="75"/>
      <c r="D296" s="75"/>
      <c r="E296" s="76"/>
      <c r="F296" s="76"/>
      <c r="G296" s="76"/>
      <c r="H296" s="61"/>
      <c r="I296" s="68">
        <v>0.5</v>
      </c>
      <c r="J296" s="77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77" t="s">
        <v>396</v>
      </c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x14ac:dyDescent="0.15">
      <c r="B297" s="75" t="str">
        <f>IF(G297&lt;&gt;"",SUBTOTAL(3,$G$6:G297),"")</f>
        <v/>
      </c>
      <c r="C297" s="75"/>
      <c r="D297" s="75"/>
      <c r="E297" s="76"/>
      <c r="F297" s="76"/>
      <c r="G297" s="76"/>
      <c r="H297" s="61"/>
      <c r="I297" s="68">
        <v>0.5</v>
      </c>
      <c r="J297" s="77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78"/>
      <c r="AS297" s="77" t="s">
        <v>395</v>
      </c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x14ac:dyDescent="0.15">
      <c r="B298" s="75" t="str">
        <f>IF(G298&lt;&gt;"",SUBTOTAL(3,$G$6:G298),"")</f>
        <v/>
      </c>
      <c r="C298" s="75"/>
      <c r="D298" s="75"/>
      <c r="E298" s="76"/>
      <c r="F298" s="76"/>
      <c r="G298" s="76"/>
      <c r="H298" s="61"/>
      <c r="I298" s="68">
        <v>0.5</v>
      </c>
      <c r="J298" s="77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78"/>
      <c r="AS298" s="77" t="s">
        <v>397</v>
      </c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x14ac:dyDescent="0.15">
      <c r="B299" s="75" t="str">
        <f>IF(G299&lt;&gt;"",SUBTOTAL(3,$G$6:G299),"")</f>
        <v/>
      </c>
      <c r="C299" s="75"/>
      <c r="D299" s="75"/>
      <c r="E299" s="76"/>
      <c r="F299" s="76"/>
      <c r="G299" s="76"/>
      <c r="H299" s="61"/>
      <c r="I299" s="68">
        <v>0.5</v>
      </c>
      <c r="J299" s="77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78"/>
      <c r="AS299" s="77"/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x14ac:dyDescent="0.15">
      <c r="B300" s="75" t="str">
        <f>IF(G300&lt;&gt;"",SUBTOTAL(3,$G$6:G300),"")</f>
        <v/>
      </c>
      <c r="C300" s="75"/>
      <c r="D300" s="75"/>
      <c r="E300" s="76"/>
      <c r="F300" s="76"/>
      <c r="G300" s="76"/>
      <c r="H300" s="61"/>
      <c r="I300" s="68">
        <v>0.5</v>
      </c>
      <c r="J300" s="77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78"/>
      <c r="AS300" s="77"/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ht="13.5" customHeight="1" x14ac:dyDescent="0.15">
      <c r="B301" s="75">
        <f>IF(G301&lt;&gt;"",SUBTOTAL(3,$G$6:G301),"")</f>
        <v>86</v>
      </c>
      <c r="C301" s="75"/>
      <c r="D301" s="75"/>
      <c r="E301" s="76" t="s">
        <v>139</v>
      </c>
      <c r="F301" s="76" t="s">
        <v>142</v>
      </c>
      <c r="G301" s="76" t="s">
        <v>220</v>
      </c>
      <c r="H301" s="61">
        <v>44062</v>
      </c>
      <c r="I301" s="62">
        <v>1</v>
      </c>
      <c r="J301" s="77" t="s">
        <v>468</v>
      </c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78"/>
      <c r="AS301" s="77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ht="13.5" customHeight="1" x14ac:dyDescent="0.15">
      <c r="B302" s="99" t="str">
        <f>IF(G302&lt;&gt;"",SUBTOTAL(3,$G$6:G302),"")</f>
        <v/>
      </c>
      <c r="C302" s="75"/>
      <c r="D302" s="75"/>
      <c r="E302" s="76"/>
      <c r="F302" s="76"/>
      <c r="G302" s="76"/>
      <c r="H302" s="61"/>
      <c r="I302" s="70">
        <v>1</v>
      </c>
      <c r="J302" s="77" t="s">
        <v>469</v>
      </c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78"/>
      <c r="AS302" s="77"/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ht="13.5" customHeight="1" x14ac:dyDescent="0.15">
      <c r="B303" s="99" t="str">
        <f>IF(G303&lt;&gt;"",SUBTOTAL(3,$G$6:G303),"")</f>
        <v/>
      </c>
      <c r="C303" s="75"/>
      <c r="D303" s="75"/>
      <c r="E303" s="76"/>
      <c r="F303" s="76"/>
      <c r="G303" s="76"/>
      <c r="H303" s="61"/>
      <c r="I303" s="70">
        <v>1</v>
      </c>
      <c r="J303" s="77" t="s">
        <v>470</v>
      </c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78"/>
      <c r="AS303" s="77"/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ht="13.5" customHeight="1" x14ac:dyDescent="0.15">
      <c r="B304" s="99" t="str">
        <f>IF(G304&lt;&gt;"",SUBTOTAL(3,$G$6:G304),"")</f>
        <v/>
      </c>
      <c r="C304" s="75"/>
      <c r="D304" s="75"/>
      <c r="E304" s="76"/>
      <c r="F304" s="76"/>
      <c r="G304" s="76"/>
      <c r="H304" s="61"/>
      <c r="I304" s="70">
        <v>1</v>
      </c>
      <c r="J304" s="77" t="s">
        <v>471</v>
      </c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78"/>
      <c r="AS304" s="77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ht="13.5" customHeight="1" x14ac:dyDescent="0.15">
      <c r="B305" s="99" t="str">
        <f>IF(G305&lt;&gt;"",SUBTOTAL(3,$G$6:G305),"")</f>
        <v/>
      </c>
      <c r="C305" s="75"/>
      <c r="D305" s="75"/>
      <c r="E305" s="76"/>
      <c r="F305" s="76"/>
      <c r="G305" s="76"/>
      <c r="H305" s="61"/>
      <c r="I305" s="70">
        <v>1</v>
      </c>
      <c r="J305" s="77" t="s">
        <v>472</v>
      </c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78"/>
      <c r="AS305" s="77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ht="13.5" customHeight="1" x14ac:dyDescent="0.15">
      <c r="B306" s="99" t="str">
        <f>IF(G306&lt;&gt;"",SUBTOTAL(3,$G$6:G306),"")</f>
        <v/>
      </c>
      <c r="C306" s="75"/>
      <c r="D306" s="75"/>
      <c r="E306" s="76"/>
      <c r="F306" s="76"/>
      <c r="G306" s="76"/>
      <c r="H306" s="61"/>
      <c r="I306" s="70">
        <v>1</v>
      </c>
      <c r="J306" s="77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78"/>
      <c r="AS306" s="77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s="46" customFormat="1" ht="13.5" customHeight="1" x14ac:dyDescent="0.15">
      <c r="B307" s="75">
        <f>IF(G307&lt;&gt;"",SUBTOTAL(3,$G$6:G307),"")</f>
        <v>87</v>
      </c>
      <c r="C307" s="75"/>
      <c r="D307" s="75"/>
      <c r="E307" s="76" t="s">
        <v>139</v>
      </c>
      <c r="F307" s="76" t="s">
        <v>142</v>
      </c>
      <c r="G307" s="76" t="s">
        <v>221</v>
      </c>
      <c r="H307" s="61">
        <v>44071</v>
      </c>
      <c r="I307" s="62">
        <v>1</v>
      </c>
      <c r="J307" s="77" t="s">
        <v>467</v>
      </c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78"/>
      <c r="AS307" s="77"/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78"/>
      <c r="CB307" s="74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</row>
    <row r="308" spans="2:130" s="46" customFormat="1" ht="13.5" customHeight="1" x14ac:dyDescent="0.15">
      <c r="B308" s="99" t="str">
        <f>IF(G308&lt;&gt;"",SUBTOTAL(3,$G$6:G308),"")</f>
        <v/>
      </c>
      <c r="C308" s="75"/>
      <c r="D308" s="75"/>
      <c r="E308" s="76"/>
      <c r="F308" s="76"/>
      <c r="G308" s="76"/>
      <c r="H308" s="61"/>
      <c r="I308" s="70">
        <v>1</v>
      </c>
      <c r="J308" s="77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78"/>
      <c r="AS308" s="77"/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78"/>
      <c r="CB308" s="74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</row>
    <row r="309" spans="2:130" s="46" customFormat="1" x14ac:dyDescent="0.15">
      <c r="B309" s="75">
        <f>IF(G309&lt;&gt;"",SUBTOTAL(3,$G$6:G309),"")</f>
        <v>88</v>
      </c>
      <c r="C309" s="75"/>
      <c r="D309" s="75"/>
      <c r="E309" s="76" t="s">
        <v>139</v>
      </c>
      <c r="F309" s="76" t="s">
        <v>142</v>
      </c>
      <c r="G309" s="76" t="s">
        <v>225</v>
      </c>
      <c r="H309" s="61">
        <v>44073</v>
      </c>
      <c r="I309" s="62">
        <v>1</v>
      </c>
      <c r="J309" s="95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78"/>
      <c r="AS309" s="95" t="s">
        <v>335</v>
      </c>
      <c r="AT309" s="43" t="s">
        <v>336</v>
      </c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78"/>
      <c r="CB309" s="74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</row>
    <row r="310" spans="2:130" s="46" customFormat="1" x14ac:dyDescent="0.15">
      <c r="B310" s="75" t="str">
        <f>IF(G310&lt;&gt;"",SUBTOTAL(3,$G$6:G310),"")</f>
        <v/>
      </c>
      <c r="C310" s="75"/>
      <c r="D310" s="75"/>
      <c r="E310" s="76"/>
      <c r="F310" s="76"/>
      <c r="G310" s="76"/>
      <c r="H310" s="61"/>
      <c r="I310" s="70">
        <v>1</v>
      </c>
      <c r="J310" s="96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78"/>
      <c r="AS310" s="96" t="s">
        <v>325</v>
      </c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78"/>
      <c r="CB310" s="74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</row>
    <row r="311" spans="2:130" s="46" customFormat="1" x14ac:dyDescent="0.15">
      <c r="B311" s="75" t="str">
        <f>IF(G311&lt;&gt;"",SUBTOTAL(3,$G$6:G311),"")</f>
        <v/>
      </c>
      <c r="C311" s="75"/>
      <c r="D311" s="75"/>
      <c r="E311" s="76"/>
      <c r="F311" s="76"/>
      <c r="G311" s="76"/>
      <c r="H311" s="61"/>
      <c r="I311" s="70">
        <v>1</v>
      </c>
      <c r="J311" s="96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78"/>
      <c r="AS311" s="96" t="s">
        <v>326</v>
      </c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78"/>
      <c r="CB311" s="74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</row>
    <row r="312" spans="2:130" s="46" customFormat="1" x14ac:dyDescent="0.15">
      <c r="B312" s="75" t="str">
        <f>IF(G312&lt;&gt;"",SUBTOTAL(3,$G$6:G312),"")</f>
        <v/>
      </c>
      <c r="C312" s="75"/>
      <c r="D312" s="75"/>
      <c r="E312" s="76"/>
      <c r="F312" s="76"/>
      <c r="G312" s="76"/>
      <c r="H312" s="61"/>
      <c r="I312" s="70">
        <v>1</v>
      </c>
      <c r="J312" s="96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78"/>
      <c r="AS312" s="96" t="s">
        <v>327</v>
      </c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78"/>
      <c r="CB312" s="74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</row>
    <row r="313" spans="2:130" s="46" customFormat="1" x14ac:dyDescent="0.15">
      <c r="B313" s="75" t="str">
        <f>IF(G313&lt;&gt;"",SUBTOTAL(3,$G$6:G313),"")</f>
        <v/>
      </c>
      <c r="C313" s="75"/>
      <c r="D313" s="75"/>
      <c r="E313" s="76"/>
      <c r="F313" s="76"/>
      <c r="G313" s="76"/>
      <c r="H313" s="61"/>
      <c r="I313" s="70">
        <v>1</v>
      </c>
      <c r="J313" s="96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78"/>
      <c r="AS313" s="96" t="s">
        <v>328</v>
      </c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78"/>
      <c r="CB313" s="74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/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</row>
    <row r="314" spans="2:130" s="46" customFormat="1" x14ac:dyDescent="0.15">
      <c r="B314" s="75" t="str">
        <f>IF(G314&lt;&gt;"",SUBTOTAL(3,$G$6:G314),"")</f>
        <v/>
      </c>
      <c r="C314" s="75"/>
      <c r="D314" s="75"/>
      <c r="E314" s="76"/>
      <c r="F314" s="76"/>
      <c r="G314" s="76"/>
      <c r="H314" s="61"/>
      <c r="I314" s="70">
        <v>1</v>
      </c>
      <c r="J314" s="96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78"/>
      <c r="AS314" s="96" t="s">
        <v>340</v>
      </c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78"/>
      <c r="CB314" s="74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</row>
    <row r="315" spans="2:130" s="46" customFormat="1" x14ac:dyDescent="0.15">
      <c r="B315" s="75" t="str">
        <f>IF(G315&lt;&gt;"",SUBTOTAL(3,$G$6:G315),"")</f>
        <v/>
      </c>
      <c r="C315" s="75"/>
      <c r="D315" s="75"/>
      <c r="E315" s="76"/>
      <c r="F315" s="76"/>
      <c r="G315" s="76"/>
      <c r="H315" s="61"/>
      <c r="I315" s="70">
        <v>1</v>
      </c>
      <c r="J315" s="96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78"/>
      <c r="AS315" s="96" t="s">
        <v>329</v>
      </c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78"/>
      <c r="CB315" s="74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3"/>
      <c r="DM315" s="43"/>
      <c r="DN315" s="43"/>
      <c r="DO315" s="43"/>
      <c r="DP315" s="43"/>
      <c r="DQ315" s="43"/>
      <c r="DR315" s="43"/>
      <c r="DS315" s="43"/>
      <c r="DT315" s="43"/>
      <c r="DU315" s="43"/>
      <c r="DV315" s="43"/>
      <c r="DW315" s="43"/>
      <c r="DX315" s="43"/>
      <c r="DY315" s="43"/>
      <c r="DZ315" s="43"/>
    </row>
    <row r="316" spans="2:130" s="46" customFormat="1" x14ac:dyDescent="0.15">
      <c r="B316" s="75" t="str">
        <f>IF(G316&lt;&gt;"",SUBTOTAL(3,$G$6:G316),"")</f>
        <v/>
      </c>
      <c r="C316" s="75"/>
      <c r="D316" s="75"/>
      <c r="E316" s="76"/>
      <c r="F316" s="76"/>
      <c r="G316" s="76"/>
      <c r="H316" s="61"/>
      <c r="I316" s="70">
        <v>1</v>
      </c>
      <c r="J316" s="96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78"/>
      <c r="AS316" s="96" t="s">
        <v>330</v>
      </c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78"/>
      <c r="CB316" s="74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  <c r="CU316" s="43"/>
      <c r="CV316" s="43"/>
      <c r="CW316" s="43"/>
      <c r="CX316" s="43"/>
      <c r="CY316" s="43"/>
      <c r="CZ316" s="43"/>
      <c r="DA316" s="43"/>
      <c r="DB316" s="43"/>
      <c r="DC316" s="43"/>
      <c r="DD316" s="43"/>
      <c r="DE316" s="43"/>
      <c r="DF316" s="43"/>
      <c r="DG316" s="43"/>
      <c r="DH316" s="43"/>
      <c r="DI316" s="43"/>
      <c r="DJ316" s="43"/>
      <c r="DK316" s="43"/>
      <c r="DL316" s="43"/>
      <c r="DM316" s="43"/>
      <c r="DN316" s="43"/>
      <c r="DO316" s="43"/>
      <c r="DP316" s="43"/>
      <c r="DQ316" s="43"/>
      <c r="DR316" s="43"/>
      <c r="DS316" s="43"/>
      <c r="DT316" s="43"/>
      <c r="DU316" s="43"/>
      <c r="DV316" s="43"/>
      <c r="DW316" s="43"/>
      <c r="DX316" s="43"/>
      <c r="DY316" s="43"/>
      <c r="DZ316" s="43"/>
    </row>
    <row r="317" spans="2:130" s="46" customFormat="1" x14ac:dyDescent="0.15">
      <c r="B317" s="75" t="str">
        <f>IF(G317&lt;&gt;"",SUBTOTAL(3,$G$6:G317),"")</f>
        <v/>
      </c>
      <c r="C317" s="75"/>
      <c r="D317" s="75"/>
      <c r="E317" s="76"/>
      <c r="F317" s="76"/>
      <c r="G317" s="76"/>
      <c r="H317" s="61"/>
      <c r="I317" s="70">
        <v>1</v>
      </c>
      <c r="J317" s="95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78"/>
      <c r="AS317" s="95" t="s">
        <v>335</v>
      </c>
      <c r="AT317" s="43" t="s">
        <v>337</v>
      </c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78"/>
      <c r="CB317" s="74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</row>
    <row r="318" spans="2:130" s="46" customFormat="1" x14ac:dyDescent="0.15">
      <c r="B318" s="75" t="str">
        <f>IF(G318&lt;&gt;"",SUBTOTAL(3,$G$6:G318),"")</f>
        <v/>
      </c>
      <c r="C318" s="75"/>
      <c r="D318" s="75"/>
      <c r="E318" s="76"/>
      <c r="F318" s="76"/>
      <c r="G318" s="76"/>
      <c r="H318" s="61"/>
      <c r="I318" s="70">
        <v>1</v>
      </c>
      <c r="J318" s="77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78"/>
      <c r="AS318" s="77" t="s">
        <v>341</v>
      </c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78"/>
      <c r="CB318" s="74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</row>
    <row r="319" spans="2:130" s="46" customFormat="1" x14ac:dyDescent="0.15">
      <c r="B319" s="75" t="str">
        <f>IF(G319&lt;&gt;"",SUBTOTAL(3,$G$6:G319),"")</f>
        <v/>
      </c>
      <c r="C319" s="75"/>
      <c r="D319" s="75"/>
      <c r="E319" s="76"/>
      <c r="F319" s="76"/>
      <c r="G319" s="76"/>
      <c r="H319" s="61"/>
      <c r="I319" s="70">
        <v>1</v>
      </c>
      <c r="J319" s="77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78"/>
      <c r="AS319" s="77" t="s">
        <v>342</v>
      </c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78"/>
      <c r="CB319" s="74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</row>
    <row r="320" spans="2:130" s="46" customFormat="1" x14ac:dyDescent="0.15">
      <c r="B320" s="75" t="str">
        <f>IF(G320&lt;&gt;"",SUBTOTAL(3,$G$6:G320),"")</f>
        <v/>
      </c>
      <c r="C320" s="75"/>
      <c r="D320" s="75"/>
      <c r="E320" s="76"/>
      <c r="F320" s="76"/>
      <c r="G320" s="76"/>
      <c r="H320" s="61"/>
      <c r="I320" s="70">
        <v>1</v>
      </c>
      <c r="J320" s="96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78"/>
      <c r="AS320" s="96" t="s">
        <v>325</v>
      </c>
      <c r="AT320" s="43"/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78"/>
      <c r="CB320" s="74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B320" s="43"/>
      <c r="DC320" s="43"/>
      <c r="DD320" s="43"/>
      <c r="DE320" s="43"/>
      <c r="DF320" s="43"/>
      <c r="DG320" s="43"/>
      <c r="DH320" s="43"/>
      <c r="DI320" s="43"/>
      <c r="DJ320" s="43"/>
      <c r="DK320" s="43"/>
      <c r="DL320" s="43"/>
      <c r="DM320" s="43"/>
      <c r="DN320" s="43"/>
      <c r="DO320" s="43"/>
      <c r="DP320" s="43"/>
      <c r="DQ320" s="43"/>
      <c r="DR320" s="43"/>
      <c r="DS320" s="43"/>
      <c r="DT320" s="43"/>
      <c r="DU320" s="43"/>
      <c r="DV320" s="43"/>
      <c r="DW320" s="43"/>
      <c r="DX320" s="43"/>
      <c r="DY320" s="43"/>
      <c r="DZ320" s="43"/>
    </row>
    <row r="321" spans="2:130" s="46" customFormat="1" x14ac:dyDescent="0.15">
      <c r="B321" s="75" t="str">
        <f>IF(G321&lt;&gt;"",SUBTOTAL(3,$G$6:G321),"")</f>
        <v/>
      </c>
      <c r="C321" s="75"/>
      <c r="D321" s="75"/>
      <c r="E321" s="76"/>
      <c r="F321" s="76"/>
      <c r="G321" s="76"/>
      <c r="H321" s="61"/>
      <c r="I321" s="70">
        <v>1</v>
      </c>
      <c r="J321" s="96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78"/>
      <c r="AS321" s="96" t="s">
        <v>326</v>
      </c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78"/>
      <c r="CB321" s="74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  <c r="CU321" s="43"/>
      <c r="CV321" s="43"/>
      <c r="CW321" s="43"/>
      <c r="CX321" s="43"/>
      <c r="CY321" s="43"/>
      <c r="CZ321" s="43"/>
      <c r="DA321" s="43"/>
      <c r="DB321" s="43"/>
      <c r="DC321" s="43"/>
      <c r="DD321" s="43"/>
      <c r="DE321" s="43"/>
      <c r="DF321" s="43"/>
      <c r="DG321" s="43"/>
      <c r="DH321" s="43"/>
      <c r="DI321" s="43"/>
      <c r="DJ321" s="43"/>
      <c r="DK321" s="43"/>
      <c r="DL321" s="43"/>
      <c r="DM321" s="43"/>
      <c r="DN321" s="43"/>
      <c r="DO321" s="43"/>
      <c r="DP321" s="43"/>
      <c r="DQ321" s="43"/>
      <c r="DR321" s="43"/>
      <c r="DS321" s="43"/>
      <c r="DT321" s="43"/>
      <c r="DU321" s="43"/>
      <c r="DV321" s="43"/>
      <c r="DW321" s="43"/>
      <c r="DX321" s="43"/>
      <c r="DY321" s="43"/>
      <c r="DZ321" s="43"/>
    </row>
    <row r="322" spans="2:130" s="46" customFormat="1" x14ac:dyDescent="0.15">
      <c r="B322" s="75" t="str">
        <f>IF(G322&lt;&gt;"",SUBTOTAL(3,$G$6:G322),"")</f>
        <v/>
      </c>
      <c r="C322" s="75"/>
      <c r="D322" s="75"/>
      <c r="E322" s="76"/>
      <c r="F322" s="76"/>
      <c r="G322" s="76"/>
      <c r="H322" s="61"/>
      <c r="I322" s="70">
        <v>1</v>
      </c>
      <c r="J322" s="96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78"/>
      <c r="AS322" s="96" t="s">
        <v>327</v>
      </c>
      <c r="AT322" s="43"/>
      <c r="AU322" s="43"/>
      <c r="AV322" s="43"/>
      <c r="AW322" s="43"/>
      <c r="AX322" s="43"/>
      <c r="AY322" s="43"/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78"/>
      <c r="CB322" s="74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B322" s="43"/>
      <c r="DC322" s="43"/>
      <c r="DD322" s="43"/>
      <c r="DE322" s="43"/>
      <c r="DF322" s="43"/>
      <c r="DG322" s="43"/>
      <c r="DH322" s="43"/>
      <c r="DI322" s="43"/>
      <c r="DJ322" s="43"/>
      <c r="DK322" s="43"/>
      <c r="DL322" s="43"/>
      <c r="DM322" s="43"/>
      <c r="DN322" s="43"/>
      <c r="DO322" s="43"/>
      <c r="DP322" s="43"/>
      <c r="DQ322" s="43"/>
      <c r="DR322" s="43"/>
      <c r="DS322" s="43"/>
      <c r="DT322" s="43"/>
      <c r="DU322" s="43"/>
      <c r="DV322" s="43"/>
      <c r="DW322" s="43"/>
      <c r="DX322" s="43"/>
      <c r="DY322" s="43"/>
      <c r="DZ322" s="43"/>
    </row>
    <row r="323" spans="2:130" s="46" customFormat="1" x14ac:dyDescent="0.15">
      <c r="B323" s="75" t="str">
        <f>IF(G323&lt;&gt;"",SUBTOTAL(3,$G$6:G323),"")</f>
        <v/>
      </c>
      <c r="C323" s="75"/>
      <c r="D323" s="75"/>
      <c r="E323" s="76"/>
      <c r="F323" s="76"/>
      <c r="G323" s="76"/>
      <c r="H323" s="61"/>
      <c r="I323" s="70">
        <v>1</v>
      </c>
      <c r="J323" s="96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78"/>
      <c r="AS323" s="96" t="s">
        <v>328</v>
      </c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78"/>
      <c r="CB323" s="74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B323" s="43"/>
      <c r="DC323" s="43"/>
      <c r="DD323" s="43"/>
      <c r="DE323" s="43"/>
      <c r="DF323" s="43"/>
      <c r="DG323" s="43"/>
      <c r="DH323" s="43"/>
      <c r="DI323" s="43"/>
      <c r="DJ323" s="43"/>
      <c r="DK323" s="43"/>
      <c r="DL323" s="43"/>
      <c r="DM323" s="43"/>
      <c r="DN323" s="43"/>
      <c r="DO323" s="43"/>
      <c r="DP323" s="43"/>
      <c r="DQ323" s="43"/>
      <c r="DR323" s="43"/>
      <c r="DS323" s="43"/>
      <c r="DT323" s="43"/>
      <c r="DU323" s="43"/>
      <c r="DV323" s="43"/>
      <c r="DW323" s="43"/>
      <c r="DX323" s="43"/>
      <c r="DY323" s="43"/>
      <c r="DZ323" s="43"/>
    </row>
    <row r="324" spans="2:130" s="46" customFormat="1" x14ac:dyDescent="0.15">
      <c r="B324" s="75" t="str">
        <f>IF(G324&lt;&gt;"",SUBTOTAL(3,$G$6:G324),"")</f>
        <v/>
      </c>
      <c r="C324" s="75"/>
      <c r="D324" s="75"/>
      <c r="E324" s="76"/>
      <c r="F324" s="76"/>
      <c r="G324" s="76"/>
      <c r="H324" s="61"/>
      <c r="I324" s="70">
        <v>1</v>
      </c>
      <c r="J324" s="96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78"/>
      <c r="AS324" s="96" t="s">
        <v>343</v>
      </c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78"/>
      <c r="CB324" s="74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</row>
    <row r="325" spans="2:130" s="46" customFormat="1" x14ac:dyDescent="0.15">
      <c r="B325" s="75" t="str">
        <f>IF(G325&lt;&gt;"",SUBTOTAL(3,$G$6:G325),"")</f>
        <v/>
      </c>
      <c r="C325" s="75"/>
      <c r="D325" s="75"/>
      <c r="E325" s="76"/>
      <c r="F325" s="76"/>
      <c r="G325" s="76"/>
      <c r="H325" s="61"/>
      <c r="I325" s="70">
        <v>1</v>
      </c>
      <c r="J325" s="96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78"/>
      <c r="AS325" s="96" t="s">
        <v>331</v>
      </c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78"/>
      <c r="CB325" s="74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</row>
    <row r="326" spans="2:130" s="46" customFormat="1" x14ac:dyDescent="0.15">
      <c r="B326" s="75" t="str">
        <f>IF(G326&lt;&gt;"",SUBTOTAL(3,$G$6:G326),"")</f>
        <v/>
      </c>
      <c r="C326" s="75"/>
      <c r="D326" s="75"/>
      <c r="E326" s="76"/>
      <c r="F326" s="76"/>
      <c r="G326" s="76"/>
      <c r="H326" s="61"/>
      <c r="I326" s="70">
        <v>1</v>
      </c>
      <c r="J326" s="96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78"/>
      <c r="AS326" s="96" t="s">
        <v>329</v>
      </c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78"/>
      <c r="CB326" s="74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B326" s="43"/>
      <c r="DC326" s="43"/>
      <c r="DD326" s="43"/>
      <c r="DE326" s="43"/>
      <c r="DF326" s="43"/>
      <c r="DG326" s="43"/>
      <c r="DH326" s="43"/>
      <c r="DI326" s="43"/>
      <c r="DJ326" s="43"/>
      <c r="DK326" s="43"/>
      <c r="DL326" s="43"/>
      <c r="DM326" s="43"/>
      <c r="DN326" s="43"/>
      <c r="DO326" s="43"/>
      <c r="DP326" s="43"/>
      <c r="DQ326" s="43"/>
      <c r="DR326" s="43"/>
      <c r="DS326" s="43"/>
      <c r="DT326" s="43"/>
      <c r="DU326" s="43"/>
      <c r="DV326" s="43"/>
      <c r="DW326" s="43"/>
      <c r="DX326" s="43"/>
      <c r="DY326" s="43"/>
      <c r="DZ326" s="43"/>
    </row>
    <row r="327" spans="2:130" s="46" customFormat="1" x14ac:dyDescent="0.15">
      <c r="B327" s="75" t="str">
        <f>IF(G327&lt;&gt;"",SUBTOTAL(3,$G$6:G327),"")</f>
        <v/>
      </c>
      <c r="C327" s="75"/>
      <c r="D327" s="75"/>
      <c r="E327" s="76"/>
      <c r="F327" s="76"/>
      <c r="G327" s="76"/>
      <c r="H327" s="61"/>
      <c r="I327" s="70">
        <v>1</v>
      </c>
      <c r="J327" s="96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78"/>
      <c r="AS327" s="96" t="s">
        <v>330</v>
      </c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78"/>
      <c r="CB327" s="74"/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/>
      <c r="DA327" s="43"/>
      <c r="DB327" s="43"/>
      <c r="DC327" s="43"/>
      <c r="DD327" s="43"/>
      <c r="DE327" s="43"/>
      <c r="DF327" s="43"/>
      <c r="DG327" s="43"/>
      <c r="DH327" s="43"/>
      <c r="DI327" s="43"/>
      <c r="DJ327" s="43"/>
      <c r="DK327" s="43"/>
      <c r="DL327" s="43"/>
      <c r="DM327" s="43"/>
      <c r="DN327" s="43"/>
      <c r="DO327" s="43"/>
      <c r="DP327" s="43"/>
      <c r="DQ327" s="43"/>
      <c r="DR327" s="43"/>
      <c r="DS327" s="43"/>
      <c r="DT327" s="43"/>
      <c r="DU327" s="43"/>
      <c r="DV327" s="43"/>
      <c r="DW327" s="43"/>
      <c r="DX327" s="43"/>
      <c r="DY327" s="43"/>
      <c r="DZ327" s="43"/>
    </row>
    <row r="328" spans="2:130" s="46" customFormat="1" x14ac:dyDescent="0.15">
      <c r="B328" s="75" t="str">
        <f>IF(G328&lt;&gt;"",SUBTOTAL(3,$G$6:G328),"")</f>
        <v/>
      </c>
      <c r="C328" s="75"/>
      <c r="D328" s="75"/>
      <c r="E328" s="76"/>
      <c r="F328" s="76"/>
      <c r="G328" s="76"/>
      <c r="H328" s="61"/>
      <c r="I328" s="70">
        <v>1</v>
      </c>
      <c r="J328" s="95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78"/>
      <c r="AS328" s="95" t="s">
        <v>338</v>
      </c>
      <c r="AT328" s="43" t="s">
        <v>339</v>
      </c>
      <c r="AU328" s="43"/>
      <c r="AV328" s="43"/>
      <c r="AW328" s="43"/>
      <c r="AX328" s="43"/>
      <c r="AY328" s="43"/>
      <c r="AZ328" s="43"/>
      <c r="BA328" s="43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78"/>
      <c r="CB328" s="74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/>
      <c r="CP328" s="43"/>
      <c r="CQ328" s="43"/>
      <c r="CR328" s="43"/>
      <c r="CS328" s="43"/>
      <c r="CT328" s="43"/>
      <c r="CU328" s="43"/>
      <c r="CV328" s="43"/>
      <c r="CW328" s="43"/>
      <c r="CX328" s="43"/>
      <c r="CY328" s="43"/>
      <c r="CZ328" s="43"/>
      <c r="DA328" s="43"/>
      <c r="DB328" s="43"/>
      <c r="DC328" s="43"/>
      <c r="DD328" s="43"/>
      <c r="DE328" s="43"/>
      <c r="DF328" s="43"/>
      <c r="DG328" s="43"/>
      <c r="DH328" s="43"/>
      <c r="DI328" s="43"/>
      <c r="DJ328" s="43"/>
      <c r="DK328" s="43"/>
      <c r="DL328" s="43"/>
      <c r="DM328" s="43"/>
      <c r="DN328" s="43"/>
      <c r="DO328" s="43"/>
      <c r="DP328" s="43"/>
      <c r="DQ328" s="43"/>
      <c r="DR328" s="43"/>
      <c r="DS328" s="43"/>
      <c r="DT328" s="43"/>
      <c r="DU328" s="43"/>
      <c r="DV328" s="43"/>
      <c r="DW328" s="43"/>
      <c r="DX328" s="43"/>
      <c r="DY328" s="43"/>
      <c r="DZ328" s="43"/>
    </row>
    <row r="329" spans="2:130" s="46" customFormat="1" x14ac:dyDescent="0.15">
      <c r="B329" s="75" t="str">
        <f>IF(G329&lt;&gt;"",SUBTOTAL(3,$G$6:G329),"")</f>
        <v/>
      </c>
      <c r="C329" s="75"/>
      <c r="D329" s="75"/>
      <c r="E329" s="76"/>
      <c r="F329" s="76"/>
      <c r="G329" s="76"/>
      <c r="H329" s="61"/>
      <c r="I329" s="70">
        <v>1</v>
      </c>
      <c r="J329" s="77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78"/>
      <c r="AS329" s="77" t="s">
        <v>344</v>
      </c>
      <c r="AT329" s="43"/>
      <c r="AU329" s="43"/>
      <c r="AV329" s="43"/>
      <c r="AW329" s="43"/>
      <c r="AX329" s="43"/>
      <c r="AY329" s="43"/>
      <c r="AZ329" s="43"/>
      <c r="BA329" s="43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/>
      <c r="BR329" s="43"/>
      <c r="BS329" s="43"/>
      <c r="BT329" s="43"/>
      <c r="BU329" s="43"/>
      <c r="BV329" s="43"/>
      <c r="BW329" s="43"/>
      <c r="BX329" s="43"/>
      <c r="BY329" s="43"/>
      <c r="BZ329" s="43"/>
      <c r="CA329" s="78"/>
      <c r="CB329" s="74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  <c r="CU329" s="43"/>
      <c r="CV329" s="43"/>
      <c r="CW329" s="43"/>
      <c r="CX329" s="43"/>
      <c r="CY329" s="43"/>
      <c r="CZ329" s="43"/>
      <c r="DA329" s="43"/>
      <c r="DB329" s="43"/>
      <c r="DC329" s="43"/>
      <c r="DD329" s="43"/>
      <c r="DE329" s="43"/>
      <c r="DF329" s="43"/>
      <c r="DG329" s="43"/>
      <c r="DH329" s="43"/>
      <c r="DI329" s="43"/>
      <c r="DJ329" s="43"/>
      <c r="DK329" s="43"/>
      <c r="DL329" s="43"/>
      <c r="DM329" s="43"/>
      <c r="DN329" s="43"/>
      <c r="DO329" s="43"/>
      <c r="DP329" s="43"/>
      <c r="DQ329" s="43"/>
      <c r="DR329" s="43"/>
      <c r="DS329" s="43"/>
      <c r="DT329" s="43"/>
      <c r="DU329" s="43"/>
      <c r="DV329" s="43"/>
      <c r="DW329" s="43"/>
      <c r="DX329" s="43"/>
      <c r="DY329" s="43"/>
      <c r="DZ329" s="43"/>
    </row>
    <row r="330" spans="2:130" s="46" customFormat="1" x14ac:dyDescent="0.15">
      <c r="B330" s="75" t="str">
        <f>IF(G330&lt;&gt;"",SUBTOTAL(3,$G$6:G330),"")</f>
        <v/>
      </c>
      <c r="C330" s="75"/>
      <c r="D330" s="75"/>
      <c r="E330" s="76"/>
      <c r="F330" s="76"/>
      <c r="G330" s="76"/>
      <c r="H330" s="61"/>
      <c r="I330" s="70">
        <v>1</v>
      </c>
      <c r="J330" s="96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78"/>
      <c r="AS330" s="96" t="s">
        <v>325</v>
      </c>
      <c r="AT330" s="43"/>
      <c r="AU330" s="43"/>
      <c r="AV330" s="43"/>
      <c r="AW330" s="43"/>
      <c r="AX330" s="43"/>
      <c r="AY330" s="43"/>
      <c r="AZ330" s="43"/>
      <c r="BA330" s="43"/>
      <c r="BB330" s="43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43"/>
      <c r="BO330" s="43"/>
      <c r="BP330" s="43"/>
      <c r="BQ330" s="43"/>
      <c r="BR330" s="43"/>
      <c r="BS330" s="43"/>
      <c r="BT330" s="43"/>
      <c r="BU330" s="43"/>
      <c r="BV330" s="43"/>
      <c r="BW330" s="43"/>
      <c r="BX330" s="43"/>
      <c r="BY330" s="43"/>
      <c r="BZ330" s="43"/>
      <c r="CA330" s="78"/>
      <c r="CB330" s="74"/>
      <c r="CC330" s="43"/>
      <c r="CD330" s="43"/>
      <c r="CE330" s="43"/>
      <c r="CF330" s="43"/>
      <c r="CG330" s="43"/>
      <c r="CH330" s="43"/>
      <c r="CI330" s="43"/>
      <c r="CJ330" s="43"/>
      <c r="CK330" s="43"/>
      <c r="CL330" s="43"/>
      <c r="CM330" s="43"/>
      <c r="CN330" s="43"/>
      <c r="CO330" s="43"/>
      <c r="CP330" s="43"/>
      <c r="CQ330" s="43"/>
      <c r="CR330" s="43"/>
      <c r="CS330" s="43"/>
      <c r="CT330" s="43"/>
      <c r="CU330" s="43"/>
      <c r="CV330" s="43"/>
      <c r="CW330" s="43"/>
      <c r="CX330" s="43"/>
      <c r="CY330" s="43"/>
      <c r="CZ330" s="43"/>
      <c r="DA330" s="43"/>
      <c r="DB330" s="43"/>
      <c r="DC330" s="43"/>
      <c r="DD330" s="43"/>
      <c r="DE330" s="43"/>
      <c r="DF330" s="43"/>
      <c r="DG330" s="43"/>
      <c r="DH330" s="43"/>
      <c r="DI330" s="43"/>
      <c r="DJ330" s="43"/>
      <c r="DK330" s="43"/>
      <c r="DL330" s="43"/>
      <c r="DM330" s="43"/>
      <c r="DN330" s="43"/>
      <c r="DO330" s="43"/>
      <c r="DP330" s="43"/>
      <c r="DQ330" s="43"/>
      <c r="DR330" s="43"/>
      <c r="DS330" s="43"/>
      <c r="DT330" s="43"/>
      <c r="DU330" s="43"/>
      <c r="DV330" s="43"/>
      <c r="DW330" s="43"/>
      <c r="DX330" s="43"/>
      <c r="DY330" s="43"/>
      <c r="DZ330" s="43"/>
    </row>
    <row r="331" spans="2:130" s="46" customFormat="1" x14ac:dyDescent="0.15">
      <c r="B331" s="75" t="str">
        <f>IF(G331&lt;&gt;"",SUBTOTAL(3,$G$6:G331),"")</f>
        <v/>
      </c>
      <c r="C331" s="75"/>
      <c r="D331" s="75"/>
      <c r="E331" s="76"/>
      <c r="F331" s="76"/>
      <c r="G331" s="76"/>
      <c r="H331" s="61"/>
      <c r="I331" s="70">
        <v>1</v>
      </c>
      <c r="J331" s="96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78"/>
      <c r="AS331" s="96" t="s">
        <v>326</v>
      </c>
      <c r="AT331" s="43"/>
      <c r="AU331" s="43"/>
      <c r="AV331" s="43"/>
      <c r="AW331" s="43"/>
      <c r="AX331" s="43"/>
      <c r="AY331" s="43"/>
      <c r="AZ331" s="43"/>
      <c r="BA331" s="43"/>
      <c r="BB331" s="43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43"/>
      <c r="BO331" s="43"/>
      <c r="BP331" s="43"/>
      <c r="BQ331" s="43"/>
      <c r="BR331" s="43"/>
      <c r="BS331" s="43"/>
      <c r="BT331" s="43"/>
      <c r="BU331" s="43"/>
      <c r="BV331" s="43"/>
      <c r="BW331" s="43"/>
      <c r="BX331" s="43"/>
      <c r="BY331" s="43"/>
      <c r="BZ331" s="43"/>
      <c r="CA331" s="78"/>
      <c r="CB331" s="74"/>
      <c r="CC331" s="43"/>
      <c r="CD331" s="43"/>
      <c r="CE331" s="43"/>
      <c r="CF331" s="43"/>
      <c r="CG331" s="43"/>
      <c r="CH331" s="43"/>
      <c r="CI331" s="43"/>
      <c r="CJ331" s="43"/>
      <c r="CK331" s="43"/>
      <c r="CL331" s="43"/>
      <c r="CM331" s="43"/>
      <c r="CN331" s="43"/>
      <c r="CO331" s="43"/>
      <c r="CP331" s="43"/>
      <c r="CQ331" s="43"/>
      <c r="CR331" s="43"/>
      <c r="CS331" s="43"/>
      <c r="CT331" s="43"/>
      <c r="CU331" s="43"/>
      <c r="CV331" s="43"/>
      <c r="CW331" s="43"/>
      <c r="CX331" s="43"/>
      <c r="CY331" s="43"/>
      <c r="CZ331" s="43"/>
      <c r="DA331" s="43"/>
      <c r="DB331" s="43"/>
      <c r="DC331" s="43"/>
      <c r="DD331" s="43"/>
      <c r="DE331" s="43"/>
      <c r="DF331" s="43"/>
      <c r="DG331" s="43"/>
      <c r="DH331" s="43"/>
      <c r="DI331" s="43"/>
      <c r="DJ331" s="43"/>
      <c r="DK331" s="43"/>
      <c r="DL331" s="43"/>
      <c r="DM331" s="43"/>
      <c r="DN331" s="43"/>
      <c r="DO331" s="43"/>
      <c r="DP331" s="43"/>
      <c r="DQ331" s="43"/>
      <c r="DR331" s="43"/>
      <c r="DS331" s="43"/>
      <c r="DT331" s="43"/>
      <c r="DU331" s="43"/>
      <c r="DV331" s="43"/>
      <c r="DW331" s="43"/>
      <c r="DX331" s="43"/>
      <c r="DY331" s="43"/>
      <c r="DZ331" s="43"/>
    </row>
    <row r="332" spans="2:130" s="46" customFormat="1" x14ac:dyDescent="0.15">
      <c r="B332" s="75" t="str">
        <f>IF(G332&lt;&gt;"",SUBTOTAL(3,$G$6:G332),"")</f>
        <v/>
      </c>
      <c r="C332" s="75"/>
      <c r="D332" s="75"/>
      <c r="E332" s="76"/>
      <c r="F332" s="76"/>
      <c r="G332" s="76"/>
      <c r="H332" s="61"/>
      <c r="I332" s="70">
        <v>1</v>
      </c>
      <c r="J332" s="96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  <c r="AK332" s="43"/>
      <c r="AL332" s="43"/>
      <c r="AM332" s="43"/>
      <c r="AN332" s="43"/>
      <c r="AO332" s="43"/>
      <c r="AP332" s="43"/>
      <c r="AQ332" s="43"/>
      <c r="AR332" s="78"/>
      <c r="AS332" s="96" t="s">
        <v>327</v>
      </c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43"/>
      <c r="BP332" s="43"/>
      <c r="BQ332" s="43"/>
      <c r="BR332" s="43"/>
      <c r="BS332" s="43"/>
      <c r="BT332" s="43"/>
      <c r="BU332" s="43"/>
      <c r="BV332" s="43"/>
      <c r="BW332" s="43"/>
      <c r="BX332" s="43"/>
      <c r="BY332" s="43"/>
      <c r="BZ332" s="43"/>
      <c r="CA332" s="78"/>
      <c r="CB332" s="74"/>
      <c r="CC332" s="43"/>
      <c r="CD332" s="43"/>
      <c r="CE332" s="43"/>
      <c r="CF332" s="43"/>
      <c r="CG332" s="43"/>
      <c r="CH332" s="43"/>
      <c r="CI332" s="43"/>
      <c r="CJ332" s="43"/>
      <c r="CK332" s="43"/>
      <c r="CL332" s="43"/>
      <c r="CM332" s="43"/>
      <c r="CN332" s="43"/>
      <c r="CO332" s="43"/>
      <c r="CP332" s="43"/>
      <c r="CQ332" s="43"/>
      <c r="CR332" s="43"/>
      <c r="CS332" s="43"/>
      <c r="CT332" s="43"/>
      <c r="CU332" s="43"/>
      <c r="CV332" s="43"/>
      <c r="CW332" s="43"/>
      <c r="CX332" s="43"/>
      <c r="CY332" s="43"/>
      <c r="CZ332" s="43"/>
      <c r="DA332" s="43"/>
      <c r="DB332" s="43"/>
      <c r="DC332" s="43"/>
      <c r="DD332" s="43"/>
      <c r="DE332" s="43"/>
      <c r="DF332" s="43"/>
      <c r="DG332" s="43"/>
      <c r="DH332" s="43"/>
      <c r="DI332" s="43"/>
      <c r="DJ332" s="43"/>
      <c r="DK332" s="43"/>
      <c r="DL332" s="43"/>
      <c r="DM332" s="43"/>
      <c r="DN332" s="43"/>
      <c r="DO332" s="43"/>
      <c r="DP332" s="43"/>
      <c r="DQ332" s="43"/>
      <c r="DR332" s="43"/>
      <c r="DS332" s="43"/>
      <c r="DT332" s="43"/>
      <c r="DU332" s="43"/>
      <c r="DV332" s="43"/>
      <c r="DW332" s="43"/>
      <c r="DX332" s="43"/>
      <c r="DY332" s="43"/>
      <c r="DZ332" s="43"/>
    </row>
    <row r="333" spans="2:130" s="46" customFormat="1" x14ac:dyDescent="0.15">
      <c r="B333" s="75" t="str">
        <f>IF(G333&lt;&gt;"",SUBTOTAL(3,$G$6:G333),"")</f>
        <v/>
      </c>
      <c r="C333" s="75"/>
      <c r="D333" s="75"/>
      <c r="E333" s="76"/>
      <c r="F333" s="76"/>
      <c r="G333" s="76"/>
      <c r="H333" s="61"/>
      <c r="I333" s="70">
        <v>1</v>
      </c>
      <c r="J333" s="96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  <c r="AQ333" s="43"/>
      <c r="AR333" s="78"/>
      <c r="AS333" s="96" t="s">
        <v>328</v>
      </c>
      <c r="AT333" s="43"/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43"/>
      <c r="BP333" s="43"/>
      <c r="BQ333" s="43"/>
      <c r="BR333" s="43"/>
      <c r="BS333" s="43"/>
      <c r="BT333" s="43"/>
      <c r="BU333" s="43"/>
      <c r="BV333" s="43"/>
      <c r="BW333" s="43"/>
      <c r="BX333" s="43"/>
      <c r="BY333" s="43"/>
      <c r="BZ333" s="43"/>
      <c r="CA333" s="78"/>
      <c r="CB333" s="74"/>
      <c r="CC333" s="43"/>
      <c r="CD333" s="43"/>
      <c r="CE333" s="43"/>
      <c r="CF333" s="43"/>
      <c r="CG333" s="43"/>
      <c r="CH333" s="43"/>
      <c r="CI333" s="43"/>
      <c r="CJ333" s="43"/>
      <c r="CK333" s="43"/>
      <c r="CL333" s="43"/>
      <c r="CM333" s="43"/>
      <c r="CN333" s="43"/>
      <c r="CO333" s="43"/>
      <c r="CP333" s="43"/>
      <c r="CQ333" s="43"/>
      <c r="CR333" s="43"/>
      <c r="CS333" s="43"/>
      <c r="CT333" s="43"/>
      <c r="CU333" s="43"/>
      <c r="CV333" s="43"/>
      <c r="CW333" s="43"/>
      <c r="CX333" s="43"/>
      <c r="CY333" s="43"/>
      <c r="CZ333" s="43"/>
      <c r="DA333" s="43"/>
      <c r="DB333" s="43"/>
      <c r="DC333" s="43"/>
      <c r="DD333" s="43"/>
      <c r="DE333" s="43"/>
      <c r="DF333" s="43"/>
      <c r="DG333" s="43"/>
      <c r="DH333" s="43"/>
      <c r="DI333" s="43"/>
      <c r="DJ333" s="43"/>
      <c r="DK333" s="43"/>
      <c r="DL333" s="43"/>
      <c r="DM333" s="43"/>
      <c r="DN333" s="43"/>
      <c r="DO333" s="43"/>
      <c r="DP333" s="43"/>
      <c r="DQ333" s="43"/>
      <c r="DR333" s="43"/>
      <c r="DS333" s="43"/>
      <c r="DT333" s="43"/>
      <c r="DU333" s="43"/>
      <c r="DV333" s="43"/>
      <c r="DW333" s="43"/>
      <c r="DX333" s="43"/>
      <c r="DY333" s="43"/>
      <c r="DZ333" s="43"/>
    </row>
    <row r="334" spans="2:130" s="46" customFormat="1" x14ac:dyDescent="0.15">
      <c r="B334" s="75" t="str">
        <f>IF(G334&lt;&gt;"",SUBTOTAL(3,$G$6:G334),"")</f>
        <v/>
      </c>
      <c r="C334" s="75"/>
      <c r="D334" s="75"/>
      <c r="E334" s="76"/>
      <c r="F334" s="76"/>
      <c r="G334" s="76"/>
      <c r="H334" s="61"/>
      <c r="I334" s="70">
        <v>1</v>
      </c>
      <c r="J334" s="96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43"/>
      <c r="AM334" s="43"/>
      <c r="AN334" s="43"/>
      <c r="AO334" s="43"/>
      <c r="AP334" s="43"/>
      <c r="AQ334" s="43"/>
      <c r="AR334" s="78"/>
      <c r="AS334" s="96" t="s">
        <v>332</v>
      </c>
      <c r="AT334" s="43"/>
      <c r="AU334" s="43"/>
      <c r="AV334" s="43"/>
      <c r="AW334" s="43"/>
      <c r="AX334" s="43"/>
      <c r="AY334" s="43"/>
      <c r="AZ334" s="43"/>
      <c r="BA334" s="43"/>
      <c r="BB334" s="43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43"/>
      <c r="BO334" s="43"/>
      <c r="BP334" s="43"/>
      <c r="BQ334" s="43"/>
      <c r="BR334" s="43"/>
      <c r="BS334" s="43"/>
      <c r="BT334" s="43"/>
      <c r="BU334" s="43"/>
      <c r="BV334" s="43"/>
      <c r="BW334" s="43"/>
      <c r="BX334" s="43"/>
      <c r="BY334" s="43"/>
      <c r="BZ334" s="43"/>
      <c r="CA334" s="78"/>
      <c r="CB334" s="74"/>
      <c r="CC334" s="43"/>
      <c r="CD334" s="43"/>
      <c r="CE334" s="43"/>
      <c r="CF334" s="43"/>
      <c r="CG334" s="43"/>
      <c r="CH334" s="43"/>
      <c r="CI334" s="43"/>
      <c r="CJ334" s="43"/>
      <c r="CK334" s="43"/>
      <c r="CL334" s="43"/>
      <c r="CM334" s="43"/>
      <c r="CN334" s="43"/>
      <c r="CO334" s="43"/>
      <c r="CP334" s="43"/>
      <c r="CQ334" s="43"/>
      <c r="CR334" s="43"/>
      <c r="CS334" s="43"/>
      <c r="CT334" s="43"/>
      <c r="CU334" s="43"/>
      <c r="CV334" s="43"/>
      <c r="CW334" s="43"/>
      <c r="CX334" s="43"/>
      <c r="CY334" s="43"/>
      <c r="CZ334" s="43"/>
      <c r="DA334" s="43"/>
      <c r="DB334" s="43"/>
      <c r="DC334" s="43"/>
      <c r="DD334" s="43"/>
      <c r="DE334" s="43"/>
      <c r="DF334" s="43"/>
      <c r="DG334" s="43"/>
      <c r="DH334" s="43"/>
      <c r="DI334" s="43"/>
      <c r="DJ334" s="43"/>
      <c r="DK334" s="43"/>
      <c r="DL334" s="43"/>
      <c r="DM334" s="43"/>
      <c r="DN334" s="43"/>
      <c r="DO334" s="43"/>
      <c r="DP334" s="43"/>
      <c r="DQ334" s="43"/>
      <c r="DR334" s="43"/>
      <c r="DS334" s="43"/>
      <c r="DT334" s="43"/>
      <c r="DU334" s="43"/>
      <c r="DV334" s="43"/>
      <c r="DW334" s="43"/>
      <c r="DX334" s="43"/>
      <c r="DY334" s="43"/>
      <c r="DZ334" s="43"/>
    </row>
    <row r="335" spans="2:130" s="46" customFormat="1" x14ac:dyDescent="0.15">
      <c r="B335" s="75" t="str">
        <f>IF(G335&lt;&gt;"",SUBTOTAL(3,$G$6:G335),"")</f>
        <v/>
      </c>
      <c r="C335" s="75"/>
      <c r="D335" s="75"/>
      <c r="E335" s="76"/>
      <c r="F335" s="76"/>
      <c r="G335" s="76"/>
      <c r="H335" s="61"/>
      <c r="I335" s="70">
        <v>1</v>
      </c>
      <c r="J335" s="96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  <c r="AQ335" s="43"/>
      <c r="AR335" s="78"/>
      <c r="AS335" s="96" t="s">
        <v>329</v>
      </c>
      <c r="AT335" s="43"/>
      <c r="AU335" s="43"/>
      <c r="AV335" s="43"/>
      <c r="AW335" s="43"/>
      <c r="AX335" s="43"/>
      <c r="AY335" s="43"/>
      <c r="AZ335" s="43"/>
      <c r="BA335" s="43"/>
      <c r="BB335" s="43"/>
      <c r="BC335" s="43"/>
      <c r="BD335" s="43"/>
      <c r="BE335" s="43"/>
      <c r="BF335" s="43"/>
      <c r="BG335" s="43"/>
      <c r="BH335" s="43"/>
      <c r="BI335" s="43"/>
      <c r="BJ335" s="43"/>
      <c r="BK335" s="43"/>
      <c r="BL335" s="43"/>
      <c r="BM335" s="43"/>
      <c r="BN335" s="43"/>
      <c r="BO335" s="43"/>
      <c r="BP335" s="43"/>
      <c r="BQ335" s="43"/>
      <c r="BR335" s="43"/>
      <c r="BS335" s="43"/>
      <c r="BT335" s="43"/>
      <c r="BU335" s="43"/>
      <c r="BV335" s="43"/>
      <c r="BW335" s="43"/>
      <c r="BX335" s="43"/>
      <c r="BY335" s="43"/>
      <c r="BZ335" s="43"/>
      <c r="CA335" s="78"/>
      <c r="CB335" s="74"/>
      <c r="CC335" s="43"/>
      <c r="CD335" s="43"/>
      <c r="CE335" s="43"/>
      <c r="CF335" s="43"/>
      <c r="CG335" s="43"/>
      <c r="CH335" s="43"/>
      <c r="CI335" s="43"/>
      <c r="CJ335" s="43"/>
      <c r="CK335" s="43"/>
      <c r="CL335" s="43"/>
      <c r="CM335" s="43"/>
      <c r="CN335" s="43"/>
      <c r="CO335" s="43"/>
      <c r="CP335" s="43"/>
      <c r="CQ335" s="43"/>
      <c r="CR335" s="43"/>
      <c r="CS335" s="43"/>
      <c r="CT335" s="43"/>
      <c r="CU335" s="43"/>
      <c r="CV335" s="43"/>
      <c r="CW335" s="43"/>
      <c r="CX335" s="43"/>
      <c r="CY335" s="43"/>
      <c r="CZ335" s="43"/>
      <c r="DA335" s="43"/>
      <c r="DB335" s="43"/>
      <c r="DC335" s="43"/>
      <c r="DD335" s="43"/>
      <c r="DE335" s="43"/>
      <c r="DF335" s="43"/>
      <c r="DG335" s="43"/>
      <c r="DH335" s="43"/>
      <c r="DI335" s="43"/>
      <c r="DJ335" s="43"/>
      <c r="DK335" s="43"/>
      <c r="DL335" s="43"/>
      <c r="DM335" s="43"/>
      <c r="DN335" s="43"/>
      <c r="DO335" s="43"/>
      <c r="DP335" s="43"/>
      <c r="DQ335" s="43"/>
      <c r="DR335" s="43"/>
      <c r="DS335" s="43"/>
      <c r="DT335" s="43"/>
      <c r="DU335" s="43"/>
      <c r="DV335" s="43"/>
      <c r="DW335" s="43"/>
      <c r="DX335" s="43"/>
      <c r="DY335" s="43"/>
      <c r="DZ335" s="43"/>
    </row>
    <row r="336" spans="2:130" s="46" customFormat="1" x14ac:dyDescent="0.15">
      <c r="B336" s="75" t="str">
        <f>IF(G336&lt;&gt;"",SUBTOTAL(3,$G$6:G336),"")</f>
        <v/>
      </c>
      <c r="C336" s="75"/>
      <c r="D336" s="75"/>
      <c r="E336" s="76"/>
      <c r="F336" s="76"/>
      <c r="G336" s="76"/>
      <c r="H336" s="61"/>
      <c r="I336" s="70">
        <v>1</v>
      </c>
      <c r="J336" s="96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  <c r="AK336" s="43"/>
      <c r="AL336" s="43"/>
      <c r="AM336" s="43"/>
      <c r="AN336" s="43"/>
      <c r="AO336" s="43"/>
      <c r="AP336" s="43"/>
      <c r="AQ336" s="43"/>
      <c r="AR336" s="78"/>
      <c r="AS336" s="96" t="s">
        <v>330</v>
      </c>
      <c r="AT336" s="43"/>
      <c r="AU336" s="43"/>
      <c r="AV336" s="43"/>
      <c r="AW336" s="43"/>
      <c r="AX336" s="43"/>
      <c r="AY336" s="43"/>
      <c r="AZ336" s="43"/>
      <c r="BA336" s="43"/>
      <c r="BB336" s="43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43"/>
      <c r="BO336" s="43"/>
      <c r="BP336" s="43"/>
      <c r="BQ336" s="43"/>
      <c r="BR336" s="43"/>
      <c r="BS336" s="43"/>
      <c r="BT336" s="43"/>
      <c r="BU336" s="43"/>
      <c r="BV336" s="43"/>
      <c r="BW336" s="43"/>
      <c r="BX336" s="43"/>
      <c r="BY336" s="43"/>
      <c r="BZ336" s="43"/>
      <c r="CA336" s="78"/>
      <c r="CB336" s="74"/>
      <c r="CC336" s="43"/>
      <c r="CD336" s="43"/>
      <c r="CE336" s="43"/>
      <c r="CF336" s="43"/>
      <c r="CG336" s="43"/>
      <c r="CH336" s="43"/>
      <c r="CI336" s="43"/>
      <c r="CJ336" s="43"/>
      <c r="CK336" s="43"/>
      <c r="CL336" s="43"/>
      <c r="CM336" s="43"/>
      <c r="CN336" s="43"/>
      <c r="CO336" s="43"/>
      <c r="CP336" s="43"/>
      <c r="CQ336" s="43"/>
      <c r="CR336" s="43"/>
      <c r="CS336" s="43"/>
      <c r="CT336" s="43"/>
      <c r="CU336" s="43"/>
      <c r="CV336" s="43"/>
      <c r="CW336" s="43"/>
      <c r="CX336" s="43"/>
      <c r="CY336" s="43"/>
      <c r="CZ336" s="43"/>
      <c r="DA336" s="43"/>
      <c r="DB336" s="43"/>
      <c r="DC336" s="43"/>
      <c r="DD336" s="43"/>
      <c r="DE336" s="43"/>
      <c r="DF336" s="43"/>
      <c r="DG336" s="43"/>
      <c r="DH336" s="43"/>
      <c r="DI336" s="43"/>
      <c r="DJ336" s="43"/>
      <c r="DK336" s="43"/>
      <c r="DL336" s="43"/>
      <c r="DM336" s="43"/>
      <c r="DN336" s="43"/>
      <c r="DO336" s="43"/>
      <c r="DP336" s="43"/>
      <c r="DQ336" s="43"/>
      <c r="DR336" s="43"/>
      <c r="DS336" s="43"/>
      <c r="DT336" s="43"/>
      <c r="DU336" s="43"/>
      <c r="DV336" s="43"/>
      <c r="DW336" s="43"/>
      <c r="DX336" s="43"/>
      <c r="DY336" s="43"/>
      <c r="DZ336" s="43"/>
    </row>
    <row r="337" spans="2:130" s="46" customFormat="1" x14ac:dyDescent="0.15">
      <c r="B337" s="75" t="str">
        <f>IF(G337&lt;&gt;"",SUBTOTAL(3,$G$6:G337),"")</f>
        <v/>
      </c>
      <c r="C337" s="75"/>
      <c r="D337" s="75"/>
      <c r="E337" s="76"/>
      <c r="F337" s="76"/>
      <c r="G337" s="76"/>
      <c r="H337" s="61"/>
      <c r="I337" s="70">
        <v>1</v>
      </c>
      <c r="J337" s="77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  <c r="AQ337" s="43"/>
      <c r="AR337" s="78"/>
      <c r="AS337" s="77"/>
      <c r="AT337" s="43"/>
      <c r="AU337" s="43"/>
      <c r="AV337" s="43"/>
      <c r="AW337" s="43"/>
      <c r="AX337" s="43"/>
      <c r="AY337" s="43"/>
      <c r="AZ337" s="43"/>
      <c r="BA337" s="43"/>
      <c r="BB337" s="43"/>
      <c r="BC337" s="43"/>
      <c r="BD337" s="43"/>
      <c r="BE337" s="43"/>
      <c r="BF337" s="43"/>
      <c r="BG337" s="43"/>
      <c r="BH337" s="43"/>
      <c r="BI337" s="43"/>
      <c r="BJ337" s="43"/>
      <c r="BK337" s="43"/>
      <c r="BL337" s="43"/>
      <c r="BM337" s="43"/>
      <c r="BN337" s="43"/>
      <c r="BO337" s="43"/>
      <c r="BP337" s="43"/>
      <c r="BQ337" s="43"/>
      <c r="BR337" s="43"/>
      <c r="BS337" s="43"/>
      <c r="BT337" s="43"/>
      <c r="BU337" s="43"/>
      <c r="BV337" s="43"/>
      <c r="BW337" s="43"/>
      <c r="BX337" s="43"/>
      <c r="BY337" s="43"/>
      <c r="BZ337" s="43"/>
      <c r="CA337" s="78"/>
      <c r="CB337" s="74"/>
      <c r="CC337" s="43"/>
      <c r="CD337" s="43"/>
      <c r="CE337" s="43"/>
      <c r="CF337" s="43"/>
      <c r="CG337" s="43"/>
      <c r="CH337" s="43"/>
      <c r="CI337" s="43"/>
      <c r="CJ337" s="43"/>
      <c r="CK337" s="43"/>
      <c r="CL337" s="43"/>
      <c r="CM337" s="43"/>
      <c r="CN337" s="43"/>
      <c r="CO337" s="43"/>
      <c r="CP337" s="43"/>
      <c r="CQ337" s="43"/>
      <c r="CR337" s="43"/>
      <c r="CS337" s="43"/>
      <c r="CT337" s="43"/>
      <c r="CU337" s="43"/>
      <c r="CV337" s="43"/>
      <c r="CW337" s="43"/>
      <c r="CX337" s="43"/>
      <c r="CY337" s="43"/>
      <c r="CZ337" s="43"/>
      <c r="DA337" s="43"/>
      <c r="DB337" s="43"/>
      <c r="DC337" s="43"/>
      <c r="DD337" s="43"/>
      <c r="DE337" s="43"/>
      <c r="DF337" s="43"/>
      <c r="DG337" s="43"/>
      <c r="DH337" s="43"/>
      <c r="DI337" s="43"/>
      <c r="DJ337" s="43"/>
      <c r="DK337" s="43"/>
      <c r="DL337" s="43"/>
      <c r="DM337" s="43"/>
      <c r="DN337" s="43"/>
      <c r="DO337" s="43"/>
      <c r="DP337" s="43"/>
      <c r="DQ337" s="43"/>
      <c r="DR337" s="43"/>
      <c r="DS337" s="43"/>
      <c r="DT337" s="43"/>
      <c r="DU337" s="43"/>
      <c r="DV337" s="43"/>
      <c r="DW337" s="43"/>
      <c r="DX337" s="43"/>
      <c r="DY337" s="43"/>
      <c r="DZ337" s="43"/>
    </row>
    <row r="338" spans="2:130" s="46" customFormat="1" ht="14.25" customHeight="1" x14ac:dyDescent="0.15">
      <c r="B338" s="75">
        <f>IF(G338&lt;&gt;"",SUBTOTAL(3,$G$6:G338),"")</f>
        <v>89</v>
      </c>
      <c r="C338" s="75"/>
      <c r="D338" s="75"/>
      <c r="E338" s="76" t="s">
        <v>139</v>
      </c>
      <c r="F338" s="76" t="s">
        <v>142</v>
      </c>
      <c r="G338" s="76" t="s">
        <v>236</v>
      </c>
      <c r="H338" s="61">
        <v>44108</v>
      </c>
      <c r="I338" s="62">
        <v>0.5</v>
      </c>
      <c r="J338" s="77" t="s">
        <v>1</v>
      </c>
      <c r="K338" s="43" t="s">
        <v>334</v>
      </c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  <c r="AK338" s="43"/>
      <c r="AL338" s="43"/>
      <c r="AM338" s="43"/>
      <c r="AN338" s="43"/>
      <c r="AO338" s="43"/>
      <c r="AP338" s="43"/>
      <c r="AQ338" s="43"/>
      <c r="AR338" s="78"/>
      <c r="AS338" s="77"/>
      <c r="AT338" s="43"/>
      <c r="AU338" s="43"/>
      <c r="AV338" s="43"/>
      <c r="AW338" s="43"/>
      <c r="AX338" s="43"/>
      <c r="AY338" s="43"/>
      <c r="AZ338" s="43"/>
      <c r="BA338" s="43"/>
      <c r="BB338" s="43"/>
      <c r="BC338" s="43"/>
      <c r="BD338" s="43"/>
      <c r="BE338" s="43"/>
      <c r="BF338" s="43"/>
      <c r="BG338" s="43"/>
      <c r="BH338" s="43"/>
      <c r="BI338" s="43"/>
      <c r="BJ338" s="43"/>
      <c r="BK338" s="43"/>
      <c r="BL338" s="43"/>
      <c r="BM338" s="43"/>
      <c r="BN338" s="43"/>
      <c r="BO338" s="43"/>
      <c r="BP338" s="43"/>
      <c r="BQ338" s="43"/>
      <c r="BR338" s="43"/>
      <c r="BS338" s="43"/>
      <c r="BT338" s="43"/>
      <c r="BU338" s="43"/>
      <c r="BV338" s="43"/>
      <c r="BW338" s="43"/>
      <c r="BX338" s="43"/>
      <c r="BY338" s="43"/>
      <c r="BZ338" s="43"/>
      <c r="CA338" s="78"/>
      <c r="CB338" s="74"/>
      <c r="CC338" s="43"/>
      <c r="CD338" s="43"/>
      <c r="CE338" s="43"/>
      <c r="CF338" s="43"/>
      <c r="CG338" s="43"/>
      <c r="CH338" s="43"/>
      <c r="CI338" s="43"/>
      <c r="CJ338" s="43"/>
      <c r="CK338" s="43"/>
      <c r="CL338" s="43"/>
      <c r="CM338" s="43"/>
      <c r="CN338" s="43"/>
      <c r="CO338" s="43"/>
      <c r="CP338" s="43"/>
      <c r="CQ338" s="43"/>
      <c r="CR338" s="43"/>
      <c r="CS338" s="43"/>
      <c r="CT338" s="43"/>
      <c r="CU338" s="43"/>
      <c r="CV338" s="43"/>
      <c r="CW338" s="43"/>
      <c r="CX338" s="43"/>
      <c r="CY338" s="43"/>
      <c r="CZ338" s="43"/>
      <c r="DA338" s="43"/>
      <c r="DB338" s="43"/>
      <c r="DC338" s="43"/>
      <c r="DD338" s="43"/>
      <c r="DE338" s="43"/>
      <c r="DF338" s="43"/>
      <c r="DG338" s="43"/>
      <c r="DH338" s="43"/>
      <c r="DI338" s="43"/>
      <c r="DJ338" s="43"/>
      <c r="DK338" s="43"/>
      <c r="DL338" s="43"/>
      <c r="DM338" s="43"/>
      <c r="DN338" s="43"/>
      <c r="DO338" s="43"/>
      <c r="DP338" s="43"/>
      <c r="DQ338" s="43"/>
      <c r="DR338" s="43"/>
      <c r="DS338" s="43"/>
      <c r="DT338" s="43"/>
      <c r="DU338" s="43"/>
      <c r="DV338" s="43"/>
      <c r="DW338" s="43"/>
      <c r="DX338" s="43"/>
      <c r="DY338" s="43"/>
      <c r="DZ338" s="43"/>
    </row>
    <row r="339" spans="2:130" s="46" customFormat="1" ht="14.25" customHeight="1" x14ac:dyDescent="0.15">
      <c r="B339" s="75" t="str">
        <f>IF(G339&lt;&gt;"",SUBTOTAL(3,$G$6:G339),"")</f>
        <v/>
      </c>
      <c r="C339" s="75"/>
      <c r="D339" s="75"/>
      <c r="E339" s="76"/>
      <c r="F339" s="76"/>
      <c r="G339" s="76"/>
      <c r="H339" s="61"/>
      <c r="I339" s="68">
        <v>0.5</v>
      </c>
      <c r="J339" s="80"/>
      <c r="K339" s="81"/>
      <c r="L339" s="81"/>
      <c r="M339" s="81"/>
      <c r="N339" s="81"/>
      <c r="O339" s="81"/>
      <c r="P339" s="81"/>
      <c r="Q339" s="81"/>
      <c r="R339" s="82" t="s">
        <v>333</v>
      </c>
      <c r="S339" s="81"/>
      <c r="T339" s="81"/>
      <c r="U339" s="81"/>
      <c r="V339" s="81"/>
      <c r="W339" s="81"/>
      <c r="X339" s="81"/>
      <c r="Y339" s="81"/>
      <c r="Z339" s="81"/>
      <c r="AA339" s="81"/>
      <c r="AB339" s="81"/>
      <c r="AC339" s="81"/>
      <c r="AD339" s="81"/>
      <c r="AE339" s="81"/>
      <c r="AF339" s="81"/>
      <c r="AG339" s="81"/>
      <c r="AH339" s="81"/>
      <c r="AI339" s="81"/>
      <c r="AJ339" s="81"/>
      <c r="AK339" s="81"/>
      <c r="AL339" s="81"/>
      <c r="AM339" s="81"/>
      <c r="AN339" s="81"/>
      <c r="AO339" s="81"/>
      <c r="AP339" s="81"/>
      <c r="AQ339" s="81"/>
      <c r="AR339" s="83"/>
      <c r="AS339" s="77"/>
      <c r="AT339" s="43"/>
      <c r="AU339" s="43"/>
      <c r="AV339" s="43"/>
      <c r="AW339" s="43"/>
      <c r="AX339" s="43"/>
      <c r="AY339" s="43"/>
      <c r="AZ339" s="43"/>
      <c r="BA339" s="43"/>
      <c r="BB339" s="43"/>
      <c r="BC339" s="43"/>
      <c r="BD339" s="43"/>
      <c r="BE339" s="43"/>
      <c r="BF339" s="43"/>
      <c r="BG339" s="43"/>
      <c r="BH339" s="43"/>
      <c r="BI339" s="43"/>
      <c r="BJ339" s="43"/>
      <c r="BK339" s="43"/>
      <c r="BL339" s="43"/>
      <c r="BM339" s="43"/>
      <c r="BN339" s="43"/>
      <c r="BO339" s="43"/>
      <c r="BP339" s="43"/>
      <c r="BQ339" s="43"/>
      <c r="BR339" s="43"/>
      <c r="BS339" s="43"/>
      <c r="BT339" s="43"/>
      <c r="BU339" s="43"/>
      <c r="BV339" s="43"/>
      <c r="BW339" s="43"/>
      <c r="BX339" s="43"/>
      <c r="BY339" s="43"/>
      <c r="BZ339" s="43"/>
      <c r="CA339" s="78"/>
      <c r="CB339" s="74"/>
      <c r="CC339" s="43"/>
      <c r="CD339" s="43"/>
      <c r="CE339" s="43"/>
      <c r="CF339" s="43"/>
      <c r="CG339" s="43"/>
      <c r="CH339" s="43"/>
      <c r="CI339" s="43"/>
      <c r="CJ339" s="43"/>
      <c r="CK339" s="43"/>
      <c r="CL339" s="43"/>
      <c r="CM339" s="43"/>
      <c r="CN339" s="43"/>
      <c r="CO339" s="43"/>
      <c r="CP339" s="43"/>
      <c r="CQ339" s="43"/>
      <c r="CR339" s="43"/>
      <c r="CS339" s="43"/>
      <c r="CT339" s="43"/>
      <c r="CU339" s="43"/>
      <c r="CV339" s="43"/>
      <c r="CW339" s="43"/>
      <c r="CX339" s="43"/>
      <c r="CY339" s="43"/>
      <c r="CZ339" s="43"/>
      <c r="DA339" s="43"/>
      <c r="DB339" s="43"/>
      <c r="DC339" s="43"/>
      <c r="DD339" s="43"/>
      <c r="DE339" s="43"/>
      <c r="DF339" s="43"/>
      <c r="DG339" s="43"/>
      <c r="DH339" s="43"/>
      <c r="DI339" s="43"/>
      <c r="DJ339" s="43"/>
      <c r="DK339" s="43"/>
      <c r="DL339" s="43"/>
      <c r="DM339" s="43"/>
      <c r="DN339" s="43"/>
      <c r="DO339" s="43"/>
      <c r="DP339" s="43"/>
      <c r="DQ339" s="43"/>
      <c r="DR339" s="43"/>
      <c r="DS339" s="43"/>
      <c r="DT339" s="43"/>
      <c r="DU339" s="43"/>
      <c r="DV339" s="43"/>
      <c r="DW339" s="43"/>
      <c r="DX339" s="43"/>
      <c r="DY339" s="43"/>
      <c r="DZ339" s="43"/>
    </row>
    <row r="340" spans="2:130" s="46" customFormat="1" ht="14.25" customHeight="1" x14ac:dyDescent="0.15">
      <c r="B340" s="75" t="str">
        <f>IF(G340&lt;&gt;"",SUBTOTAL(3,$G$6:G340),"")</f>
        <v/>
      </c>
      <c r="C340" s="75"/>
      <c r="D340" s="75"/>
      <c r="E340" s="76"/>
      <c r="F340" s="76"/>
      <c r="G340" s="76"/>
      <c r="H340" s="61"/>
      <c r="I340" s="68">
        <v>0.5</v>
      </c>
      <c r="J340" s="84"/>
      <c r="K340" s="81"/>
      <c r="L340" s="81"/>
      <c r="M340" s="81"/>
      <c r="N340" s="81"/>
      <c r="O340" s="81"/>
      <c r="P340" s="81"/>
      <c r="Q340" s="81"/>
      <c r="R340" s="81"/>
      <c r="S340" s="81"/>
      <c r="T340" s="81"/>
      <c r="U340" s="81"/>
      <c r="V340" s="81"/>
      <c r="W340" s="81"/>
      <c r="X340" s="81"/>
      <c r="Y340" s="81"/>
      <c r="Z340" s="81"/>
      <c r="AA340" s="81"/>
      <c r="AB340" s="81"/>
      <c r="AC340" s="81"/>
      <c r="AD340" s="81"/>
      <c r="AE340" s="81"/>
      <c r="AF340" s="81"/>
      <c r="AG340" s="81"/>
      <c r="AH340" s="81"/>
      <c r="AI340" s="81"/>
      <c r="AJ340" s="81"/>
      <c r="AK340" s="81"/>
      <c r="AL340" s="81"/>
      <c r="AM340" s="81"/>
      <c r="AN340" s="81"/>
      <c r="AO340" s="81"/>
      <c r="AP340" s="81"/>
      <c r="AQ340" s="81"/>
      <c r="AR340" s="83"/>
      <c r="AS340" s="77"/>
      <c r="AT340" s="43"/>
      <c r="AU340" s="43"/>
      <c r="AV340" s="43"/>
      <c r="AW340" s="43"/>
      <c r="AX340" s="43"/>
      <c r="AY340" s="43"/>
      <c r="AZ340" s="43"/>
      <c r="BA340" s="43"/>
      <c r="BB340" s="43"/>
      <c r="BC340" s="43"/>
      <c r="BD340" s="43"/>
      <c r="BE340" s="43"/>
      <c r="BF340" s="43"/>
      <c r="BG340" s="43"/>
      <c r="BH340" s="43"/>
      <c r="BI340" s="43"/>
      <c r="BJ340" s="43"/>
      <c r="BK340" s="43"/>
      <c r="BL340" s="43"/>
      <c r="BM340" s="43"/>
      <c r="BN340" s="43"/>
      <c r="BO340" s="43"/>
      <c r="BP340" s="43"/>
      <c r="BQ340" s="43"/>
      <c r="BR340" s="43"/>
      <c r="BS340" s="43"/>
      <c r="BT340" s="43"/>
      <c r="BU340" s="43"/>
      <c r="BV340" s="43"/>
      <c r="BW340" s="43"/>
      <c r="BX340" s="43"/>
      <c r="BY340" s="43"/>
      <c r="BZ340" s="43"/>
      <c r="CA340" s="78"/>
      <c r="CB340" s="74"/>
      <c r="CC340" s="43"/>
      <c r="CD340" s="43"/>
      <c r="CE340" s="43"/>
      <c r="CF340" s="43"/>
      <c r="CG340" s="43"/>
      <c r="CH340" s="43"/>
      <c r="CI340" s="43"/>
      <c r="CJ340" s="43"/>
      <c r="CK340" s="43"/>
      <c r="CL340" s="43"/>
      <c r="CM340" s="43"/>
      <c r="CN340" s="43"/>
      <c r="CO340" s="43"/>
      <c r="CP340" s="43"/>
      <c r="CQ340" s="43"/>
      <c r="CR340" s="43"/>
      <c r="CS340" s="43"/>
      <c r="CT340" s="43"/>
      <c r="CU340" s="43"/>
      <c r="CV340" s="43"/>
      <c r="CW340" s="43"/>
      <c r="CX340" s="43"/>
      <c r="CY340" s="43"/>
      <c r="CZ340" s="43"/>
      <c r="DA340" s="43"/>
      <c r="DB340" s="43"/>
      <c r="DC340" s="43"/>
      <c r="DD340" s="43"/>
      <c r="DE340" s="43"/>
      <c r="DF340" s="43"/>
      <c r="DG340" s="43"/>
      <c r="DH340" s="43"/>
      <c r="DI340" s="43"/>
      <c r="DJ340" s="43"/>
      <c r="DK340" s="43"/>
      <c r="DL340" s="43"/>
      <c r="DM340" s="43"/>
      <c r="DN340" s="43"/>
      <c r="DO340" s="43"/>
      <c r="DP340" s="43"/>
      <c r="DQ340" s="43"/>
      <c r="DR340" s="43"/>
      <c r="DS340" s="43"/>
      <c r="DT340" s="43"/>
      <c r="DU340" s="43"/>
      <c r="DV340" s="43"/>
      <c r="DW340" s="43"/>
      <c r="DX340" s="43"/>
      <c r="DY340" s="43"/>
      <c r="DZ340" s="43"/>
    </row>
    <row r="341" spans="2:130" s="46" customFormat="1" ht="14.25" customHeight="1" x14ac:dyDescent="0.15">
      <c r="B341" s="75" t="str">
        <f>IF(G341&lt;&gt;"",SUBTOTAL(3,$G$6:G341),"")</f>
        <v/>
      </c>
      <c r="C341" s="75"/>
      <c r="D341" s="75"/>
      <c r="E341" s="76"/>
      <c r="F341" s="76"/>
      <c r="G341" s="76"/>
      <c r="H341" s="61"/>
      <c r="I341" s="68">
        <v>0.5</v>
      </c>
      <c r="J341" s="80"/>
      <c r="K341" s="81"/>
      <c r="L341" s="81"/>
      <c r="M341" s="81"/>
      <c r="N341" s="81"/>
      <c r="O341" s="81"/>
      <c r="P341" s="81"/>
      <c r="Q341" s="81"/>
      <c r="R341" s="81"/>
      <c r="S341" s="81"/>
      <c r="T341" s="81"/>
      <c r="U341" s="81"/>
      <c r="V341" s="81"/>
      <c r="W341" s="81"/>
      <c r="X341" s="81"/>
      <c r="Y341" s="81"/>
      <c r="Z341" s="81"/>
      <c r="AA341" s="81"/>
      <c r="AB341" s="81"/>
      <c r="AC341" s="81"/>
      <c r="AD341" s="81"/>
      <c r="AE341" s="81"/>
      <c r="AF341" s="81"/>
      <c r="AG341" s="81"/>
      <c r="AH341" s="81"/>
      <c r="AI341" s="81"/>
      <c r="AJ341" s="81"/>
      <c r="AK341" s="81"/>
      <c r="AL341" s="81"/>
      <c r="AM341" s="81"/>
      <c r="AN341" s="81"/>
      <c r="AO341" s="81"/>
      <c r="AP341" s="81"/>
      <c r="AQ341" s="81"/>
      <c r="AR341" s="83"/>
      <c r="AS341" s="77"/>
      <c r="AT341" s="43"/>
      <c r="AU341" s="43"/>
      <c r="AV341" s="43"/>
      <c r="AW341" s="43"/>
      <c r="AX341" s="43"/>
      <c r="AY341" s="43"/>
      <c r="AZ341" s="43"/>
      <c r="BA341" s="43"/>
      <c r="BB341" s="43"/>
      <c r="BC341" s="43"/>
      <c r="BD341" s="43"/>
      <c r="BE341" s="43"/>
      <c r="BF341" s="43"/>
      <c r="BG341" s="43"/>
      <c r="BH341" s="43"/>
      <c r="BI341" s="43"/>
      <c r="BJ341" s="43"/>
      <c r="BK341" s="43"/>
      <c r="BL341" s="43"/>
      <c r="BM341" s="43"/>
      <c r="BN341" s="43"/>
      <c r="BO341" s="43"/>
      <c r="BP341" s="43"/>
      <c r="BQ341" s="43"/>
      <c r="BR341" s="43"/>
      <c r="BS341" s="43"/>
      <c r="BT341" s="43"/>
      <c r="BU341" s="43"/>
      <c r="BV341" s="43"/>
      <c r="BW341" s="43"/>
      <c r="BX341" s="43"/>
      <c r="BY341" s="43"/>
      <c r="BZ341" s="43"/>
      <c r="CA341" s="78"/>
      <c r="CB341" s="74"/>
      <c r="CC341" s="43"/>
      <c r="CD341" s="43"/>
      <c r="CE341" s="43"/>
      <c r="CF341" s="43"/>
      <c r="CG341" s="43"/>
      <c r="CH341" s="43"/>
      <c r="CI341" s="43"/>
      <c r="CJ341" s="43"/>
      <c r="CK341" s="43"/>
      <c r="CL341" s="43"/>
      <c r="CM341" s="43"/>
      <c r="CN341" s="43"/>
      <c r="CO341" s="43"/>
      <c r="CP341" s="43"/>
      <c r="CQ341" s="43"/>
      <c r="CR341" s="43"/>
      <c r="CS341" s="43"/>
      <c r="CT341" s="43"/>
      <c r="CU341" s="43"/>
      <c r="CV341" s="43"/>
      <c r="CW341" s="43"/>
      <c r="CX341" s="43"/>
      <c r="CY341" s="43"/>
      <c r="CZ341" s="43"/>
      <c r="DA341" s="43"/>
      <c r="DB341" s="43"/>
      <c r="DC341" s="43"/>
      <c r="DD341" s="43"/>
      <c r="DE341" s="43"/>
      <c r="DF341" s="43"/>
      <c r="DG341" s="43"/>
      <c r="DH341" s="43"/>
      <c r="DI341" s="43"/>
      <c r="DJ341" s="43"/>
      <c r="DK341" s="43"/>
      <c r="DL341" s="43"/>
      <c r="DM341" s="43"/>
      <c r="DN341" s="43"/>
      <c r="DO341" s="43"/>
      <c r="DP341" s="43"/>
      <c r="DQ341" s="43"/>
      <c r="DR341" s="43"/>
      <c r="DS341" s="43"/>
      <c r="DT341" s="43"/>
      <c r="DU341" s="43"/>
      <c r="DV341" s="43"/>
      <c r="DW341" s="43"/>
      <c r="DX341" s="43"/>
      <c r="DY341" s="43"/>
      <c r="DZ341" s="43"/>
    </row>
    <row r="342" spans="2:130" s="46" customFormat="1" ht="14.25" customHeight="1" x14ac:dyDescent="0.15">
      <c r="B342" s="75" t="str">
        <f>IF(G342&lt;&gt;"",SUBTOTAL(3,$G$6:G342),"")</f>
        <v/>
      </c>
      <c r="C342" s="75"/>
      <c r="D342" s="75"/>
      <c r="E342" s="76"/>
      <c r="F342" s="76"/>
      <c r="G342" s="76"/>
      <c r="H342" s="61"/>
      <c r="I342" s="68">
        <v>0.5</v>
      </c>
      <c r="J342" s="80" t="s">
        <v>237</v>
      </c>
      <c r="K342" s="81"/>
      <c r="L342" s="81"/>
      <c r="M342" s="81"/>
      <c r="N342" s="81"/>
      <c r="O342" s="81"/>
      <c r="P342" s="81"/>
      <c r="Q342" s="81"/>
      <c r="R342" s="81"/>
      <c r="S342" s="81"/>
      <c r="T342" s="81"/>
      <c r="U342" s="81"/>
      <c r="V342" s="81"/>
      <c r="W342" s="81"/>
      <c r="X342" s="81"/>
      <c r="Y342" s="81"/>
      <c r="Z342" s="81"/>
      <c r="AA342" s="81"/>
      <c r="AB342" s="81"/>
      <c r="AC342" s="81"/>
      <c r="AD342" s="81"/>
      <c r="AE342" s="81"/>
      <c r="AF342" s="81"/>
      <c r="AG342" s="81"/>
      <c r="AH342" s="81"/>
      <c r="AI342" s="81"/>
      <c r="AJ342" s="81"/>
      <c r="AK342" s="81"/>
      <c r="AL342" s="81"/>
      <c r="AM342" s="81"/>
      <c r="AN342" s="81"/>
      <c r="AO342" s="81"/>
      <c r="AP342" s="81"/>
      <c r="AQ342" s="81"/>
      <c r="AR342" s="83"/>
      <c r="AS342" s="77"/>
      <c r="AT342" s="43"/>
      <c r="AU342" s="43"/>
      <c r="AV342" s="43"/>
      <c r="AW342" s="43"/>
      <c r="AX342" s="43"/>
      <c r="AY342" s="43"/>
      <c r="AZ342" s="43"/>
      <c r="BA342" s="43"/>
      <c r="BB342" s="43"/>
      <c r="BC342" s="43"/>
      <c r="BD342" s="43"/>
      <c r="BE342" s="43"/>
      <c r="BF342" s="43"/>
      <c r="BG342" s="43"/>
      <c r="BH342" s="43"/>
      <c r="BI342" s="43"/>
      <c r="BJ342" s="43"/>
      <c r="BK342" s="43"/>
      <c r="BL342" s="43"/>
      <c r="BM342" s="43"/>
      <c r="BN342" s="43"/>
      <c r="BO342" s="43"/>
      <c r="BP342" s="43"/>
      <c r="BQ342" s="43"/>
      <c r="BR342" s="43"/>
      <c r="BS342" s="43"/>
      <c r="BT342" s="43"/>
      <c r="BU342" s="43"/>
      <c r="BV342" s="43"/>
      <c r="BW342" s="43"/>
      <c r="BX342" s="43"/>
      <c r="BY342" s="43"/>
      <c r="BZ342" s="43"/>
      <c r="CA342" s="78"/>
      <c r="CB342" s="74"/>
      <c r="CC342" s="43"/>
      <c r="CD342" s="43"/>
      <c r="CE342" s="43"/>
      <c r="CF342" s="43"/>
      <c r="CG342" s="43"/>
      <c r="CH342" s="43"/>
      <c r="CI342" s="43"/>
      <c r="CJ342" s="43"/>
      <c r="CK342" s="43"/>
      <c r="CL342" s="43"/>
      <c r="CM342" s="43"/>
      <c r="CN342" s="43"/>
      <c r="CO342" s="43"/>
      <c r="CP342" s="43"/>
      <c r="CQ342" s="43"/>
      <c r="CR342" s="43"/>
      <c r="CS342" s="43"/>
      <c r="CT342" s="43"/>
      <c r="CU342" s="43"/>
      <c r="CV342" s="43"/>
      <c r="CW342" s="43"/>
      <c r="CX342" s="43"/>
      <c r="CY342" s="43"/>
      <c r="CZ342" s="43"/>
      <c r="DA342" s="43"/>
      <c r="DB342" s="43"/>
      <c r="DC342" s="43"/>
      <c r="DD342" s="43"/>
      <c r="DE342" s="43"/>
      <c r="DF342" s="43"/>
      <c r="DG342" s="43"/>
      <c r="DH342" s="43"/>
      <c r="DI342" s="43"/>
      <c r="DJ342" s="43"/>
      <c r="DK342" s="43"/>
      <c r="DL342" s="43"/>
      <c r="DM342" s="43"/>
      <c r="DN342" s="43"/>
      <c r="DO342" s="43"/>
      <c r="DP342" s="43"/>
      <c r="DQ342" s="43"/>
      <c r="DR342" s="43"/>
      <c r="DS342" s="43"/>
      <c r="DT342" s="43"/>
      <c r="DU342" s="43"/>
      <c r="DV342" s="43"/>
      <c r="DW342" s="43"/>
      <c r="DX342" s="43"/>
      <c r="DY342" s="43"/>
      <c r="DZ342" s="43"/>
    </row>
    <row r="343" spans="2:130" s="46" customFormat="1" ht="14.25" customHeight="1" x14ac:dyDescent="0.15">
      <c r="B343" s="75" t="str">
        <f>IF(G343&lt;&gt;"",SUBTOTAL(3,$G$6:G343),"")</f>
        <v/>
      </c>
      <c r="C343" s="75"/>
      <c r="D343" s="75"/>
      <c r="E343" s="76"/>
      <c r="F343" s="76"/>
      <c r="G343" s="76"/>
      <c r="H343" s="61"/>
      <c r="I343" s="68">
        <v>0.5</v>
      </c>
      <c r="J343" s="80"/>
      <c r="K343" s="81"/>
      <c r="L343" s="81"/>
      <c r="M343" s="81"/>
      <c r="N343" s="81"/>
      <c r="O343" s="81"/>
      <c r="P343" s="81"/>
      <c r="Q343" s="81"/>
      <c r="R343" s="81"/>
      <c r="S343" s="81"/>
      <c r="T343" s="81"/>
      <c r="U343" s="81"/>
      <c r="V343" s="81"/>
      <c r="W343" s="81"/>
      <c r="X343" s="81"/>
      <c r="Y343" s="81"/>
      <c r="Z343" s="81"/>
      <c r="AA343" s="81"/>
      <c r="AB343" s="81"/>
      <c r="AC343" s="81"/>
      <c r="AD343" s="81"/>
      <c r="AE343" s="81"/>
      <c r="AF343" s="81"/>
      <c r="AG343" s="81"/>
      <c r="AH343" s="81"/>
      <c r="AI343" s="81"/>
      <c r="AJ343" s="81"/>
      <c r="AK343" s="81"/>
      <c r="AL343" s="81"/>
      <c r="AM343" s="81"/>
      <c r="AN343" s="81"/>
      <c r="AO343" s="81"/>
      <c r="AP343" s="81"/>
      <c r="AQ343" s="81"/>
      <c r="AR343" s="83"/>
      <c r="AS343" s="77"/>
      <c r="AT343" s="43"/>
      <c r="AU343" s="43"/>
      <c r="AV343" s="43"/>
      <c r="AW343" s="43"/>
      <c r="AX343" s="43"/>
      <c r="AY343" s="43"/>
      <c r="AZ343" s="43"/>
      <c r="BA343" s="43"/>
      <c r="BB343" s="43"/>
      <c r="BC343" s="43"/>
      <c r="BD343" s="43"/>
      <c r="BE343" s="43"/>
      <c r="BF343" s="43"/>
      <c r="BG343" s="43"/>
      <c r="BH343" s="43"/>
      <c r="BI343" s="43"/>
      <c r="BJ343" s="43"/>
      <c r="BK343" s="43"/>
      <c r="BL343" s="43"/>
      <c r="BM343" s="43"/>
      <c r="BN343" s="43"/>
      <c r="BO343" s="43"/>
      <c r="BP343" s="43"/>
      <c r="BQ343" s="43"/>
      <c r="BR343" s="43"/>
      <c r="BS343" s="43"/>
      <c r="BT343" s="43"/>
      <c r="BU343" s="43"/>
      <c r="BV343" s="43"/>
      <c r="BW343" s="43"/>
      <c r="BX343" s="43"/>
      <c r="BY343" s="43"/>
      <c r="BZ343" s="43"/>
      <c r="CA343" s="78"/>
      <c r="CB343" s="74"/>
      <c r="CC343" s="43"/>
      <c r="CD343" s="43"/>
      <c r="CE343" s="43"/>
      <c r="CF343" s="43"/>
      <c r="CG343" s="43"/>
      <c r="CH343" s="43"/>
      <c r="CI343" s="43"/>
      <c r="CJ343" s="43"/>
      <c r="CK343" s="43"/>
      <c r="CL343" s="43"/>
      <c r="CM343" s="43"/>
      <c r="CN343" s="43"/>
      <c r="CO343" s="43"/>
      <c r="CP343" s="43"/>
      <c r="CQ343" s="43"/>
      <c r="CR343" s="43"/>
      <c r="CS343" s="43"/>
      <c r="CT343" s="43"/>
      <c r="CU343" s="43"/>
      <c r="CV343" s="43"/>
      <c r="CW343" s="43"/>
      <c r="CX343" s="43"/>
      <c r="CY343" s="43"/>
      <c r="CZ343" s="43"/>
      <c r="DA343" s="43"/>
      <c r="DB343" s="43"/>
      <c r="DC343" s="43"/>
      <c r="DD343" s="43"/>
      <c r="DE343" s="43"/>
      <c r="DF343" s="43"/>
      <c r="DG343" s="43"/>
      <c r="DH343" s="43"/>
      <c r="DI343" s="43"/>
      <c r="DJ343" s="43"/>
      <c r="DK343" s="43"/>
      <c r="DL343" s="43"/>
      <c r="DM343" s="43"/>
      <c r="DN343" s="43"/>
      <c r="DO343" s="43"/>
      <c r="DP343" s="43"/>
      <c r="DQ343" s="43"/>
      <c r="DR343" s="43"/>
      <c r="DS343" s="43"/>
      <c r="DT343" s="43"/>
      <c r="DU343" s="43"/>
      <c r="DV343" s="43"/>
      <c r="DW343" s="43"/>
      <c r="DX343" s="43"/>
      <c r="DY343" s="43"/>
      <c r="DZ343" s="43"/>
    </row>
    <row r="344" spans="2:130" s="46" customFormat="1" ht="13.5" customHeight="1" x14ac:dyDescent="0.15">
      <c r="B344" s="75" t="str">
        <f>IF(G344&lt;&gt;"",SUBTOTAL(3,$G$6:G344),"")</f>
        <v/>
      </c>
      <c r="C344" s="75"/>
      <c r="D344" s="75"/>
      <c r="E344" s="76"/>
      <c r="F344" s="76"/>
      <c r="G344" s="76"/>
      <c r="H344" s="61"/>
      <c r="I344" s="62"/>
      <c r="J344" s="77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  <c r="AF344" s="43"/>
      <c r="AG344" s="43"/>
      <c r="AH344" s="43"/>
      <c r="AI344" s="43"/>
      <c r="AJ344" s="43"/>
      <c r="AK344" s="43"/>
      <c r="AL344" s="43"/>
      <c r="AM344" s="43"/>
      <c r="AN344" s="43"/>
      <c r="AO344" s="43"/>
      <c r="AP344" s="43"/>
      <c r="AQ344" s="43"/>
      <c r="AR344" s="78"/>
      <c r="AS344" s="77"/>
      <c r="AT344" s="43"/>
      <c r="AU344" s="43"/>
      <c r="AV344" s="43"/>
      <c r="AW344" s="43"/>
      <c r="AX344" s="43"/>
      <c r="AY344" s="43"/>
      <c r="AZ344" s="43"/>
      <c r="BA344" s="43"/>
      <c r="BB344" s="43"/>
      <c r="BC344" s="43"/>
      <c r="BD344" s="43"/>
      <c r="BE344" s="43"/>
      <c r="BF344" s="43"/>
      <c r="BG344" s="43"/>
      <c r="BH344" s="43"/>
      <c r="BI344" s="43"/>
      <c r="BJ344" s="43"/>
      <c r="BK344" s="43"/>
      <c r="BL344" s="43"/>
      <c r="BM344" s="43"/>
      <c r="BN344" s="43"/>
      <c r="BO344" s="43"/>
      <c r="BP344" s="43"/>
      <c r="BQ344" s="43"/>
      <c r="BR344" s="43"/>
      <c r="BS344" s="43"/>
      <c r="BT344" s="43"/>
      <c r="BU344" s="43"/>
      <c r="BV344" s="43"/>
      <c r="BW344" s="43"/>
      <c r="BX344" s="43"/>
      <c r="BY344" s="43"/>
      <c r="BZ344" s="43"/>
      <c r="CA344" s="78"/>
      <c r="CB344" s="74"/>
      <c r="CC344" s="43"/>
      <c r="CD344" s="43"/>
      <c r="CE344" s="43"/>
      <c r="CF344" s="43"/>
      <c r="CG344" s="43"/>
      <c r="CH344" s="43"/>
      <c r="CI344" s="43"/>
      <c r="CJ344" s="43"/>
      <c r="CK344" s="43"/>
      <c r="CL344" s="43"/>
      <c r="CM344" s="43"/>
      <c r="CN344" s="43"/>
      <c r="CO344" s="43"/>
      <c r="CP344" s="43"/>
      <c r="CQ344" s="43"/>
      <c r="CR344" s="43"/>
      <c r="CS344" s="43"/>
      <c r="CT344" s="43"/>
      <c r="CU344" s="43"/>
      <c r="CV344" s="43"/>
      <c r="CW344" s="43"/>
      <c r="CX344" s="43"/>
      <c r="CY344" s="43"/>
      <c r="CZ344" s="43"/>
      <c r="DA344" s="43"/>
      <c r="DB344" s="43"/>
      <c r="DC344" s="43"/>
      <c r="DD344" s="43"/>
      <c r="DE344" s="43"/>
      <c r="DF344" s="43"/>
      <c r="DG344" s="43"/>
      <c r="DH344" s="43"/>
      <c r="DI344" s="43"/>
      <c r="DJ344" s="43"/>
      <c r="DK344" s="43"/>
      <c r="DL344" s="43"/>
      <c r="DM344" s="43"/>
      <c r="DN344" s="43"/>
      <c r="DO344" s="43"/>
      <c r="DP344" s="43"/>
      <c r="DQ344" s="43"/>
      <c r="DR344" s="43"/>
      <c r="DS344" s="43"/>
      <c r="DT344" s="43"/>
      <c r="DU344" s="43"/>
      <c r="DV344" s="43"/>
      <c r="DW344" s="43"/>
      <c r="DX344" s="43"/>
      <c r="DY344" s="43"/>
      <c r="DZ344" s="43"/>
    </row>
    <row r="345" spans="2:130" ht="13.5" customHeight="1" x14ac:dyDescent="0.15">
      <c r="B345" s="58" t="str">
        <f>IF(G345&lt;&gt;"",SUBTOTAL(3,$G$6:G345),"")</f>
        <v/>
      </c>
      <c r="C345" s="58"/>
      <c r="D345" s="58"/>
      <c r="E345" s="59"/>
      <c r="F345" s="59"/>
      <c r="G345" s="59"/>
      <c r="H345" s="61"/>
      <c r="I345" s="62"/>
      <c r="J345" s="40"/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2"/>
      <c r="AS345" s="63"/>
      <c r="AT345" s="64"/>
      <c r="AU345" s="64"/>
      <c r="AV345" s="64"/>
      <c r="AW345" s="64"/>
      <c r="AX345" s="64"/>
      <c r="AY345" s="64"/>
      <c r="AZ345" s="64"/>
      <c r="BA345" s="64"/>
      <c r="BB345" s="64"/>
      <c r="BC345" s="64"/>
      <c r="BD345" s="64"/>
      <c r="BE345" s="64"/>
      <c r="BF345" s="64"/>
      <c r="BG345" s="64"/>
      <c r="BH345" s="64"/>
      <c r="BI345" s="64"/>
      <c r="BJ345" s="64"/>
      <c r="BK345" s="64"/>
      <c r="BL345" s="64"/>
      <c r="BM345" s="64"/>
      <c r="BN345" s="64"/>
      <c r="BO345" s="64"/>
      <c r="BP345" s="64"/>
      <c r="BQ345" s="64"/>
      <c r="BR345" s="64"/>
      <c r="BS345" s="64"/>
      <c r="BT345" s="64"/>
      <c r="BU345" s="64"/>
      <c r="BV345" s="64"/>
      <c r="BW345" s="64"/>
      <c r="BX345" s="64"/>
      <c r="BY345" s="64"/>
      <c r="BZ345" s="64"/>
      <c r="CA345" s="65"/>
      <c r="CB345" s="60"/>
      <c r="CH345" s="64"/>
      <c r="CI345" s="64"/>
      <c r="CJ345" s="64"/>
      <c r="CK345" s="64"/>
      <c r="CL345" s="64"/>
      <c r="CM345" s="64"/>
      <c r="CN345" s="64"/>
      <c r="CO345" s="64"/>
      <c r="CP345" s="64"/>
      <c r="CQ345" s="64"/>
      <c r="CR345" s="64"/>
      <c r="CS345" s="64"/>
      <c r="CT345" s="64"/>
      <c r="CU345" s="64"/>
      <c r="CV345" s="64"/>
      <c r="CW345" s="64"/>
      <c r="CX345" s="64"/>
      <c r="CY345" s="64"/>
      <c r="CZ345" s="64"/>
      <c r="DA345" s="64"/>
      <c r="DB345" s="64"/>
      <c r="DC345" s="64"/>
      <c r="DD345" s="64"/>
      <c r="DE345" s="64"/>
      <c r="DF345" s="64"/>
      <c r="DG345" s="64"/>
      <c r="DH345" s="64"/>
      <c r="DI345" s="64"/>
      <c r="DJ345" s="64"/>
      <c r="DK345" s="64"/>
      <c r="DL345" s="64"/>
      <c r="DM345" s="64"/>
      <c r="DN345" s="64"/>
      <c r="DO345" s="64"/>
      <c r="DP345" s="64"/>
      <c r="DQ345" s="64"/>
      <c r="DR345" s="64"/>
      <c r="DS345" s="64"/>
      <c r="DT345" s="64"/>
      <c r="DU345" s="64"/>
      <c r="DV345" s="64"/>
      <c r="DW345" s="64"/>
      <c r="DX345" s="64"/>
      <c r="DY345" s="64"/>
      <c r="DZ345" s="64"/>
    </row>
    <row r="346" spans="2:130" ht="13.5" customHeight="1" x14ac:dyDescent="0.15">
      <c r="B346" s="58" t="str">
        <f>IF(G346&lt;&gt;"",SUBTOTAL(3,$G$6:G346),"")</f>
        <v/>
      </c>
      <c r="C346" s="58"/>
      <c r="D346" s="58"/>
      <c r="E346" s="59"/>
      <c r="F346" s="59"/>
      <c r="G346" s="59"/>
      <c r="H346" s="61"/>
      <c r="I346" s="62"/>
      <c r="J346" s="63"/>
      <c r="K346" s="64"/>
      <c r="L346" s="64"/>
      <c r="M346" s="64"/>
      <c r="N346" s="64"/>
      <c r="O346" s="64"/>
      <c r="P346" s="64"/>
      <c r="Q346" s="64"/>
      <c r="R346" s="64"/>
      <c r="S346" s="64"/>
      <c r="T346" s="64"/>
      <c r="U346" s="64"/>
      <c r="V346" s="64"/>
      <c r="W346" s="64"/>
      <c r="X346" s="64"/>
      <c r="Y346" s="64"/>
      <c r="Z346" s="64"/>
      <c r="AA346" s="64"/>
      <c r="AB346" s="64"/>
      <c r="AC346" s="64"/>
      <c r="AD346" s="64"/>
      <c r="AE346" s="64"/>
      <c r="AF346" s="64"/>
      <c r="AG346" s="64"/>
      <c r="AH346" s="64"/>
      <c r="AI346" s="64"/>
      <c r="AJ346" s="64"/>
      <c r="AK346" s="64"/>
      <c r="AL346" s="64"/>
      <c r="AM346" s="64"/>
      <c r="AN346" s="64"/>
      <c r="AO346" s="64"/>
      <c r="AP346" s="64"/>
      <c r="AQ346" s="64"/>
      <c r="AR346" s="65"/>
      <c r="AS346" s="63"/>
      <c r="AT346" s="64"/>
      <c r="AU346" s="64"/>
      <c r="AV346" s="64"/>
      <c r="AW346" s="64"/>
      <c r="AX346" s="64"/>
      <c r="AY346" s="64"/>
      <c r="AZ346" s="64"/>
      <c r="BA346" s="64"/>
      <c r="BB346" s="64"/>
      <c r="BC346" s="64"/>
      <c r="BD346" s="64"/>
      <c r="BE346" s="64"/>
      <c r="BF346" s="64"/>
      <c r="BG346" s="64"/>
      <c r="BH346" s="64"/>
      <c r="BI346" s="64"/>
      <c r="BJ346" s="64"/>
      <c r="BK346" s="64"/>
      <c r="BL346" s="64"/>
      <c r="BM346" s="64"/>
      <c r="BN346" s="64"/>
      <c r="BO346" s="64"/>
      <c r="BP346" s="64"/>
      <c r="BQ346" s="64"/>
      <c r="BR346" s="64"/>
      <c r="BS346" s="64"/>
      <c r="BT346" s="64"/>
      <c r="BU346" s="64"/>
      <c r="BV346" s="64"/>
      <c r="BW346" s="64"/>
      <c r="BX346" s="64"/>
      <c r="BY346" s="64"/>
      <c r="BZ346" s="64"/>
      <c r="CA346" s="65"/>
      <c r="CB346" s="60"/>
      <c r="CH346" s="64"/>
      <c r="CI346" s="64"/>
      <c r="CJ346" s="64"/>
      <c r="CK346" s="64"/>
      <c r="CL346" s="64"/>
      <c r="CM346" s="64"/>
      <c r="CN346" s="64"/>
      <c r="CO346" s="64"/>
      <c r="CP346" s="64"/>
      <c r="CQ346" s="64"/>
      <c r="CR346" s="64"/>
      <c r="CS346" s="64"/>
      <c r="CT346" s="64"/>
      <c r="CU346" s="64"/>
      <c r="CV346" s="64"/>
      <c r="CW346" s="64"/>
      <c r="CX346" s="64"/>
      <c r="CY346" s="64"/>
      <c r="CZ346" s="64"/>
      <c r="DA346" s="64"/>
      <c r="DB346" s="64"/>
      <c r="DC346" s="64"/>
      <c r="DD346" s="64"/>
      <c r="DE346" s="64"/>
      <c r="DF346" s="64"/>
      <c r="DG346" s="64"/>
      <c r="DH346" s="64"/>
      <c r="DI346" s="64"/>
      <c r="DJ346" s="64"/>
      <c r="DK346" s="64"/>
      <c r="DL346" s="64"/>
      <c r="DM346" s="64"/>
      <c r="DN346" s="64"/>
      <c r="DO346" s="64"/>
      <c r="DP346" s="64"/>
      <c r="DQ346" s="64"/>
      <c r="DR346" s="64"/>
      <c r="DS346" s="64"/>
      <c r="DT346" s="64"/>
      <c r="DU346" s="64"/>
      <c r="DV346" s="64"/>
      <c r="DW346" s="64"/>
      <c r="DX346" s="64"/>
      <c r="DY346" s="64"/>
      <c r="DZ346" s="64"/>
    </row>
    <row r="347" spans="2:130" x14ac:dyDescent="0.15">
      <c r="B347" s="58" t="str">
        <f>IF(G347&lt;&gt;"",SUBTOTAL(3,$G$6:G347),"")</f>
        <v/>
      </c>
      <c r="C347" s="58"/>
      <c r="D347" s="58"/>
      <c r="E347" s="59"/>
      <c r="F347" s="59"/>
      <c r="G347" s="59"/>
      <c r="H347" s="61"/>
      <c r="I347" s="62"/>
      <c r="J347" s="63"/>
      <c r="K347" s="64"/>
      <c r="L347" s="64"/>
      <c r="M347" s="64"/>
      <c r="N347" s="64"/>
      <c r="O347" s="64"/>
      <c r="P347" s="64"/>
      <c r="Q347" s="64"/>
      <c r="R347" s="64"/>
      <c r="S347" s="64"/>
      <c r="T347" s="64"/>
      <c r="U347" s="64"/>
      <c r="V347" s="64"/>
      <c r="W347" s="64"/>
      <c r="X347" s="64"/>
      <c r="Y347" s="64"/>
      <c r="Z347" s="64"/>
      <c r="AA347" s="64"/>
      <c r="AB347" s="64"/>
      <c r="AC347" s="64"/>
      <c r="AD347" s="64"/>
      <c r="AE347" s="64"/>
      <c r="AF347" s="64"/>
      <c r="AG347" s="64"/>
      <c r="AH347" s="64"/>
      <c r="AI347" s="64"/>
      <c r="AJ347" s="64"/>
      <c r="AK347" s="64"/>
      <c r="AL347" s="64"/>
      <c r="AM347" s="64"/>
      <c r="AN347" s="64"/>
      <c r="AO347" s="64"/>
      <c r="AP347" s="64"/>
      <c r="AQ347" s="64"/>
      <c r="AR347" s="65"/>
      <c r="AS347" s="63"/>
      <c r="AT347" s="64"/>
      <c r="AU347" s="64"/>
      <c r="AV347" s="64"/>
      <c r="AW347" s="64"/>
      <c r="AX347" s="64"/>
      <c r="AY347" s="64"/>
      <c r="AZ347" s="64"/>
      <c r="BA347" s="64"/>
      <c r="BB347" s="64"/>
      <c r="BC347" s="64"/>
      <c r="BD347" s="64"/>
      <c r="BE347" s="64"/>
      <c r="BF347" s="64"/>
      <c r="BG347" s="64"/>
      <c r="BH347" s="64"/>
      <c r="BI347" s="64"/>
      <c r="BJ347" s="64"/>
      <c r="BK347" s="64"/>
      <c r="BL347" s="64"/>
      <c r="BM347" s="64"/>
      <c r="BN347" s="64"/>
      <c r="BO347" s="64"/>
      <c r="BP347" s="64"/>
      <c r="BQ347" s="64"/>
      <c r="BR347" s="64"/>
      <c r="BS347" s="64"/>
      <c r="BT347" s="64"/>
      <c r="BU347" s="64"/>
      <c r="BV347" s="64"/>
      <c r="BW347" s="64"/>
      <c r="BX347" s="64"/>
      <c r="BY347" s="64"/>
      <c r="BZ347" s="64"/>
      <c r="CA347" s="65"/>
      <c r="CB347" s="60"/>
      <c r="CH347" s="64"/>
      <c r="CI347" s="64"/>
      <c r="CJ347" s="64"/>
      <c r="CK347" s="64"/>
      <c r="CL347" s="64"/>
      <c r="CM347" s="64"/>
      <c r="CN347" s="64"/>
      <c r="CO347" s="64"/>
      <c r="CP347" s="64"/>
      <c r="CQ347" s="64"/>
      <c r="CR347" s="64"/>
      <c r="CS347" s="64"/>
      <c r="CT347" s="64"/>
      <c r="CU347" s="64"/>
      <c r="CV347" s="64"/>
      <c r="CW347" s="64"/>
      <c r="CX347" s="64"/>
      <c r="CY347" s="64"/>
      <c r="CZ347" s="64"/>
      <c r="DA347" s="64"/>
      <c r="DB347" s="64"/>
      <c r="DC347" s="64"/>
      <c r="DD347" s="64"/>
      <c r="DE347" s="64"/>
      <c r="DF347" s="64"/>
      <c r="DG347" s="64"/>
      <c r="DH347" s="64"/>
      <c r="DI347" s="64"/>
      <c r="DJ347" s="64"/>
      <c r="DK347" s="64"/>
      <c r="DL347" s="64"/>
      <c r="DM347" s="64"/>
      <c r="DN347" s="64"/>
      <c r="DO347" s="64"/>
      <c r="DP347" s="64"/>
      <c r="DQ347" s="64"/>
      <c r="DR347" s="64"/>
      <c r="DS347" s="64"/>
      <c r="DT347" s="64"/>
      <c r="DU347" s="64"/>
      <c r="DV347" s="64"/>
      <c r="DW347" s="64"/>
      <c r="DX347" s="64"/>
      <c r="DY347" s="64"/>
      <c r="DZ347" s="64"/>
    </row>
    <row r="348" spans="2:130" x14ac:dyDescent="0.15">
      <c r="B348" s="58" t="str">
        <f>IF(G348&lt;&gt;"",SUBTOTAL(3,$G$6:G348),"")</f>
        <v/>
      </c>
      <c r="C348" s="58"/>
      <c r="D348" s="58"/>
      <c r="E348" s="59"/>
      <c r="F348" s="59"/>
      <c r="G348" s="59"/>
      <c r="H348" s="61"/>
      <c r="I348" s="62"/>
      <c r="J348" s="63"/>
      <c r="K348" s="64"/>
      <c r="L348" s="64"/>
      <c r="M348" s="64"/>
      <c r="N348" s="64"/>
      <c r="O348" s="64"/>
      <c r="P348" s="64"/>
      <c r="Q348" s="64"/>
      <c r="R348" s="64"/>
      <c r="S348" s="64"/>
      <c r="T348" s="64"/>
      <c r="U348" s="64"/>
      <c r="V348" s="64"/>
      <c r="W348" s="64"/>
      <c r="X348" s="64"/>
      <c r="Y348" s="64"/>
      <c r="Z348" s="64"/>
      <c r="AA348" s="64"/>
      <c r="AB348" s="64"/>
      <c r="AC348" s="64"/>
      <c r="AD348" s="64"/>
      <c r="AE348" s="64"/>
      <c r="AF348" s="64"/>
      <c r="AG348" s="64"/>
      <c r="AH348" s="64"/>
      <c r="AI348" s="64"/>
      <c r="AJ348" s="64"/>
      <c r="AK348" s="64"/>
      <c r="AL348" s="64"/>
      <c r="AM348" s="64"/>
      <c r="AN348" s="64"/>
      <c r="AO348" s="64"/>
      <c r="AP348" s="64"/>
      <c r="AQ348" s="64"/>
      <c r="AR348" s="65"/>
      <c r="AS348" s="63"/>
      <c r="AT348" s="64"/>
      <c r="AU348" s="64"/>
      <c r="AV348" s="64"/>
      <c r="AW348" s="64"/>
      <c r="AX348" s="64"/>
      <c r="AY348" s="64"/>
      <c r="AZ348" s="64"/>
      <c r="BA348" s="64"/>
      <c r="BB348" s="64"/>
      <c r="BC348" s="64"/>
      <c r="BD348" s="64"/>
      <c r="BE348" s="64"/>
      <c r="BF348" s="64"/>
      <c r="BG348" s="64"/>
      <c r="BH348" s="64"/>
      <c r="BI348" s="64"/>
      <c r="BJ348" s="64"/>
      <c r="BK348" s="64"/>
      <c r="BL348" s="64"/>
      <c r="BM348" s="64"/>
      <c r="BN348" s="64"/>
      <c r="BO348" s="64"/>
      <c r="BP348" s="64"/>
      <c r="BQ348" s="64"/>
      <c r="BR348" s="64"/>
      <c r="BS348" s="64"/>
      <c r="BT348" s="64"/>
      <c r="BU348" s="64"/>
      <c r="BV348" s="64"/>
      <c r="BW348" s="64"/>
      <c r="BX348" s="64"/>
      <c r="BY348" s="64"/>
      <c r="BZ348" s="64"/>
      <c r="CA348" s="65"/>
      <c r="CB348" s="60"/>
      <c r="CH348" s="64"/>
      <c r="CI348" s="64"/>
      <c r="CJ348" s="64"/>
      <c r="CK348" s="64"/>
      <c r="CL348" s="64"/>
      <c r="CM348" s="64"/>
      <c r="CN348" s="64"/>
      <c r="CO348" s="64"/>
      <c r="CP348" s="64"/>
      <c r="CQ348" s="64"/>
      <c r="CR348" s="64"/>
      <c r="CS348" s="64"/>
      <c r="CT348" s="64"/>
      <c r="CU348" s="64"/>
      <c r="CV348" s="64"/>
      <c r="CW348" s="64"/>
      <c r="CX348" s="64"/>
      <c r="CY348" s="64"/>
      <c r="CZ348" s="64"/>
      <c r="DA348" s="64"/>
      <c r="DB348" s="64"/>
      <c r="DC348" s="64"/>
      <c r="DD348" s="64"/>
      <c r="DE348" s="64"/>
      <c r="DF348" s="64"/>
      <c r="DG348" s="64"/>
      <c r="DH348" s="64"/>
      <c r="DI348" s="64"/>
      <c r="DJ348" s="64"/>
      <c r="DK348" s="64"/>
      <c r="DL348" s="64"/>
      <c r="DM348" s="64"/>
      <c r="DN348" s="64"/>
      <c r="DO348" s="64"/>
      <c r="DP348" s="64"/>
      <c r="DQ348" s="64"/>
      <c r="DR348" s="64"/>
      <c r="DS348" s="64"/>
      <c r="DT348" s="64"/>
      <c r="DU348" s="64"/>
      <c r="DV348" s="64"/>
      <c r="DW348" s="64"/>
      <c r="DX348" s="64"/>
      <c r="DY348" s="64"/>
      <c r="DZ348" s="64"/>
    </row>
    <row r="349" spans="2:130" x14ac:dyDescent="0.15">
      <c r="B349" s="58" t="str">
        <f>IF(G349&lt;&gt;"",SUBTOTAL(3,$G$6:G349),"")</f>
        <v/>
      </c>
      <c r="C349" s="58"/>
      <c r="D349" s="58"/>
      <c r="E349" s="59"/>
      <c r="F349" s="59"/>
      <c r="G349" s="59"/>
      <c r="H349" s="61"/>
      <c r="I349" s="62"/>
      <c r="J349" s="63"/>
      <c r="K349" s="64"/>
      <c r="L349" s="64"/>
      <c r="M349" s="64"/>
      <c r="N349" s="64"/>
      <c r="O349" s="64"/>
      <c r="P349" s="64"/>
      <c r="Q349" s="64"/>
      <c r="R349" s="64"/>
      <c r="S349" s="64"/>
      <c r="T349" s="64"/>
      <c r="U349" s="64"/>
      <c r="V349" s="64"/>
      <c r="W349" s="64"/>
      <c r="X349" s="64"/>
      <c r="Y349" s="64"/>
      <c r="Z349" s="64"/>
      <c r="AA349" s="64"/>
      <c r="AB349" s="64"/>
      <c r="AC349" s="64"/>
      <c r="AD349" s="64"/>
      <c r="AE349" s="64"/>
      <c r="AF349" s="64"/>
      <c r="AG349" s="64"/>
      <c r="AH349" s="64"/>
      <c r="AI349" s="64"/>
      <c r="AJ349" s="64"/>
      <c r="AK349" s="64"/>
      <c r="AL349" s="64"/>
      <c r="AM349" s="64"/>
      <c r="AN349" s="64"/>
      <c r="AO349" s="64"/>
      <c r="AP349" s="64"/>
      <c r="AQ349" s="64"/>
      <c r="AR349" s="65"/>
      <c r="AS349" s="63"/>
      <c r="AT349" s="64"/>
      <c r="AU349" s="64"/>
      <c r="AV349" s="64"/>
      <c r="AW349" s="64"/>
      <c r="AX349" s="64"/>
      <c r="AY349" s="64"/>
      <c r="AZ349" s="64"/>
      <c r="BA349" s="64"/>
      <c r="BB349" s="64"/>
      <c r="BC349" s="64"/>
      <c r="BD349" s="64"/>
      <c r="BE349" s="64"/>
      <c r="BF349" s="64"/>
      <c r="BG349" s="64"/>
      <c r="BH349" s="64"/>
      <c r="BI349" s="64"/>
      <c r="BJ349" s="64"/>
      <c r="BK349" s="64"/>
      <c r="BL349" s="64"/>
      <c r="BM349" s="64"/>
      <c r="BN349" s="64"/>
      <c r="BO349" s="64"/>
      <c r="BP349" s="64"/>
      <c r="BQ349" s="64"/>
      <c r="BR349" s="64"/>
      <c r="BS349" s="64"/>
      <c r="BT349" s="64"/>
      <c r="BU349" s="64"/>
      <c r="BV349" s="64"/>
      <c r="BW349" s="64"/>
      <c r="BX349" s="64"/>
      <c r="BY349" s="64"/>
      <c r="BZ349" s="64"/>
      <c r="CA349" s="65"/>
      <c r="CB349" s="60"/>
      <c r="CH349" s="64"/>
      <c r="CI349" s="64"/>
      <c r="CJ349" s="64"/>
      <c r="CK349" s="64"/>
      <c r="CL349" s="64"/>
      <c r="CM349" s="64"/>
      <c r="CN349" s="64"/>
      <c r="CO349" s="64"/>
      <c r="CP349" s="64"/>
      <c r="CQ349" s="64"/>
      <c r="CR349" s="64"/>
      <c r="CS349" s="64"/>
      <c r="CT349" s="64"/>
      <c r="CU349" s="64"/>
      <c r="CV349" s="64"/>
      <c r="CW349" s="64"/>
      <c r="CX349" s="64"/>
      <c r="CY349" s="64"/>
      <c r="CZ349" s="64"/>
      <c r="DA349" s="64"/>
      <c r="DB349" s="64"/>
      <c r="DC349" s="64"/>
      <c r="DD349" s="64"/>
      <c r="DE349" s="64"/>
      <c r="DF349" s="64"/>
      <c r="DG349" s="64"/>
      <c r="DH349" s="64"/>
      <c r="DI349" s="64"/>
      <c r="DJ349" s="64"/>
      <c r="DK349" s="64"/>
      <c r="DL349" s="64"/>
      <c r="DM349" s="64"/>
      <c r="DN349" s="64"/>
      <c r="DO349" s="64"/>
      <c r="DP349" s="64"/>
      <c r="DQ349" s="64"/>
      <c r="DR349" s="64"/>
      <c r="DS349" s="64"/>
      <c r="DT349" s="64"/>
      <c r="DU349" s="64"/>
      <c r="DV349" s="64"/>
      <c r="DW349" s="64"/>
      <c r="DX349" s="64"/>
      <c r="DY349" s="64"/>
      <c r="DZ349" s="64"/>
    </row>
    <row r="350" spans="2:130" x14ac:dyDescent="0.15">
      <c r="B350" s="58" t="str">
        <f>IF(G350&lt;&gt;"",SUBTOTAL(3,$G$6:G350),"")</f>
        <v/>
      </c>
      <c r="C350" s="58"/>
      <c r="D350" s="58"/>
      <c r="E350" s="59"/>
      <c r="F350" s="59"/>
      <c r="G350" s="59"/>
      <c r="H350" s="61"/>
      <c r="I350" s="62"/>
      <c r="J350" s="63"/>
      <c r="K350" s="64"/>
      <c r="L350" s="64"/>
      <c r="M350" s="64"/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4"/>
      <c r="Y350" s="64"/>
      <c r="Z350" s="64"/>
      <c r="AA350" s="64"/>
      <c r="AB350" s="64"/>
      <c r="AC350" s="64"/>
      <c r="AD350" s="64"/>
      <c r="AE350" s="64"/>
      <c r="AF350" s="64"/>
      <c r="AG350" s="64"/>
      <c r="AH350" s="64"/>
      <c r="AI350" s="64"/>
      <c r="AJ350" s="64"/>
      <c r="AK350" s="64"/>
      <c r="AL350" s="64"/>
      <c r="AM350" s="64"/>
      <c r="AN350" s="64"/>
      <c r="AO350" s="64"/>
      <c r="AP350" s="64"/>
      <c r="AQ350" s="64"/>
      <c r="AR350" s="65"/>
      <c r="AS350" s="63"/>
      <c r="AT350" s="64"/>
      <c r="AU350" s="64"/>
      <c r="AV350" s="64"/>
      <c r="AW350" s="64"/>
      <c r="AX350" s="64"/>
      <c r="AY350" s="64"/>
      <c r="AZ350" s="64"/>
      <c r="BA350" s="64"/>
      <c r="BB350" s="64"/>
      <c r="BC350" s="64"/>
      <c r="BD350" s="64"/>
      <c r="BE350" s="64"/>
      <c r="BF350" s="64"/>
      <c r="BG350" s="64"/>
      <c r="BH350" s="64"/>
      <c r="BI350" s="64"/>
      <c r="BJ350" s="64"/>
      <c r="BK350" s="64"/>
      <c r="BL350" s="64"/>
      <c r="BM350" s="64"/>
      <c r="BN350" s="64"/>
      <c r="BO350" s="64"/>
      <c r="BP350" s="64"/>
      <c r="BQ350" s="64"/>
      <c r="BR350" s="64"/>
      <c r="BS350" s="64"/>
      <c r="BT350" s="64"/>
      <c r="BU350" s="64"/>
      <c r="BV350" s="64"/>
      <c r="BW350" s="64"/>
      <c r="BX350" s="64"/>
      <c r="BY350" s="64"/>
      <c r="BZ350" s="64"/>
      <c r="CA350" s="65"/>
      <c r="CB350" s="60"/>
      <c r="CH350" s="64"/>
      <c r="CI350" s="64"/>
      <c r="CJ350" s="64"/>
      <c r="CK350" s="64"/>
      <c r="CL350" s="64"/>
      <c r="CM350" s="64"/>
      <c r="CN350" s="64"/>
      <c r="CO350" s="64"/>
      <c r="CP350" s="64"/>
      <c r="CQ350" s="64"/>
      <c r="CR350" s="64"/>
      <c r="CS350" s="64"/>
      <c r="CT350" s="64"/>
      <c r="CU350" s="64"/>
      <c r="CV350" s="64"/>
      <c r="CW350" s="64"/>
      <c r="CX350" s="64"/>
      <c r="CY350" s="64"/>
      <c r="CZ350" s="64"/>
      <c r="DA350" s="64"/>
      <c r="DB350" s="64"/>
      <c r="DC350" s="64"/>
      <c r="DD350" s="64"/>
      <c r="DE350" s="64"/>
      <c r="DF350" s="64"/>
      <c r="DG350" s="64"/>
      <c r="DH350" s="64"/>
      <c r="DI350" s="64"/>
      <c r="DJ350" s="64"/>
      <c r="DK350" s="64"/>
      <c r="DL350" s="64"/>
      <c r="DM350" s="64"/>
      <c r="DN350" s="64"/>
      <c r="DO350" s="64"/>
      <c r="DP350" s="64"/>
      <c r="DQ350" s="64"/>
      <c r="DR350" s="64"/>
      <c r="DS350" s="64"/>
      <c r="DT350" s="64"/>
      <c r="DU350" s="64"/>
      <c r="DV350" s="64"/>
      <c r="DW350" s="64"/>
      <c r="DX350" s="64"/>
      <c r="DY350" s="64"/>
      <c r="DZ350" s="64"/>
    </row>
    <row r="351" spans="2:130" ht="15.75" x14ac:dyDescent="0.15">
      <c r="B351" s="58" t="str">
        <f>IF(G351&lt;&gt;"",SUBTOTAL(3,$G$6:G351),"")</f>
        <v/>
      </c>
      <c r="C351" s="58"/>
      <c r="D351" s="58"/>
      <c r="E351" s="59"/>
      <c r="F351" s="59"/>
      <c r="G351" s="59"/>
      <c r="H351" s="61"/>
      <c r="I351" s="62"/>
      <c r="J351" s="40"/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2"/>
      <c r="AS351" s="63"/>
      <c r="AT351" s="64"/>
      <c r="AU351" s="64"/>
      <c r="AV351" s="64"/>
      <c r="AW351" s="64"/>
      <c r="AX351" s="64"/>
      <c r="AY351" s="64"/>
      <c r="AZ351" s="64"/>
      <c r="BA351" s="64"/>
      <c r="BB351" s="64"/>
      <c r="BC351" s="64"/>
      <c r="BD351" s="64"/>
      <c r="BE351" s="64"/>
      <c r="BF351" s="64"/>
      <c r="BG351" s="64"/>
      <c r="BH351" s="64"/>
      <c r="BI351" s="64"/>
      <c r="BJ351" s="64"/>
      <c r="BK351" s="64"/>
      <c r="BL351" s="64"/>
      <c r="BM351" s="64"/>
      <c r="BN351" s="64"/>
      <c r="BO351" s="64"/>
      <c r="BP351" s="64"/>
      <c r="BQ351" s="64"/>
      <c r="BR351" s="64"/>
      <c r="BS351" s="64"/>
      <c r="BT351" s="64"/>
      <c r="BU351" s="64"/>
      <c r="BV351" s="64"/>
      <c r="BW351" s="64"/>
      <c r="BX351" s="64"/>
      <c r="BY351" s="64"/>
      <c r="BZ351" s="64"/>
      <c r="CA351" s="65"/>
      <c r="CB351" s="60"/>
      <c r="CH351" s="64"/>
      <c r="CI351" s="69"/>
      <c r="CJ351" s="69"/>
      <c r="CK351" s="69"/>
      <c r="CL351" s="69"/>
      <c r="CM351" s="69"/>
      <c r="CN351" s="69"/>
      <c r="CO351" s="69"/>
      <c r="CP351" s="69"/>
      <c r="CQ351" s="69"/>
      <c r="CR351" s="69"/>
      <c r="CS351" s="64"/>
      <c r="CT351" s="64"/>
      <c r="CU351" s="64"/>
      <c r="CV351" s="64"/>
      <c r="CW351" s="64"/>
      <c r="CX351" s="64"/>
      <c r="CY351" s="64"/>
      <c r="CZ351" s="64"/>
      <c r="DA351" s="64"/>
      <c r="DB351" s="64"/>
      <c r="DC351" s="64"/>
      <c r="DD351" s="64"/>
      <c r="DE351" s="64"/>
      <c r="DF351" s="64"/>
      <c r="DG351" s="69"/>
      <c r="DH351" s="69"/>
      <c r="DI351" s="69"/>
      <c r="DJ351" s="69"/>
      <c r="DK351" s="69"/>
      <c r="DL351" s="69"/>
      <c r="DM351" s="69"/>
      <c r="DN351" s="69"/>
      <c r="DO351" s="69"/>
      <c r="DP351" s="69"/>
      <c r="DQ351" s="64"/>
      <c r="DR351" s="64"/>
      <c r="DS351" s="64"/>
      <c r="DT351" s="64"/>
      <c r="DU351" s="64"/>
      <c r="DV351" s="64"/>
      <c r="DW351" s="64"/>
      <c r="DX351" s="64"/>
      <c r="DY351" s="64"/>
      <c r="DZ351" s="64"/>
    </row>
    <row r="352" spans="2:130" x14ac:dyDescent="0.15">
      <c r="B352" s="58" t="str">
        <f>IF(G352&lt;&gt;"",SUBTOTAL(3,$G$6:G352),"")</f>
        <v/>
      </c>
      <c r="C352" s="58"/>
      <c r="D352" s="58"/>
      <c r="E352" s="59"/>
      <c r="F352" s="59"/>
      <c r="G352" s="59"/>
      <c r="H352" s="61"/>
      <c r="I352" s="62"/>
      <c r="J352" s="63"/>
      <c r="K352" s="64"/>
      <c r="L352" s="64"/>
      <c r="M352" s="64"/>
      <c r="N352" s="64"/>
      <c r="O352" s="64"/>
      <c r="P352" s="64"/>
      <c r="Q352" s="64"/>
      <c r="R352" s="64"/>
      <c r="S352" s="64"/>
      <c r="T352" s="64"/>
      <c r="U352" s="64"/>
      <c r="V352" s="64"/>
      <c r="W352" s="64"/>
      <c r="X352" s="64"/>
      <c r="Y352" s="64"/>
      <c r="Z352" s="64"/>
      <c r="AA352" s="64"/>
      <c r="AB352" s="64"/>
      <c r="AC352" s="64"/>
      <c r="AD352" s="64"/>
      <c r="AE352" s="64"/>
      <c r="AF352" s="64"/>
      <c r="AG352" s="64"/>
      <c r="AH352" s="64"/>
      <c r="AI352" s="64"/>
      <c r="AJ352" s="64"/>
      <c r="AK352" s="64"/>
      <c r="AL352" s="64"/>
      <c r="AM352" s="64"/>
      <c r="AN352" s="64"/>
      <c r="AO352" s="64"/>
      <c r="AP352" s="64"/>
      <c r="AQ352" s="64"/>
      <c r="AR352" s="65"/>
      <c r="AS352" s="63"/>
      <c r="AT352" s="64"/>
      <c r="AU352" s="64"/>
      <c r="AV352" s="64"/>
      <c r="AW352" s="64"/>
      <c r="AX352" s="64"/>
      <c r="AY352" s="64"/>
      <c r="AZ352" s="64"/>
      <c r="BA352" s="64"/>
      <c r="BB352" s="64"/>
      <c r="BC352" s="64"/>
      <c r="BD352" s="64"/>
      <c r="BE352" s="64"/>
      <c r="BF352" s="64"/>
      <c r="BG352" s="64"/>
      <c r="BH352" s="64"/>
      <c r="BI352" s="64"/>
      <c r="BJ352" s="64"/>
      <c r="BK352" s="64"/>
      <c r="BL352" s="64"/>
      <c r="BM352" s="64"/>
      <c r="BN352" s="64"/>
      <c r="BO352" s="64"/>
      <c r="BP352" s="64"/>
      <c r="BQ352" s="64"/>
      <c r="BR352" s="64"/>
      <c r="BS352" s="64"/>
      <c r="BT352" s="64"/>
      <c r="BU352" s="64"/>
      <c r="BV352" s="64"/>
      <c r="BW352" s="64"/>
      <c r="BX352" s="64"/>
      <c r="BY352" s="64"/>
      <c r="BZ352" s="64"/>
      <c r="CA352" s="65"/>
      <c r="CB352" s="60"/>
      <c r="CH352" s="64"/>
      <c r="CI352" s="64"/>
      <c r="CJ352" s="64"/>
      <c r="CK352" s="64"/>
      <c r="CL352" s="64"/>
      <c r="CM352" s="64"/>
      <c r="CN352" s="64"/>
      <c r="CO352" s="64"/>
      <c r="CP352" s="64"/>
      <c r="CQ352" s="64"/>
      <c r="CR352" s="64"/>
      <c r="CS352" s="64"/>
      <c r="CT352" s="64"/>
      <c r="CU352" s="64"/>
      <c r="CV352" s="64"/>
      <c r="CW352" s="64"/>
      <c r="CX352" s="64"/>
      <c r="CY352" s="64"/>
      <c r="CZ352" s="64"/>
      <c r="DA352" s="64"/>
      <c r="DB352" s="64"/>
      <c r="DC352" s="64"/>
      <c r="DD352" s="64"/>
      <c r="DE352" s="64"/>
      <c r="DF352" s="64"/>
      <c r="DG352" s="64"/>
      <c r="DH352" s="64"/>
      <c r="DI352" s="64"/>
      <c r="DJ352" s="64"/>
      <c r="DK352" s="64"/>
      <c r="DL352" s="64"/>
      <c r="DM352" s="64"/>
      <c r="DN352" s="64"/>
      <c r="DO352" s="64"/>
      <c r="DP352" s="64"/>
      <c r="DQ352" s="64"/>
      <c r="DR352" s="64"/>
      <c r="DS352" s="64"/>
      <c r="DT352" s="64"/>
      <c r="DU352" s="64"/>
      <c r="DV352" s="64"/>
      <c r="DW352" s="64"/>
      <c r="DX352" s="64"/>
      <c r="DY352" s="64"/>
      <c r="DZ352" s="64"/>
    </row>
    <row r="353" spans="2:130" x14ac:dyDescent="0.15">
      <c r="B353" s="58" t="str">
        <f>IF(G353&lt;&gt;"",SUBTOTAL(3,$G$6:G353),"")</f>
        <v/>
      </c>
      <c r="C353" s="58"/>
      <c r="D353" s="58"/>
      <c r="E353" s="59"/>
      <c r="F353" s="59"/>
      <c r="G353" s="59"/>
      <c r="H353" s="61"/>
      <c r="I353" s="62"/>
      <c r="J353" s="63"/>
      <c r="K353" s="64"/>
      <c r="L353" s="64"/>
      <c r="M353" s="64"/>
      <c r="N353" s="64"/>
      <c r="O353" s="64"/>
      <c r="P353" s="64"/>
      <c r="Q353" s="64"/>
      <c r="R353" s="64"/>
      <c r="S353" s="64"/>
      <c r="T353" s="64"/>
      <c r="U353" s="64"/>
      <c r="V353" s="64"/>
      <c r="W353" s="64"/>
      <c r="X353" s="64"/>
      <c r="Y353" s="64"/>
      <c r="Z353" s="64"/>
      <c r="AA353" s="64"/>
      <c r="AB353" s="64"/>
      <c r="AC353" s="64"/>
      <c r="AD353" s="64"/>
      <c r="AE353" s="64"/>
      <c r="AF353" s="64"/>
      <c r="AG353" s="64"/>
      <c r="AH353" s="64"/>
      <c r="AI353" s="64"/>
      <c r="AJ353" s="64"/>
      <c r="AK353" s="64"/>
      <c r="AL353" s="64"/>
      <c r="AM353" s="64"/>
      <c r="AN353" s="64"/>
      <c r="AO353" s="64"/>
      <c r="AP353" s="64"/>
      <c r="AQ353" s="64"/>
      <c r="AR353" s="65"/>
      <c r="AS353" s="63"/>
      <c r="AT353" s="64"/>
      <c r="AU353" s="64"/>
      <c r="AV353" s="64"/>
      <c r="AW353" s="64"/>
      <c r="AX353" s="64"/>
      <c r="AY353" s="64"/>
      <c r="AZ353" s="64"/>
      <c r="BA353" s="64"/>
      <c r="BB353" s="64"/>
      <c r="BC353" s="64"/>
      <c r="BD353" s="64"/>
      <c r="BE353" s="64"/>
      <c r="BF353" s="64"/>
      <c r="BG353" s="64"/>
      <c r="BH353" s="64"/>
      <c r="BI353" s="64"/>
      <c r="BJ353" s="64"/>
      <c r="BK353" s="64"/>
      <c r="BL353" s="64"/>
      <c r="BM353" s="64"/>
      <c r="BN353" s="64"/>
      <c r="BO353" s="64"/>
      <c r="BP353" s="64"/>
      <c r="BQ353" s="64"/>
      <c r="BR353" s="64"/>
      <c r="BS353" s="64"/>
      <c r="BT353" s="64"/>
      <c r="BU353" s="64"/>
      <c r="BV353" s="64"/>
      <c r="BW353" s="64"/>
      <c r="BX353" s="64"/>
      <c r="BY353" s="64"/>
      <c r="BZ353" s="64"/>
      <c r="CA353" s="65"/>
      <c r="CB353" s="60"/>
      <c r="CH353" s="64"/>
      <c r="CI353" s="64"/>
      <c r="CJ353" s="64"/>
      <c r="CK353" s="64"/>
      <c r="CL353" s="64"/>
      <c r="CM353" s="64"/>
      <c r="CN353" s="64"/>
      <c r="CO353" s="64"/>
      <c r="CP353" s="64"/>
      <c r="CQ353" s="64"/>
      <c r="CR353" s="64"/>
      <c r="CS353" s="64"/>
      <c r="CT353" s="64"/>
      <c r="CU353" s="64"/>
      <c r="CV353" s="64"/>
      <c r="CW353" s="64"/>
      <c r="CX353" s="64"/>
      <c r="CY353" s="64"/>
      <c r="CZ353" s="64"/>
      <c r="DA353" s="64"/>
      <c r="DB353" s="64"/>
      <c r="DC353" s="64"/>
      <c r="DD353" s="64"/>
      <c r="DE353" s="64"/>
      <c r="DF353" s="64"/>
      <c r="DG353" s="64"/>
      <c r="DH353" s="64"/>
      <c r="DI353" s="64"/>
      <c r="DJ353" s="64"/>
      <c r="DK353" s="64"/>
      <c r="DL353" s="64"/>
      <c r="DM353" s="64"/>
      <c r="DN353" s="64"/>
      <c r="DO353" s="64"/>
      <c r="DP353" s="64"/>
      <c r="DQ353" s="64"/>
      <c r="DR353" s="64"/>
      <c r="DS353" s="64"/>
      <c r="DT353" s="64"/>
      <c r="DU353" s="64"/>
      <c r="DV353" s="64"/>
      <c r="DW353" s="64"/>
      <c r="DX353" s="64"/>
      <c r="DY353" s="64"/>
      <c r="DZ353" s="64"/>
    </row>
    <row r="354" spans="2:130" x14ac:dyDescent="0.15">
      <c r="B354" s="58" t="str">
        <f>IF(G354&lt;&gt;"",SUBTOTAL(3,$G$6:G354),"")</f>
        <v/>
      </c>
      <c r="C354" s="58"/>
      <c r="D354" s="58"/>
      <c r="E354" s="59"/>
      <c r="F354" s="59"/>
      <c r="G354" s="59"/>
      <c r="H354" s="61"/>
      <c r="I354" s="62"/>
      <c r="J354" s="63"/>
      <c r="K354" s="64"/>
      <c r="L354" s="64"/>
      <c r="M354" s="64"/>
      <c r="N354" s="64"/>
      <c r="O354" s="64"/>
      <c r="P354" s="64"/>
      <c r="Q354" s="64"/>
      <c r="R354" s="64"/>
      <c r="S354" s="64"/>
      <c r="T354" s="64"/>
      <c r="U354" s="64"/>
      <c r="V354" s="64"/>
      <c r="W354" s="64"/>
      <c r="X354" s="64"/>
      <c r="Y354" s="64"/>
      <c r="Z354" s="64"/>
      <c r="AA354" s="64"/>
      <c r="AB354" s="64"/>
      <c r="AC354" s="64"/>
      <c r="AD354" s="64"/>
      <c r="AE354" s="64"/>
      <c r="AF354" s="64"/>
      <c r="AG354" s="64"/>
      <c r="AH354" s="64"/>
      <c r="AI354" s="64"/>
      <c r="AJ354" s="64"/>
      <c r="AK354" s="64"/>
      <c r="AL354" s="64"/>
      <c r="AM354" s="64"/>
      <c r="AN354" s="64"/>
      <c r="AO354" s="64"/>
      <c r="AP354" s="64"/>
      <c r="AQ354" s="64"/>
      <c r="AR354" s="65"/>
      <c r="AS354" s="63"/>
      <c r="AT354" s="64"/>
      <c r="AU354" s="64"/>
      <c r="AV354" s="64"/>
      <c r="AW354" s="64"/>
      <c r="AX354" s="64"/>
      <c r="AY354" s="64"/>
      <c r="AZ354" s="64"/>
      <c r="BA354" s="64"/>
      <c r="BB354" s="64"/>
      <c r="BC354" s="64"/>
      <c r="BD354" s="64"/>
      <c r="BE354" s="64"/>
      <c r="BF354" s="64"/>
      <c r="BG354" s="64"/>
      <c r="BH354" s="64"/>
      <c r="BI354" s="64"/>
      <c r="BJ354" s="64"/>
      <c r="BK354" s="64"/>
      <c r="BL354" s="64"/>
      <c r="BM354" s="64"/>
      <c r="BN354" s="64"/>
      <c r="BO354" s="64"/>
      <c r="BP354" s="64"/>
      <c r="BQ354" s="64"/>
      <c r="BR354" s="64"/>
      <c r="BS354" s="64"/>
      <c r="BT354" s="64"/>
      <c r="BU354" s="64"/>
      <c r="BV354" s="64"/>
      <c r="BW354" s="64"/>
      <c r="BX354" s="64"/>
      <c r="BY354" s="64"/>
      <c r="BZ354" s="64"/>
      <c r="CA354" s="65"/>
      <c r="CB354" s="60"/>
      <c r="CH354" s="64"/>
      <c r="CI354" s="64"/>
      <c r="CJ354" s="64"/>
      <c r="CK354" s="64"/>
      <c r="CL354" s="64"/>
      <c r="CM354" s="64"/>
      <c r="CN354" s="64"/>
      <c r="CO354" s="64"/>
      <c r="CP354" s="64"/>
      <c r="CQ354" s="64"/>
      <c r="CR354" s="64"/>
      <c r="CS354" s="64"/>
      <c r="CT354" s="64"/>
      <c r="CU354" s="64"/>
      <c r="CV354" s="64"/>
      <c r="CW354" s="64"/>
      <c r="CX354" s="64"/>
      <c r="CY354" s="64"/>
      <c r="CZ354" s="64"/>
      <c r="DA354" s="64"/>
      <c r="DB354" s="64"/>
      <c r="DC354" s="64"/>
      <c r="DD354" s="64"/>
      <c r="DE354" s="64"/>
      <c r="DF354" s="64"/>
      <c r="DG354" s="64"/>
      <c r="DH354" s="64"/>
      <c r="DI354" s="64"/>
      <c r="DJ354" s="64"/>
      <c r="DK354" s="64"/>
      <c r="DL354" s="64"/>
      <c r="DM354" s="64"/>
      <c r="DN354" s="64"/>
      <c r="DO354" s="64"/>
      <c r="DP354" s="64"/>
      <c r="DQ354" s="64"/>
      <c r="DR354" s="64"/>
      <c r="DS354" s="64"/>
      <c r="DT354" s="64"/>
      <c r="DU354" s="64"/>
      <c r="DV354" s="64"/>
      <c r="DW354" s="64"/>
      <c r="DX354" s="64"/>
      <c r="DY354" s="64"/>
      <c r="DZ354" s="64"/>
    </row>
    <row r="355" spans="2:130" x14ac:dyDescent="0.15">
      <c r="B355" s="58" t="str">
        <f>IF(G355&lt;&gt;"",SUBTOTAL(3,$G$6:G355),"")</f>
        <v/>
      </c>
      <c r="C355" s="58"/>
      <c r="D355" s="58"/>
      <c r="E355" s="59"/>
      <c r="F355" s="59"/>
      <c r="G355" s="59"/>
      <c r="H355" s="61"/>
      <c r="I355" s="62"/>
      <c r="J355" s="63"/>
      <c r="K355" s="64"/>
      <c r="L355" s="64"/>
      <c r="M355" s="64"/>
      <c r="N355" s="64"/>
      <c r="O355" s="64"/>
      <c r="P355" s="64"/>
      <c r="Q355" s="64"/>
      <c r="R355" s="64"/>
      <c r="S355" s="64"/>
      <c r="T355" s="64"/>
      <c r="U355" s="64"/>
      <c r="V355" s="64"/>
      <c r="W355" s="64"/>
      <c r="X355" s="64"/>
      <c r="Y355" s="64"/>
      <c r="Z355" s="64"/>
      <c r="AA355" s="64"/>
      <c r="AB355" s="64"/>
      <c r="AC355" s="64"/>
      <c r="AD355" s="64"/>
      <c r="AE355" s="64"/>
      <c r="AF355" s="64"/>
      <c r="AG355" s="64"/>
      <c r="AH355" s="64"/>
      <c r="AI355" s="64"/>
      <c r="AJ355" s="64"/>
      <c r="AK355" s="64"/>
      <c r="AL355" s="64"/>
      <c r="AM355" s="64"/>
      <c r="AN355" s="64"/>
      <c r="AO355" s="64"/>
      <c r="AP355" s="64"/>
      <c r="AQ355" s="64"/>
      <c r="AR355" s="65"/>
      <c r="AS355" s="63"/>
      <c r="AT355" s="64"/>
      <c r="AU355" s="64"/>
      <c r="AV355" s="64"/>
      <c r="AW355" s="64"/>
      <c r="AX355" s="64"/>
      <c r="AY355" s="64"/>
      <c r="AZ355" s="64"/>
      <c r="BA355" s="64"/>
      <c r="BB355" s="64"/>
      <c r="BC355" s="64"/>
      <c r="BD355" s="64"/>
      <c r="BE355" s="64"/>
      <c r="BF355" s="64"/>
      <c r="BG355" s="64"/>
      <c r="BH355" s="64"/>
      <c r="BI355" s="64"/>
      <c r="BJ355" s="64"/>
      <c r="BK355" s="64"/>
      <c r="BL355" s="64"/>
      <c r="BM355" s="64"/>
      <c r="BN355" s="64"/>
      <c r="BO355" s="64"/>
      <c r="BP355" s="64"/>
      <c r="BQ355" s="64"/>
      <c r="BR355" s="64"/>
      <c r="BS355" s="64"/>
      <c r="BT355" s="64"/>
      <c r="BU355" s="64"/>
      <c r="BV355" s="64"/>
      <c r="BW355" s="64"/>
      <c r="BX355" s="64"/>
      <c r="BY355" s="64"/>
      <c r="BZ355" s="64"/>
      <c r="CA355" s="65"/>
      <c r="CB355" s="60"/>
      <c r="CH355" s="64"/>
      <c r="CI355" s="64"/>
      <c r="CJ355" s="64"/>
      <c r="CK355" s="64"/>
      <c r="CL355" s="64"/>
      <c r="CM355" s="64"/>
      <c r="CN355" s="64"/>
      <c r="CO355" s="64"/>
      <c r="CP355" s="64"/>
      <c r="CQ355" s="64"/>
      <c r="CR355" s="64"/>
      <c r="CS355" s="64"/>
      <c r="CT355" s="64"/>
      <c r="CU355" s="64"/>
      <c r="CV355" s="64"/>
      <c r="CW355" s="64"/>
      <c r="CX355" s="64"/>
      <c r="CY355" s="64"/>
      <c r="CZ355" s="64"/>
      <c r="DA355" s="64"/>
      <c r="DB355" s="64"/>
      <c r="DC355" s="64"/>
      <c r="DD355" s="64"/>
      <c r="DE355" s="64"/>
      <c r="DF355" s="64"/>
      <c r="DG355" s="64"/>
      <c r="DH355" s="64"/>
      <c r="DI355" s="64"/>
      <c r="DJ355" s="64"/>
      <c r="DK355" s="64"/>
      <c r="DL355" s="64"/>
      <c r="DM355" s="64"/>
      <c r="DN355" s="64"/>
      <c r="DO355" s="64"/>
      <c r="DP355" s="64"/>
      <c r="DQ355" s="64"/>
      <c r="DR355" s="64"/>
      <c r="DS355" s="64"/>
      <c r="DT355" s="64"/>
      <c r="DU355" s="64"/>
      <c r="DV355" s="64"/>
      <c r="DW355" s="64"/>
      <c r="DX355" s="64"/>
      <c r="DY355" s="64"/>
      <c r="DZ355" s="64"/>
    </row>
    <row r="356" spans="2:130" x14ac:dyDescent="0.15">
      <c r="B356" s="58" t="str">
        <f>IF(G356&lt;&gt;"",SUBTOTAL(3,$G$6:G356),"")</f>
        <v/>
      </c>
      <c r="C356" s="58"/>
      <c r="D356" s="58"/>
      <c r="E356" s="59"/>
      <c r="F356" s="59"/>
      <c r="G356" s="59"/>
      <c r="H356" s="61"/>
      <c r="I356" s="62"/>
      <c r="J356" s="63"/>
      <c r="K356" s="64"/>
      <c r="L356" s="64"/>
      <c r="M356" s="64"/>
      <c r="N356" s="64"/>
      <c r="O356" s="64"/>
      <c r="P356" s="64"/>
      <c r="Q356" s="64"/>
      <c r="R356" s="64"/>
      <c r="S356" s="64"/>
      <c r="T356" s="64"/>
      <c r="U356" s="64"/>
      <c r="V356" s="64"/>
      <c r="W356" s="64"/>
      <c r="X356" s="64"/>
      <c r="Y356" s="64"/>
      <c r="Z356" s="64"/>
      <c r="AA356" s="64"/>
      <c r="AB356" s="64"/>
      <c r="AC356" s="64"/>
      <c r="AD356" s="64"/>
      <c r="AE356" s="64"/>
      <c r="AF356" s="64"/>
      <c r="AG356" s="64"/>
      <c r="AH356" s="64"/>
      <c r="AI356" s="64"/>
      <c r="AJ356" s="64"/>
      <c r="AK356" s="64"/>
      <c r="AL356" s="64"/>
      <c r="AM356" s="64"/>
      <c r="AN356" s="64"/>
      <c r="AO356" s="64"/>
      <c r="AP356" s="64"/>
      <c r="AQ356" s="64"/>
      <c r="AR356" s="65"/>
      <c r="AS356" s="63"/>
      <c r="AT356" s="64"/>
      <c r="AU356" s="64"/>
      <c r="AV356" s="64"/>
      <c r="AW356" s="64"/>
      <c r="AX356" s="64"/>
      <c r="AY356" s="64"/>
      <c r="AZ356" s="64"/>
      <c r="BA356" s="64"/>
      <c r="BB356" s="64"/>
      <c r="BC356" s="64"/>
      <c r="BD356" s="64"/>
      <c r="BE356" s="64"/>
      <c r="BF356" s="64"/>
      <c r="BG356" s="64"/>
      <c r="BH356" s="64"/>
      <c r="BI356" s="64"/>
      <c r="BJ356" s="64"/>
      <c r="BK356" s="64"/>
      <c r="BL356" s="64"/>
      <c r="BM356" s="64"/>
      <c r="BN356" s="64"/>
      <c r="BO356" s="64"/>
      <c r="BP356" s="64"/>
      <c r="BQ356" s="64"/>
      <c r="BR356" s="64"/>
      <c r="BS356" s="64"/>
      <c r="BT356" s="64"/>
      <c r="BU356" s="64"/>
      <c r="BV356" s="64"/>
      <c r="BW356" s="64"/>
      <c r="BX356" s="64"/>
      <c r="BY356" s="64"/>
      <c r="BZ356" s="64"/>
      <c r="CA356" s="65"/>
      <c r="CB356" s="60"/>
      <c r="CH356" s="64"/>
      <c r="CI356" s="64"/>
      <c r="CJ356" s="64"/>
      <c r="CK356" s="64"/>
      <c r="CL356" s="64"/>
      <c r="CM356" s="64"/>
      <c r="CN356" s="64"/>
      <c r="CO356" s="64"/>
      <c r="CP356" s="64"/>
      <c r="CQ356" s="64"/>
      <c r="CR356" s="64"/>
      <c r="CS356" s="64"/>
      <c r="CT356" s="64"/>
      <c r="CU356" s="64"/>
      <c r="CV356" s="64"/>
      <c r="CW356" s="64"/>
      <c r="CX356" s="64"/>
      <c r="CY356" s="64"/>
      <c r="CZ356" s="64"/>
      <c r="DA356" s="64"/>
      <c r="DB356" s="64"/>
      <c r="DC356" s="64"/>
      <c r="DD356" s="64"/>
      <c r="DE356" s="64"/>
      <c r="DF356" s="64"/>
      <c r="DG356" s="64"/>
      <c r="DH356" s="64"/>
      <c r="DI356" s="64"/>
      <c r="DJ356" s="64"/>
      <c r="DK356" s="64"/>
      <c r="DL356" s="64"/>
      <c r="DM356" s="64"/>
      <c r="DN356" s="64"/>
      <c r="DO356" s="64"/>
      <c r="DP356" s="64"/>
      <c r="DQ356" s="64"/>
      <c r="DR356" s="64"/>
      <c r="DS356" s="64"/>
      <c r="DT356" s="64"/>
      <c r="DU356" s="64"/>
      <c r="DV356" s="64"/>
      <c r="DW356" s="64"/>
      <c r="DX356" s="64"/>
      <c r="DY356" s="64"/>
      <c r="DZ356" s="64"/>
    </row>
    <row r="357" spans="2:130" x14ac:dyDescent="0.15">
      <c r="B357" s="58" t="str">
        <f>IF(G357&lt;&gt;"",SUBTOTAL(3,$G$6:G357),"")</f>
        <v/>
      </c>
      <c r="C357" s="58"/>
      <c r="D357" s="58"/>
      <c r="E357" s="59"/>
      <c r="F357" s="59"/>
      <c r="G357" s="59"/>
      <c r="H357" s="61"/>
      <c r="I357" s="62"/>
      <c r="J357" s="63"/>
      <c r="K357" s="64"/>
      <c r="L357" s="64"/>
      <c r="M357" s="64"/>
      <c r="N357" s="64"/>
      <c r="O357" s="64"/>
      <c r="P357" s="64"/>
      <c r="Q357" s="64"/>
      <c r="R357" s="64"/>
      <c r="S357" s="64"/>
      <c r="T357" s="64"/>
      <c r="U357" s="64"/>
      <c r="V357" s="64"/>
      <c r="W357" s="64"/>
      <c r="X357" s="64"/>
      <c r="Y357" s="64"/>
      <c r="Z357" s="64"/>
      <c r="AA357" s="64"/>
      <c r="AB357" s="64"/>
      <c r="AC357" s="64"/>
      <c r="AD357" s="64"/>
      <c r="AE357" s="64"/>
      <c r="AF357" s="64"/>
      <c r="AG357" s="64"/>
      <c r="AH357" s="64"/>
      <c r="AI357" s="64"/>
      <c r="AJ357" s="64"/>
      <c r="AK357" s="64"/>
      <c r="AL357" s="64"/>
      <c r="AM357" s="64"/>
      <c r="AN357" s="64"/>
      <c r="AO357" s="64"/>
      <c r="AP357" s="64"/>
      <c r="AQ357" s="64"/>
      <c r="AR357" s="65"/>
      <c r="AS357" s="63"/>
      <c r="AT357" s="64"/>
      <c r="AU357" s="64"/>
      <c r="AV357" s="64"/>
      <c r="AW357" s="64"/>
      <c r="AX357" s="64"/>
      <c r="AY357" s="64"/>
      <c r="AZ357" s="64"/>
      <c r="BA357" s="64"/>
      <c r="BB357" s="64"/>
      <c r="BC357" s="64"/>
      <c r="BD357" s="64"/>
      <c r="BE357" s="64"/>
      <c r="BF357" s="64"/>
      <c r="BG357" s="64"/>
      <c r="BH357" s="64"/>
      <c r="BI357" s="64"/>
      <c r="BJ357" s="64"/>
      <c r="BK357" s="64"/>
      <c r="BL357" s="64"/>
      <c r="BM357" s="64"/>
      <c r="BN357" s="64"/>
      <c r="BO357" s="64"/>
      <c r="BP357" s="64"/>
      <c r="BQ357" s="64"/>
      <c r="BR357" s="64"/>
      <c r="BS357" s="64"/>
      <c r="BT357" s="64"/>
      <c r="BU357" s="64"/>
      <c r="BV357" s="64"/>
      <c r="BW357" s="64"/>
      <c r="BX357" s="64"/>
      <c r="BY357" s="64"/>
      <c r="BZ357" s="64"/>
      <c r="CA357" s="65"/>
      <c r="CB357" s="60"/>
      <c r="CH357" s="64"/>
      <c r="CI357" s="64"/>
      <c r="CJ357" s="64"/>
      <c r="CK357" s="64"/>
      <c r="CL357" s="64"/>
      <c r="CM357" s="64"/>
      <c r="CN357" s="64"/>
      <c r="CO357" s="64"/>
      <c r="CP357" s="64"/>
      <c r="CQ357" s="64"/>
      <c r="CR357" s="64"/>
      <c r="CS357" s="64"/>
      <c r="CT357" s="64"/>
      <c r="CU357" s="64"/>
      <c r="CV357" s="64"/>
      <c r="CW357" s="64"/>
      <c r="CX357" s="64"/>
      <c r="CY357" s="64"/>
      <c r="CZ357" s="64"/>
      <c r="DA357" s="64"/>
      <c r="DB357" s="64"/>
      <c r="DC357" s="64"/>
      <c r="DD357" s="64"/>
      <c r="DE357" s="64"/>
      <c r="DF357" s="64"/>
      <c r="DG357" s="64"/>
      <c r="DH357" s="64"/>
      <c r="DI357" s="64"/>
      <c r="DJ357" s="64"/>
      <c r="DK357" s="64"/>
      <c r="DL357" s="64"/>
      <c r="DM357" s="64"/>
      <c r="DN357" s="64"/>
      <c r="DO357" s="64"/>
      <c r="DP357" s="64"/>
      <c r="DQ357" s="64"/>
      <c r="DR357" s="64"/>
      <c r="DS357" s="64"/>
      <c r="DT357" s="64"/>
      <c r="DU357" s="64"/>
      <c r="DV357" s="64"/>
      <c r="DW357" s="64"/>
      <c r="DX357" s="64"/>
      <c r="DY357" s="64"/>
      <c r="DZ357" s="64"/>
    </row>
    <row r="358" spans="2:130" x14ac:dyDescent="0.15">
      <c r="B358" s="58" t="str">
        <f>IF(G358&lt;&gt;"",SUBTOTAL(3,$G$6:G358),"")</f>
        <v/>
      </c>
      <c r="C358" s="58"/>
      <c r="D358" s="58"/>
      <c r="E358" s="59"/>
      <c r="F358" s="59"/>
      <c r="G358" s="59"/>
      <c r="H358" s="61"/>
      <c r="I358" s="62"/>
      <c r="J358" s="63"/>
      <c r="K358" s="64"/>
      <c r="L358" s="64"/>
      <c r="M358" s="64"/>
      <c r="N358" s="64"/>
      <c r="O358" s="64"/>
      <c r="P358" s="64"/>
      <c r="Q358" s="64"/>
      <c r="R358" s="64"/>
      <c r="S358" s="64"/>
      <c r="T358" s="64"/>
      <c r="U358" s="64"/>
      <c r="V358" s="64"/>
      <c r="W358" s="64"/>
      <c r="X358" s="64"/>
      <c r="Y358" s="64"/>
      <c r="Z358" s="64"/>
      <c r="AA358" s="64"/>
      <c r="AB358" s="64"/>
      <c r="AC358" s="64"/>
      <c r="AD358" s="64"/>
      <c r="AE358" s="64"/>
      <c r="AF358" s="64"/>
      <c r="AG358" s="64"/>
      <c r="AH358" s="64"/>
      <c r="AI358" s="64"/>
      <c r="AJ358" s="64"/>
      <c r="AK358" s="64"/>
      <c r="AL358" s="64"/>
      <c r="AM358" s="64"/>
      <c r="AN358" s="64"/>
      <c r="AO358" s="64"/>
      <c r="AP358" s="64"/>
      <c r="AQ358" s="64"/>
      <c r="AR358" s="65"/>
      <c r="AS358" s="63"/>
      <c r="AT358" s="64"/>
      <c r="AU358" s="64"/>
      <c r="AV358" s="64"/>
      <c r="AW358" s="64"/>
      <c r="AX358" s="64"/>
      <c r="AY358" s="64"/>
      <c r="AZ358" s="64"/>
      <c r="BA358" s="64"/>
      <c r="BB358" s="64"/>
      <c r="BC358" s="64"/>
      <c r="BD358" s="64"/>
      <c r="BE358" s="64"/>
      <c r="BF358" s="64"/>
      <c r="BG358" s="64"/>
      <c r="BH358" s="64"/>
      <c r="BI358" s="64"/>
      <c r="BJ358" s="64"/>
      <c r="BK358" s="64"/>
      <c r="BL358" s="64"/>
      <c r="BM358" s="64"/>
      <c r="BN358" s="64"/>
      <c r="BO358" s="64"/>
      <c r="BP358" s="64"/>
      <c r="BQ358" s="64"/>
      <c r="BR358" s="64"/>
      <c r="BS358" s="64"/>
      <c r="BT358" s="64"/>
      <c r="BU358" s="64"/>
      <c r="BV358" s="64"/>
      <c r="BW358" s="64"/>
      <c r="BX358" s="64"/>
      <c r="BY358" s="64"/>
      <c r="BZ358" s="64"/>
      <c r="CA358" s="65"/>
      <c r="CB358" s="60"/>
      <c r="CH358" s="64"/>
      <c r="CI358" s="64"/>
      <c r="CJ358" s="64"/>
      <c r="CK358" s="64"/>
      <c r="CL358" s="64"/>
      <c r="CM358" s="64"/>
      <c r="CN358" s="64"/>
      <c r="CO358" s="64"/>
      <c r="CP358" s="64"/>
      <c r="CQ358" s="64"/>
      <c r="CR358" s="64"/>
      <c r="CS358" s="64"/>
      <c r="CT358" s="64"/>
      <c r="CU358" s="64"/>
      <c r="CV358" s="64"/>
      <c r="CW358" s="64"/>
      <c r="CX358" s="64"/>
      <c r="CY358" s="64"/>
      <c r="CZ358" s="64"/>
      <c r="DA358" s="64"/>
      <c r="DB358" s="64"/>
      <c r="DC358" s="64"/>
      <c r="DD358" s="64"/>
      <c r="DE358" s="64"/>
      <c r="DF358" s="64"/>
      <c r="DG358" s="64"/>
      <c r="DH358" s="64"/>
      <c r="DI358" s="64"/>
      <c r="DJ358" s="64"/>
      <c r="DK358" s="64"/>
      <c r="DL358" s="64"/>
      <c r="DM358" s="64"/>
      <c r="DN358" s="64"/>
      <c r="DO358" s="64"/>
      <c r="DP358" s="64"/>
      <c r="DQ358" s="64"/>
      <c r="DR358" s="64"/>
      <c r="DS358" s="64"/>
      <c r="DT358" s="64"/>
      <c r="DU358" s="64"/>
      <c r="DV358" s="64"/>
      <c r="DW358" s="64"/>
      <c r="DX358" s="64"/>
      <c r="DY358" s="64"/>
      <c r="DZ358" s="64"/>
    </row>
    <row r="359" spans="2:130" ht="15.75" x14ac:dyDescent="0.15">
      <c r="B359" s="58" t="str">
        <f>IF(G359&lt;&gt;"",SUBTOTAL(3,$G$6:G359),"")</f>
        <v/>
      </c>
      <c r="C359" s="58"/>
      <c r="D359" s="58"/>
      <c r="E359" s="59"/>
      <c r="F359" s="59"/>
      <c r="G359" s="59"/>
      <c r="H359" s="61"/>
      <c r="I359" s="62"/>
      <c r="J359" s="40"/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2"/>
      <c r="AS359" s="63"/>
      <c r="AT359" s="64"/>
      <c r="AU359" s="64"/>
      <c r="AV359" s="64"/>
      <c r="AW359" s="64"/>
      <c r="AX359" s="64"/>
      <c r="AY359" s="64"/>
      <c r="AZ359" s="64"/>
      <c r="BA359" s="64"/>
      <c r="BB359" s="64"/>
      <c r="BC359" s="64"/>
      <c r="BD359" s="64"/>
      <c r="BE359" s="64"/>
      <c r="BF359" s="64"/>
      <c r="BG359" s="64"/>
      <c r="BH359" s="64"/>
      <c r="BI359" s="64"/>
      <c r="BJ359" s="64"/>
      <c r="BK359" s="64"/>
      <c r="BL359" s="64"/>
      <c r="BM359" s="64"/>
      <c r="BN359" s="64"/>
      <c r="BO359" s="64"/>
      <c r="BP359" s="64"/>
      <c r="BQ359" s="64"/>
      <c r="BR359" s="64"/>
      <c r="BS359" s="64"/>
      <c r="BT359" s="64"/>
      <c r="BU359" s="64"/>
      <c r="BV359" s="64"/>
      <c r="BW359" s="64"/>
      <c r="BX359" s="64"/>
      <c r="BY359" s="64"/>
      <c r="BZ359" s="64"/>
      <c r="CA359" s="65"/>
      <c r="CB359" s="60"/>
      <c r="CH359" s="64"/>
      <c r="CI359" s="64"/>
      <c r="CJ359" s="64"/>
      <c r="CK359" s="64"/>
      <c r="CL359" s="64"/>
      <c r="CM359" s="64"/>
      <c r="CN359" s="64"/>
      <c r="CO359" s="64"/>
      <c r="CP359" s="64"/>
      <c r="CQ359" s="64"/>
      <c r="CR359" s="64"/>
      <c r="CS359" s="64"/>
      <c r="CT359" s="64"/>
      <c r="CU359" s="64"/>
      <c r="CV359" s="64"/>
      <c r="CW359" s="64"/>
      <c r="CX359" s="64"/>
      <c r="CY359" s="64"/>
      <c r="CZ359" s="64"/>
      <c r="DA359" s="64"/>
      <c r="DB359" s="64"/>
      <c r="DC359" s="64"/>
      <c r="DD359" s="64"/>
      <c r="DE359" s="64"/>
      <c r="DF359" s="64"/>
      <c r="DG359" s="64"/>
      <c r="DH359" s="64"/>
      <c r="DI359" s="64"/>
      <c r="DJ359" s="64"/>
      <c r="DK359" s="64"/>
      <c r="DL359" s="64"/>
      <c r="DM359" s="64"/>
      <c r="DN359" s="64"/>
      <c r="DO359" s="64"/>
      <c r="DP359" s="64"/>
      <c r="DQ359" s="64"/>
      <c r="DR359" s="64"/>
      <c r="DS359" s="64"/>
      <c r="DT359" s="64"/>
      <c r="DU359" s="64"/>
      <c r="DV359" s="64"/>
      <c r="DW359" s="64"/>
      <c r="DX359" s="64"/>
      <c r="DY359" s="64"/>
      <c r="DZ359" s="64"/>
    </row>
    <row r="360" spans="2:130" x14ac:dyDescent="0.15">
      <c r="B360" s="58" t="str">
        <f>IF(G360&lt;&gt;"",SUBTOTAL(3,$G$6:G360),"")</f>
        <v/>
      </c>
      <c r="C360" s="58"/>
      <c r="D360" s="58"/>
      <c r="E360" s="59"/>
      <c r="F360" s="59"/>
      <c r="G360" s="59"/>
      <c r="H360" s="61"/>
      <c r="I360" s="62"/>
      <c r="J360" s="63"/>
      <c r="K360" s="64"/>
      <c r="L360" s="64"/>
      <c r="M360" s="64"/>
      <c r="N360" s="64"/>
      <c r="O360" s="64"/>
      <c r="P360" s="64"/>
      <c r="Q360" s="64"/>
      <c r="R360" s="64"/>
      <c r="S360" s="64"/>
      <c r="T360" s="64"/>
      <c r="U360" s="64"/>
      <c r="V360" s="64"/>
      <c r="W360" s="64"/>
      <c r="X360" s="64"/>
      <c r="Y360" s="64"/>
      <c r="Z360" s="64"/>
      <c r="AA360" s="64"/>
      <c r="AB360" s="64"/>
      <c r="AC360" s="64"/>
      <c r="AD360" s="64"/>
      <c r="AE360" s="64"/>
      <c r="AF360" s="64"/>
      <c r="AG360" s="64"/>
      <c r="AH360" s="64"/>
      <c r="AI360" s="64"/>
      <c r="AJ360" s="64"/>
      <c r="AK360" s="64"/>
      <c r="AL360" s="64"/>
      <c r="AM360" s="64"/>
      <c r="AN360" s="64"/>
      <c r="AO360" s="64"/>
      <c r="AP360" s="64"/>
      <c r="AQ360" s="64"/>
      <c r="AR360" s="65"/>
      <c r="AS360" s="63"/>
      <c r="AT360" s="64"/>
      <c r="AU360" s="64"/>
      <c r="AV360" s="64"/>
      <c r="AW360" s="64"/>
      <c r="AX360" s="64"/>
      <c r="AY360" s="64"/>
      <c r="AZ360" s="64"/>
      <c r="BA360" s="64"/>
      <c r="BB360" s="64"/>
      <c r="BC360" s="64"/>
      <c r="BD360" s="64"/>
      <c r="BE360" s="64"/>
      <c r="BF360" s="64"/>
      <c r="BG360" s="64"/>
      <c r="BH360" s="64"/>
      <c r="BI360" s="64"/>
      <c r="BJ360" s="64"/>
      <c r="BK360" s="64"/>
      <c r="BL360" s="64"/>
      <c r="BM360" s="64"/>
      <c r="BN360" s="64"/>
      <c r="BO360" s="64"/>
      <c r="BP360" s="64"/>
      <c r="BQ360" s="64"/>
      <c r="BR360" s="64"/>
      <c r="BS360" s="64"/>
      <c r="BT360" s="64"/>
      <c r="BU360" s="64"/>
      <c r="BV360" s="64"/>
      <c r="BW360" s="64"/>
      <c r="BX360" s="64"/>
      <c r="BY360" s="64"/>
      <c r="BZ360" s="64"/>
      <c r="CA360" s="65"/>
      <c r="CB360" s="60"/>
      <c r="CH360" s="64"/>
      <c r="CI360" s="64"/>
      <c r="CJ360" s="64"/>
      <c r="CK360" s="64"/>
      <c r="CL360" s="64"/>
      <c r="CM360" s="64"/>
      <c r="CN360" s="64"/>
      <c r="CO360" s="64"/>
      <c r="CP360" s="64"/>
      <c r="CQ360" s="64"/>
      <c r="CR360" s="64"/>
      <c r="CS360" s="64"/>
      <c r="CT360" s="64"/>
      <c r="CU360" s="64"/>
      <c r="CV360" s="64"/>
      <c r="CW360" s="64"/>
      <c r="CX360" s="64"/>
      <c r="CY360" s="64"/>
      <c r="CZ360" s="64"/>
      <c r="DA360" s="64"/>
      <c r="DB360" s="64"/>
      <c r="DC360" s="64"/>
      <c r="DD360" s="64"/>
      <c r="DE360" s="64"/>
      <c r="DF360" s="64"/>
      <c r="DG360" s="64"/>
      <c r="DH360" s="64"/>
      <c r="DI360" s="64"/>
      <c r="DJ360" s="64"/>
      <c r="DK360" s="64"/>
      <c r="DL360" s="64"/>
      <c r="DM360" s="64"/>
      <c r="DN360" s="64"/>
      <c r="DO360" s="64"/>
      <c r="DP360" s="64"/>
      <c r="DQ360" s="64"/>
      <c r="DR360" s="64"/>
      <c r="DS360" s="64"/>
      <c r="DT360" s="64"/>
      <c r="DU360" s="64"/>
      <c r="DV360" s="64"/>
      <c r="DW360" s="64"/>
      <c r="DX360" s="64"/>
      <c r="DY360" s="64"/>
      <c r="DZ360" s="64"/>
    </row>
    <row r="361" spans="2:130" x14ac:dyDescent="0.15">
      <c r="B361" s="58" t="str">
        <f>IF(G361&lt;&gt;"",SUBTOTAL(3,$G$6:G361),"")</f>
        <v/>
      </c>
      <c r="C361" s="58"/>
      <c r="D361" s="58"/>
      <c r="E361" s="59"/>
      <c r="F361" s="59"/>
      <c r="G361" s="59"/>
      <c r="H361" s="61"/>
      <c r="I361" s="62"/>
      <c r="J361" s="63"/>
      <c r="K361" s="64"/>
      <c r="L361" s="64"/>
      <c r="M361" s="64"/>
      <c r="N361" s="64"/>
      <c r="O361" s="64"/>
      <c r="P361" s="64"/>
      <c r="Q361" s="64"/>
      <c r="R361" s="64"/>
      <c r="S361" s="64"/>
      <c r="T361" s="64"/>
      <c r="U361" s="64"/>
      <c r="V361" s="64"/>
      <c r="W361" s="64"/>
      <c r="X361" s="64"/>
      <c r="Y361" s="64"/>
      <c r="Z361" s="64"/>
      <c r="AA361" s="64"/>
      <c r="AB361" s="64"/>
      <c r="AC361" s="64"/>
      <c r="AD361" s="64"/>
      <c r="AE361" s="64"/>
      <c r="AF361" s="64"/>
      <c r="AG361" s="64"/>
      <c r="AH361" s="64"/>
      <c r="AI361" s="64"/>
      <c r="AJ361" s="64"/>
      <c r="AK361" s="64"/>
      <c r="AL361" s="64"/>
      <c r="AM361" s="64"/>
      <c r="AN361" s="64"/>
      <c r="AO361" s="64"/>
      <c r="AP361" s="64"/>
      <c r="AQ361" s="64"/>
      <c r="AR361" s="65"/>
      <c r="AS361" s="63"/>
      <c r="AT361" s="64"/>
      <c r="AU361" s="64"/>
      <c r="AV361" s="64"/>
      <c r="AW361" s="64"/>
      <c r="AX361" s="64"/>
      <c r="AY361" s="64"/>
      <c r="AZ361" s="64"/>
      <c r="BA361" s="64"/>
      <c r="BB361" s="64"/>
      <c r="BC361" s="64"/>
      <c r="BD361" s="64"/>
      <c r="BE361" s="64"/>
      <c r="BF361" s="64"/>
      <c r="BG361" s="64"/>
      <c r="BH361" s="64"/>
      <c r="BI361" s="64"/>
      <c r="BJ361" s="64"/>
      <c r="BK361" s="64"/>
      <c r="BL361" s="64"/>
      <c r="BM361" s="64"/>
      <c r="BN361" s="64"/>
      <c r="BO361" s="64"/>
      <c r="BP361" s="64"/>
      <c r="BQ361" s="64"/>
      <c r="BR361" s="64"/>
      <c r="BS361" s="64"/>
      <c r="BT361" s="64"/>
      <c r="BU361" s="64"/>
      <c r="BV361" s="64"/>
      <c r="BW361" s="64"/>
      <c r="BX361" s="64"/>
      <c r="BY361" s="64"/>
      <c r="BZ361" s="64"/>
      <c r="CA361" s="65"/>
      <c r="CB361" s="60"/>
      <c r="CH361" s="64"/>
      <c r="CI361" s="64"/>
      <c r="CJ361" s="64"/>
      <c r="CK361" s="64"/>
      <c r="CL361" s="64"/>
      <c r="CM361" s="64"/>
      <c r="CN361" s="64"/>
      <c r="CO361" s="64"/>
      <c r="CP361" s="64"/>
      <c r="CQ361" s="64"/>
      <c r="CR361" s="64"/>
      <c r="CS361" s="64"/>
      <c r="CT361" s="64"/>
      <c r="CU361" s="64"/>
      <c r="CV361" s="64"/>
      <c r="CW361" s="64"/>
      <c r="CX361" s="64"/>
      <c r="CY361" s="64"/>
      <c r="CZ361" s="64"/>
      <c r="DA361" s="64"/>
      <c r="DB361" s="64"/>
      <c r="DC361" s="64"/>
      <c r="DD361" s="64"/>
      <c r="DE361" s="64"/>
      <c r="DF361" s="64"/>
      <c r="DG361" s="64"/>
      <c r="DH361" s="64"/>
      <c r="DI361" s="64"/>
      <c r="DJ361" s="64"/>
      <c r="DK361" s="64"/>
      <c r="DL361" s="64"/>
      <c r="DM361" s="64"/>
      <c r="DN361" s="64"/>
      <c r="DO361" s="64"/>
      <c r="DP361" s="64"/>
      <c r="DQ361" s="64"/>
      <c r="DR361" s="64"/>
      <c r="DS361" s="64"/>
      <c r="DT361" s="64"/>
      <c r="DU361" s="64"/>
      <c r="DV361" s="64"/>
      <c r="DW361" s="64"/>
      <c r="DX361" s="64"/>
      <c r="DY361" s="64"/>
      <c r="DZ361" s="64"/>
    </row>
    <row r="362" spans="2:130" x14ac:dyDescent="0.15">
      <c r="B362" s="58" t="str">
        <f>IF(G362&lt;&gt;"",SUBTOTAL(3,$G$6:G362),"")</f>
        <v/>
      </c>
      <c r="C362" s="58"/>
      <c r="D362" s="58"/>
      <c r="E362" s="59"/>
      <c r="F362" s="59"/>
      <c r="G362" s="59"/>
      <c r="H362" s="61"/>
      <c r="I362" s="62"/>
      <c r="J362" s="63"/>
      <c r="K362" s="64"/>
      <c r="L362" s="64"/>
      <c r="M362" s="64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4"/>
      <c r="Y362" s="64"/>
      <c r="Z362" s="64"/>
      <c r="AA362" s="64"/>
      <c r="AB362" s="64"/>
      <c r="AC362" s="64"/>
      <c r="AD362" s="64"/>
      <c r="AE362" s="64"/>
      <c r="AF362" s="64"/>
      <c r="AG362" s="64"/>
      <c r="AH362" s="64"/>
      <c r="AI362" s="64"/>
      <c r="AJ362" s="64"/>
      <c r="AK362" s="64"/>
      <c r="AL362" s="64"/>
      <c r="AM362" s="64"/>
      <c r="AN362" s="64"/>
      <c r="AO362" s="64"/>
      <c r="AP362" s="64"/>
      <c r="AQ362" s="64"/>
      <c r="AR362" s="65"/>
      <c r="AS362" s="63"/>
      <c r="AT362" s="64"/>
      <c r="AU362" s="64"/>
      <c r="AV362" s="64"/>
      <c r="AW362" s="64"/>
      <c r="AX362" s="64"/>
      <c r="AY362" s="64"/>
      <c r="AZ362" s="64"/>
      <c r="BA362" s="64"/>
      <c r="BB362" s="64"/>
      <c r="BC362" s="64"/>
      <c r="BD362" s="64"/>
      <c r="BE362" s="64"/>
      <c r="BF362" s="64"/>
      <c r="BG362" s="64"/>
      <c r="BH362" s="64"/>
      <c r="BI362" s="64"/>
      <c r="BJ362" s="64"/>
      <c r="BK362" s="64"/>
      <c r="BL362" s="64"/>
      <c r="BM362" s="64"/>
      <c r="BN362" s="64"/>
      <c r="BO362" s="64"/>
      <c r="BP362" s="64"/>
      <c r="BQ362" s="64"/>
      <c r="BR362" s="64"/>
      <c r="BS362" s="64"/>
      <c r="BT362" s="64"/>
      <c r="BU362" s="64"/>
      <c r="BV362" s="64"/>
      <c r="BW362" s="64"/>
      <c r="BX362" s="64"/>
      <c r="BY362" s="64"/>
      <c r="BZ362" s="64"/>
      <c r="CA362" s="65"/>
      <c r="CB362" s="60"/>
      <c r="CH362" s="64"/>
      <c r="CI362" s="64"/>
      <c r="CJ362" s="64"/>
      <c r="CK362" s="64"/>
      <c r="CL362" s="64"/>
      <c r="CM362" s="64"/>
      <c r="CN362" s="64"/>
      <c r="CO362" s="64"/>
      <c r="CP362" s="64"/>
      <c r="CQ362" s="64"/>
      <c r="CR362" s="64"/>
      <c r="CS362" s="64"/>
      <c r="CT362" s="64"/>
      <c r="CU362" s="64"/>
      <c r="CV362" s="64"/>
      <c r="CW362" s="64"/>
      <c r="CX362" s="64"/>
      <c r="CY362" s="64"/>
      <c r="CZ362" s="64"/>
      <c r="DA362" s="64"/>
      <c r="DB362" s="64"/>
      <c r="DC362" s="64"/>
      <c r="DD362" s="64"/>
      <c r="DE362" s="64"/>
      <c r="DF362" s="64"/>
      <c r="DG362" s="64"/>
      <c r="DH362" s="64"/>
      <c r="DI362" s="64"/>
      <c r="DJ362" s="64"/>
      <c r="DK362" s="64"/>
      <c r="DL362" s="64"/>
      <c r="DM362" s="64"/>
      <c r="DN362" s="64"/>
      <c r="DO362" s="64"/>
      <c r="DP362" s="64"/>
      <c r="DQ362" s="64"/>
      <c r="DR362" s="64"/>
      <c r="DS362" s="64"/>
      <c r="DT362" s="64"/>
      <c r="DU362" s="64"/>
      <c r="DV362" s="64"/>
      <c r="DW362" s="64"/>
      <c r="DX362" s="64"/>
      <c r="DY362" s="64"/>
      <c r="DZ362" s="64"/>
    </row>
    <row r="363" spans="2:130" x14ac:dyDescent="0.15">
      <c r="B363" s="58" t="str">
        <f>IF(G363&lt;&gt;"",SUBTOTAL(3,$G$6:G363),"")</f>
        <v/>
      </c>
      <c r="C363" s="58"/>
      <c r="D363" s="58"/>
      <c r="E363" s="59"/>
      <c r="F363" s="59"/>
      <c r="G363" s="59"/>
      <c r="H363" s="61"/>
      <c r="I363" s="62"/>
      <c r="J363" s="63"/>
      <c r="K363" s="64"/>
      <c r="L363" s="64"/>
      <c r="M363" s="64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4"/>
      <c r="Y363" s="64"/>
      <c r="Z363" s="64"/>
      <c r="AA363" s="64"/>
      <c r="AB363" s="64"/>
      <c r="AC363" s="64"/>
      <c r="AD363" s="64"/>
      <c r="AE363" s="64"/>
      <c r="AF363" s="64"/>
      <c r="AG363" s="64"/>
      <c r="AH363" s="64"/>
      <c r="AI363" s="64"/>
      <c r="AJ363" s="64"/>
      <c r="AK363" s="64"/>
      <c r="AL363" s="64"/>
      <c r="AM363" s="64"/>
      <c r="AN363" s="64"/>
      <c r="AO363" s="64"/>
      <c r="AP363" s="64"/>
      <c r="AQ363" s="64"/>
      <c r="AR363" s="65"/>
      <c r="AS363" s="63"/>
      <c r="AT363" s="64"/>
      <c r="AU363" s="64"/>
      <c r="AV363" s="64"/>
      <c r="AW363" s="64"/>
      <c r="AX363" s="64"/>
      <c r="AY363" s="64"/>
      <c r="AZ363" s="64"/>
      <c r="BA363" s="64"/>
      <c r="BB363" s="64"/>
      <c r="BC363" s="64"/>
      <c r="BD363" s="64"/>
      <c r="BE363" s="64"/>
      <c r="BF363" s="64"/>
      <c r="BG363" s="64"/>
      <c r="BH363" s="64"/>
      <c r="BI363" s="64"/>
      <c r="BJ363" s="64"/>
      <c r="BK363" s="64"/>
      <c r="BL363" s="64"/>
      <c r="BM363" s="64"/>
      <c r="BN363" s="64"/>
      <c r="BO363" s="64"/>
      <c r="BP363" s="64"/>
      <c r="BQ363" s="64"/>
      <c r="BR363" s="64"/>
      <c r="BS363" s="64"/>
      <c r="BT363" s="64"/>
      <c r="BU363" s="64"/>
      <c r="BV363" s="64"/>
      <c r="BW363" s="64"/>
      <c r="BX363" s="64"/>
      <c r="BY363" s="64"/>
      <c r="BZ363" s="64"/>
      <c r="CA363" s="65"/>
      <c r="CB363" s="60"/>
      <c r="CH363" s="64"/>
      <c r="CI363" s="64"/>
      <c r="CJ363" s="64"/>
      <c r="CK363" s="64"/>
      <c r="CL363" s="64"/>
      <c r="CM363" s="64"/>
      <c r="CN363" s="64"/>
      <c r="CO363" s="64"/>
      <c r="CP363" s="64"/>
      <c r="CQ363" s="64"/>
      <c r="CR363" s="64"/>
      <c r="CS363" s="64"/>
      <c r="CT363" s="64"/>
      <c r="CU363" s="64"/>
      <c r="CV363" s="64"/>
      <c r="CW363" s="64"/>
      <c r="CX363" s="64"/>
      <c r="CY363" s="64"/>
      <c r="CZ363" s="64"/>
      <c r="DA363" s="64"/>
      <c r="DB363" s="64"/>
      <c r="DC363" s="64"/>
      <c r="DD363" s="64"/>
      <c r="DE363" s="64"/>
      <c r="DF363" s="64"/>
      <c r="DG363" s="64"/>
      <c r="DH363" s="64"/>
      <c r="DI363" s="64"/>
      <c r="DJ363" s="64"/>
      <c r="DK363" s="64"/>
      <c r="DL363" s="64"/>
      <c r="DM363" s="64"/>
      <c r="DN363" s="64"/>
      <c r="DO363" s="64"/>
      <c r="DP363" s="64"/>
      <c r="DQ363" s="64"/>
      <c r="DR363" s="64"/>
      <c r="DS363" s="64"/>
      <c r="DT363" s="64"/>
      <c r="DU363" s="64"/>
      <c r="DV363" s="64"/>
      <c r="DW363" s="64"/>
      <c r="DX363" s="64"/>
      <c r="DY363" s="64"/>
      <c r="DZ363" s="64"/>
    </row>
    <row r="364" spans="2:130" x14ac:dyDescent="0.15">
      <c r="B364" s="58" t="str">
        <f>IF(G364&lt;&gt;"",SUBTOTAL(3,$G$6:G364),"")</f>
        <v/>
      </c>
      <c r="C364" s="58"/>
      <c r="D364" s="58"/>
      <c r="E364" s="59"/>
      <c r="F364" s="59"/>
      <c r="G364" s="59"/>
      <c r="H364" s="61"/>
      <c r="I364" s="62"/>
      <c r="J364" s="63"/>
      <c r="K364" s="64"/>
      <c r="L364" s="64"/>
      <c r="M364" s="64"/>
      <c r="N364" s="64"/>
      <c r="O364" s="64"/>
      <c r="P364" s="64"/>
      <c r="Q364" s="64"/>
      <c r="R364" s="64"/>
      <c r="S364" s="64"/>
      <c r="T364" s="64"/>
      <c r="U364" s="64"/>
      <c r="V364" s="64"/>
      <c r="W364" s="64"/>
      <c r="X364" s="64"/>
      <c r="Y364" s="64"/>
      <c r="Z364" s="64"/>
      <c r="AA364" s="64"/>
      <c r="AB364" s="64"/>
      <c r="AC364" s="64"/>
      <c r="AD364" s="64"/>
      <c r="AE364" s="64"/>
      <c r="AF364" s="64"/>
      <c r="AG364" s="64"/>
      <c r="AH364" s="64"/>
      <c r="AI364" s="64"/>
      <c r="AJ364" s="64"/>
      <c r="AK364" s="64"/>
      <c r="AL364" s="64"/>
      <c r="AM364" s="64"/>
      <c r="AN364" s="64"/>
      <c r="AO364" s="64"/>
      <c r="AP364" s="64"/>
      <c r="AQ364" s="64"/>
      <c r="AR364" s="65"/>
      <c r="AS364" s="63"/>
      <c r="AT364" s="64"/>
      <c r="AU364" s="64"/>
      <c r="AV364" s="64"/>
      <c r="AW364" s="64"/>
      <c r="AX364" s="64"/>
      <c r="AY364" s="64"/>
      <c r="AZ364" s="64"/>
      <c r="BA364" s="64"/>
      <c r="BB364" s="64"/>
      <c r="BC364" s="64"/>
      <c r="BD364" s="64"/>
      <c r="BE364" s="64"/>
      <c r="BF364" s="64"/>
      <c r="BG364" s="64"/>
      <c r="BH364" s="64"/>
      <c r="BI364" s="64"/>
      <c r="BJ364" s="64"/>
      <c r="BK364" s="64"/>
      <c r="BL364" s="64"/>
      <c r="BM364" s="64"/>
      <c r="BN364" s="64"/>
      <c r="BO364" s="64"/>
      <c r="BP364" s="64"/>
      <c r="BQ364" s="64"/>
      <c r="BR364" s="64"/>
      <c r="BS364" s="64"/>
      <c r="BT364" s="64"/>
      <c r="BU364" s="64"/>
      <c r="BV364" s="64"/>
      <c r="BW364" s="64"/>
      <c r="BX364" s="64"/>
      <c r="BY364" s="64"/>
      <c r="BZ364" s="64"/>
      <c r="CA364" s="65"/>
      <c r="CB364" s="60"/>
      <c r="CH364" s="64"/>
      <c r="CI364" s="64"/>
      <c r="CJ364" s="64"/>
      <c r="CK364" s="64"/>
      <c r="CL364" s="64"/>
      <c r="CM364" s="64"/>
      <c r="CN364" s="64"/>
      <c r="CO364" s="64"/>
      <c r="CP364" s="64"/>
      <c r="CQ364" s="64"/>
      <c r="CR364" s="64"/>
      <c r="CS364" s="64"/>
      <c r="CT364" s="64"/>
      <c r="CU364" s="64"/>
      <c r="CV364" s="64"/>
      <c r="CW364" s="64"/>
      <c r="CX364" s="64"/>
      <c r="CY364" s="64"/>
      <c r="CZ364" s="64"/>
      <c r="DA364" s="64"/>
      <c r="DB364" s="64"/>
      <c r="DC364" s="64"/>
      <c r="DD364" s="64"/>
      <c r="DE364" s="64"/>
      <c r="DF364" s="64"/>
      <c r="DG364" s="64"/>
      <c r="DH364" s="64"/>
      <c r="DI364" s="64"/>
      <c r="DJ364" s="64"/>
      <c r="DK364" s="64"/>
      <c r="DL364" s="64"/>
      <c r="DM364" s="64"/>
      <c r="DN364" s="64"/>
      <c r="DO364" s="64"/>
      <c r="DP364" s="64"/>
      <c r="DQ364" s="64"/>
      <c r="DR364" s="64"/>
      <c r="DS364" s="64"/>
      <c r="DT364" s="64"/>
      <c r="DU364" s="64"/>
      <c r="DV364" s="64"/>
      <c r="DW364" s="64"/>
      <c r="DX364" s="64"/>
      <c r="DY364" s="64"/>
      <c r="DZ364" s="64"/>
    </row>
    <row r="365" spans="2:130" x14ac:dyDescent="0.15">
      <c r="B365" s="58" t="str">
        <f>IF(G365&lt;&gt;"",SUBTOTAL(3,$G$6:G365),"")</f>
        <v/>
      </c>
      <c r="C365" s="58"/>
      <c r="D365" s="58"/>
      <c r="E365" s="59"/>
      <c r="F365" s="59"/>
      <c r="G365" s="59"/>
      <c r="H365" s="61"/>
      <c r="I365" s="62"/>
      <c r="J365" s="63"/>
      <c r="K365" s="64"/>
      <c r="L365" s="64"/>
      <c r="M365" s="64"/>
      <c r="N365" s="64"/>
      <c r="O365" s="64"/>
      <c r="P365" s="64"/>
      <c r="Q365" s="64"/>
      <c r="R365" s="64"/>
      <c r="S365" s="64"/>
      <c r="T365" s="64"/>
      <c r="U365" s="64"/>
      <c r="V365" s="64"/>
      <c r="W365" s="64"/>
      <c r="X365" s="64"/>
      <c r="Y365" s="64"/>
      <c r="Z365" s="64"/>
      <c r="AA365" s="64"/>
      <c r="AB365" s="64"/>
      <c r="AC365" s="64"/>
      <c r="AD365" s="64"/>
      <c r="AE365" s="64"/>
      <c r="AF365" s="64"/>
      <c r="AG365" s="64"/>
      <c r="AH365" s="64"/>
      <c r="AI365" s="64"/>
      <c r="AJ365" s="64"/>
      <c r="AK365" s="64"/>
      <c r="AL365" s="64"/>
      <c r="AM365" s="64"/>
      <c r="AN365" s="64"/>
      <c r="AO365" s="64"/>
      <c r="AP365" s="64"/>
      <c r="AQ365" s="64"/>
      <c r="AR365" s="65"/>
      <c r="AS365" s="63"/>
      <c r="AT365" s="64"/>
      <c r="AU365" s="64"/>
      <c r="AV365" s="64"/>
      <c r="AW365" s="64"/>
      <c r="AX365" s="64"/>
      <c r="AY365" s="64"/>
      <c r="AZ365" s="64"/>
      <c r="BA365" s="64"/>
      <c r="BB365" s="64"/>
      <c r="BC365" s="64"/>
      <c r="BD365" s="64"/>
      <c r="BE365" s="64"/>
      <c r="BF365" s="64"/>
      <c r="BG365" s="64"/>
      <c r="BH365" s="64"/>
      <c r="BI365" s="64"/>
      <c r="BJ365" s="64"/>
      <c r="BK365" s="64"/>
      <c r="BL365" s="64"/>
      <c r="BM365" s="64"/>
      <c r="BN365" s="64"/>
      <c r="BO365" s="64"/>
      <c r="BP365" s="64"/>
      <c r="BQ365" s="64"/>
      <c r="BR365" s="64"/>
      <c r="BS365" s="64"/>
      <c r="BT365" s="64"/>
      <c r="BU365" s="64"/>
      <c r="BV365" s="64"/>
      <c r="BW365" s="64"/>
      <c r="BX365" s="64"/>
      <c r="BY365" s="64"/>
      <c r="BZ365" s="64"/>
      <c r="CA365" s="65"/>
      <c r="CB365" s="60"/>
      <c r="CH365" s="64"/>
      <c r="CI365" s="64"/>
      <c r="CJ365" s="64"/>
      <c r="CK365" s="64"/>
      <c r="CL365" s="64"/>
      <c r="CM365" s="64"/>
      <c r="CN365" s="64"/>
      <c r="CO365" s="64"/>
      <c r="CP365" s="64"/>
      <c r="CQ365" s="64"/>
      <c r="CR365" s="64"/>
      <c r="CS365" s="64"/>
      <c r="CT365" s="64"/>
      <c r="CU365" s="64"/>
      <c r="CV365" s="64"/>
      <c r="CW365" s="64"/>
      <c r="CX365" s="64"/>
      <c r="CY365" s="64"/>
      <c r="CZ365" s="64"/>
      <c r="DA365" s="64"/>
      <c r="DB365" s="64"/>
      <c r="DC365" s="64"/>
      <c r="DD365" s="64"/>
      <c r="DE365" s="64"/>
      <c r="DF365" s="64"/>
      <c r="DG365" s="64"/>
      <c r="DH365" s="64"/>
      <c r="DI365" s="64"/>
      <c r="DJ365" s="64"/>
      <c r="DK365" s="64"/>
      <c r="DL365" s="64"/>
      <c r="DM365" s="64"/>
      <c r="DN365" s="64"/>
      <c r="DO365" s="64"/>
      <c r="DP365" s="64"/>
      <c r="DQ365" s="64"/>
      <c r="DR365" s="64"/>
      <c r="DS365" s="64"/>
      <c r="DT365" s="64"/>
      <c r="DU365" s="64"/>
      <c r="DV365" s="64"/>
      <c r="DW365" s="64"/>
      <c r="DX365" s="64"/>
      <c r="DY365" s="64"/>
      <c r="DZ365" s="64"/>
    </row>
    <row r="366" spans="2:130" x14ac:dyDescent="0.15">
      <c r="B366" s="58" t="str">
        <f>IF(G366&lt;&gt;"",SUBTOTAL(3,$G$6:G366),"")</f>
        <v/>
      </c>
      <c r="C366" s="58"/>
      <c r="D366" s="58"/>
      <c r="E366" s="59"/>
      <c r="F366" s="59"/>
      <c r="G366" s="59"/>
      <c r="H366" s="61"/>
      <c r="I366" s="62"/>
      <c r="J366" s="63"/>
      <c r="K366" s="64"/>
      <c r="L366" s="64"/>
      <c r="M366" s="64"/>
      <c r="N366" s="64"/>
      <c r="O366" s="64"/>
      <c r="P366" s="64"/>
      <c r="Q366" s="64"/>
      <c r="R366" s="64"/>
      <c r="S366" s="64"/>
      <c r="T366" s="64"/>
      <c r="U366" s="64"/>
      <c r="V366" s="64"/>
      <c r="W366" s="64"/>
      <c r="X366" s="64"/>
      <c r="Y366" s="64"/>
      <c r="Z366" s="64"/>
      <c r="AA366" s="64"/>
      <c r="AB366" s="64"/>
      <c r="AC366" s="64"/>
      <c r="AD366" s="64"/>
      <c r="AE366" s="64"/>
      <c r="AF366" s="64"/>
      <c r="AG366" s="64"/>
      <c r="AH366" s="64"/>
      <c r="AI366" s="64"/>
      <c r="AJ366" s="64"/>
      <c r="AK366" s="64"/>
      <c r="AL366" s="64"/>
      <c r="AM366" s="64"/>
      <c r="AN366" s="64"/>
      <c r="AO366" s="64"/>
      <c r="AP366" s="64"/>
      <c r="AQ366" s="64"/>
      <c r="AR366" s="65"/>
      <c r="AS366" s="63"/>
      <c r="AT366" s="64"/>
      <c r="AU366" s="64"/>
      <c r="AV366" s="64"/>
      <c r="AW366" s="64"/>
      <c r="AX366" s="64"/>
      <c r="AY366" s="64"/>
      <c r="AZ366" s="64"/>
      <c r="BA366" s="64"/>
      <c r="BB366" s="64"/>
      <c r="BC366" s="64"/>
      <c r="BD366" s="64"/>
      <c r="BE366" s="64"/>
      <c r="BF366" s="64"/>
      <c r="BG366" s="64"/>
      <c r="BH366" s="64"/>
      <c r="BI366" s="64"/>
      <c r="BJ366" s="64"/>
      <c r="BK366" s="64"/>
      <c r="BL366" s="64"/>
      <c r="BM366" s="64"/>
      <c r="BN366" s="64"/>
      <c r="BO366" s="64"/>
      <c r="BP366" s="64"/>
      <c r="BQ366" s="64"/>
      <c r="BR366" s="64"/>
      <c r="BS366" s="64"/>
      <c r="BT366" s="64"/>
      <c r="BU366" s="64"/>
      <c r="BV366" s="64"/>
      <c r="BW366" s="64"/>
      <c r="BX366" s="64"/>
      <c r="BY366" s="64"/>
      <c r="BZ366" s="64"/>
      <c r="CA366" s="65"/>
      <c r="CB366" s="60"/>
      <c r="CH366" s="64"/>
      <c r="CI366" s="64"/>
      <c r="CJ366" s="64"/>
      <c r="CK366" s="64"/>
      <c r="CL366" s="64"/>
      <c r="CM366" s="64"/>
      <c r="CN366" s="64"/>
      <c r="CO366" s="64"/>
      <c r="CP366" s="64"/>
      <c r="CQ366" s="64"/>
      <c r="CR366" s="64"/>
      <c r="CS366" s="64"/>
      <c r="CT366" s="64"/>
      <c r="CU366" s="64"/>
      <c r="CV366" s="64"/>
      <c r="CW366" s="64"/>
      <c r="CX366" s="64"/>
      <c r="CY366" s="64"/>
      <c r="CZ366" s="64"/>
      <c r="DA366" s="64"/>
      <c r="DB366" s="64"/>
      <c r="DC366" s="64"/>
      <c r="DD366" s="64"/>
      <c r="DE366" s="64"/>
      <c r="DF366" s="64"/>
      <c r="DG366" s="64"/>
      <c r="DH366" s="64"/>
      <c r="DI366" s="64"/>
      <c r="DJ366" s="64"/>
      <c r="DK366" s="64"/>
      <c r="DL366" s="64"/>
      <c r="DM366" s="64"/>
      <c r="DN366" s="64"/>
      <c r="DO366" s="64"/>
      <c r="DP366" s="64"/>
      <c r="DQ366" s="64"/>
      <c r="DR366" s="64"/>
      <c r="DS366" s="64"/>
      <c r="DT366" s="64"/>
      <c r="DU366" s="64"/>
      <c r="DV366" s="64"/>
      <c r="DW366" s="64"/>
      <c r="DX366" s="64"/>
      <c r="DY366" s="64"/>
      <c r="DZ366" s="64"/>
    </row>
    <row r="367" spans="2:130" x14ac:dyDescent="0.15">
      <c r="B367" s="58" t="str">
        <f>IF(G367&lt;&gt;"",SUBTOTAL(3,$G$6:G367),"")</f>
        <v/>
      </c>
      <c r="C367" s="58"/>
      <c r="D367" s="58"/>
      <c r="E367" s="59"/>
      <c r="F367" s="59"/>
      <c r="G367" s="59"/>
      <c r="H367" s="61"/>
      <c r="I367" s="62"/>
      <c r="J367" s="63"/>
      <c r="K367" s="64"/>
      <c r="L367" s="64"/>
      <c r="M367" s="64"/>
      <c r="N367" s="64"/>
      <c r="O367" s="64"/>
      <c r="P367" s="64"/>
      <c r="Q367" s="64"/>
      <c r="R367" s="64"/>
      <c r="S367" s="64"/>
      <c r="T367" s="64"/>
      <c r="U367" s="64"/>
      <c r="V367" s="64"/>
      <c r="W367" s="64"/>
      <c r="X367" s="64"/>
      <c r="Y367" s="64"/>
      <c r="Z367" s="64"/>
      <c r="AA367" s="64"/>
      <c r="AB367" s="64"/>
      <c r="AC367" s="64"/>
      <c r="AD367" s="64"/>
      <c r="AE367" s="64"/>
      <c r="AF367" s="64"/>
      <c r="AG367" s="64"/>
      <c r="AH367" s="64"/>
      <c r="AI367" s="64"/>
      <c r="AJ367" s="64"/>
      <c r="AK367" s="64"/>
      <c r="AL367" s="64"/>
      <c r="AM367" s="64"/>
      <c r="AN367" s="64"/>
      <c r="AO367" s="64"/>
      <c r="AP367" s="64"/>
      <c r="AQ367" s="64"/>
      <c r="AR367" s="65"/>
      <c r="AS367" s="63"/>
      <c r="AT367" s="64"/>
      <c r="AU367" s="64"/>
      <c r="AV367" s="64"/>
      <c r="AW367" s="64"/>
      <c r="AX367" s="64"/>
      <c r="AY367" s="64"/>
      <c r="AZ367" s="64"/>
      <c r="BA367" s="64"/>
      <c r="BB367" s="64"/>
      <c r="BC367" s="64"/>
      <c r="BD367" s="64"/>
      <c r="BE367" s="64"/>
      <c r="BF367" s="64"/>
      <c r="BG367" s="64"/>
      <c r="BH367" s="64"/>
      <c r="BI367" s="64"/>
      <c r="BJ367" s="64"/>
      <c r="BK367" s="64"/>
      <c r="BL367" s="64"/>
      <c r="BM367" s="64"/>
      <c r="BN367" s="64"/>
      <c r="BO367" s="64"/>
      <c r="BP367" s="64"/>
      <c r="BQ367" s="64"/>
      <c r="BR367" s="64"/>
      <c r="BS367" s="64"/>
      <c r="BT367" s="64"/>
      <c r="BU367" s="64"/>
      <c r="BV367" s="64"/>
      <c r="BW367" s="64"/>
      <c r="BX367" s="64"/>
      <c r="BY367" s="64"/>
      <c r="BZ367" s="64"/>
      <c r="CA367" s="65"/>
      <c r="CB367" s="60"/>
      <c r="CH367" s="64"/>
      <c r="CI367" s="64"/>
      <c r="CJ367" s="64"/>
      <c r="CK367" s="64"/>
      <c r="CL367" s="64"/>
      <c r="CM367" s="64"/>
      <c r="CN367" s="64"/>
      <c r="CO367" s="64"/>
      <c r="CP367" s="64"/>
      <c r="CQ367" s="64"/>
      <c r="CR367" s="64"/>
      <c r="CS367" s="64"/>
      <c r="CT367" s="64"/>
      <c r="CU367" s="64"/>
      <c r="CV367" s="64"/>
      <c r="CW367" s="64"/>
      <c r="CX367" s="64"/>
      <c r="CY367" s="64"/>
      <c r="CZ367" s="64"/>
      <c r="DA367" s="64"/>
      <c r="DB367" s="64"/>
      <c r="DC367" s="64"/>
      <c r="DD367" s="64"/>
      <c r="DE367" s="64"/>
      <c r="DF367" s="64"/>
      <c r="DG367" s="64"/>
      <c r="DH367" s="64"/>
      <c r="DI367" s="64"/>
      <c r="DJ367" s="64"/>
      <c r="DK367" s="64"/>
      <c r="DL367" s="64"/>
      <c r="DM367" s="64"/>
      <c r="DN367" s="64"/>
      <c r="DO367" s="64"/>
      <c r="DP367" s="64"/>
      <c r="DQ367" s="64"/>
      <c r="DR367" s="64"/>
      <c r="DS367" s="64"/>
      <c r="DT367" s="64"/>
      <c r="DU367" s="64"/>
      <c r="DV367" s="64"/>
      <c r="DW367" s="64"/>
      <c r="DX367" s="64"/>
      <c r="DY367" s="64"/>
      <c r="DZ367" s="64"/>
    </row>
    <row r="368" spans="2:130" x14ac:dyDescent="0.15">
      <c r="B368" s="58" t="str">
        <f>IF(G368&lt;&gt;"",SUBTOTAL(3,$G$6:G368),"")</f>
        <v/>
      </c>
      <c r="C368" s="58"/>
      <c r="D368" s="58"/>
      <c r="E368" s="59"/>
      <c r="F368" s="59"/>
      <c r="G368" s="59"/>
      <c r="H368" s="61"/>
      <c r="I368" s="62"/>
      <c r="J368" s="63"/>
      <c r="K368" s="64"/>
      <c r="L368" s="64"/>
      <c r="M368" s="64"/>
      <c r="N368" s="64"/>
      <c r="O368" s="64"/>
      <c r="P368" s="64"/>
      <c r="Q368" s="64"/>
      <c r="R368" s="64"/>
      <c r="S368" s="64"/>
      <c r="T368" s="64"/>
      <c r="U368" s="64"/>
      <c r="V368" s="64"/>
      <c r="W368" s="64"/>
      <c r="X368" s="64"/>
      <c r="Y368" s="64"/>
      <c r="Z368" s="64"/>
      <c r="AA368" s="64"/>
      <c r="AB368" s="64"/>
      <c r="AC368" s="64"/>
      <c r="AD368" s="64"/>
      <c r="AE368" s="64"/>
      <c r="AF368" s="64"/>
      <c r="AG368" s="64"/>
      <c r="AH368" s="64"/>
      <c r="AI368" s="64"/>
      <c r="AJ368" s="64"/>
      <c r="AK368" s="64"/>
      <c r="AL368" s="64"/>
      <c r="AM368" s="64"/>
      <c r="AN368" s="64"/>
      <c r="AO368" s="64"/>
      <c r="AP368" s="64"/>
      <c r="AQ368" s="64"/>
      <c r="AR368" s="65"/>
      <c r="AS368" s="63"/>
      <c r="AT368" s="64"/>
      <c r="AU368" s="64"/>
      <c r="AV368" s="64"/>
      <c r="AW368" s="64"/>
      <c r="AX368" s="64"/>
      <c r="AY368" s="64"/>
      <c r="AZ368" s="64"/>
      <c r="BA368" s="64"/>
      <c r="BB368" s="64"/>
      <c r="BC368" s="64"/>
      <c r="BD368" s="64"/>
      <c r="BE368" s="64"/>
      <c r="BF368" s="64"/>
      <c r="BG368" s="64"/>
      <c r="BH368" s="64"/>
      <c r="BI368" s="64"/>
      <c r="BJ368" s="64"/>
      <c r="BK368" s="64"/>
      <c r="BL368" s="64"/>
      <c r="BM368" s="64"/>
      <c r="BN368" s="64"/>
      <c r="BO368" s="64"/>
      <c r="BP368" s="64"/>
      <c r="BQ368" s="64"/>
      <c r="BR368" s="64"/>
      <c r="BS368" s="64"/>
      <c r="BT368" s="64"/>
      <c r="BU368" s="64"/>
      <c r="BV368" s="64"/>
      <c r="BW368" s="64"/>
      <c r="BX368" s="64"/>
      <c r="BY368" s="64"/>
      <c r="BZ368" s="64"/>
      <c r="CA368" s="65"/>
      <c r="CB368" s="60"/>
      <c r="CH368" s="64"/>
      <c r="CI368" s="64"/>
      <c r="CJ368" s="64"/>
      <c r="CK368" s="64"/>
      <c r="CL368" s="64"/>
      <c r="CM368" s="64"/>
      <c r="CN368" s="64"/>
      <c r="CO368" s="64"/>
      <c r="CP368" s="64"/>
      <c r="CQ368" s="64"/>
      <c r="CR368" s="64"/>
      <c r="CS368" s="64"/>
      <c r="CT368" s="64"/>
      <c r="CU368" s="64"/>
      <c r="CV368" s="64"/>
      <c r="CW368" s="64"/>
      <c r="CX368" s="64"/>
      <c r="CY368" s="64"/>
      <c r="CZ368" s="64"/>
      <c r="DA368" s="64"/>
      <c r="DB368" s="64"/>
      <c r="DC368" s="64"/>
      <c r="DD368" s="64"/>
      <c r="DE368" s="64"/>
      <c r="DF368" s="64"/>
      <c r="DG368" s="64"/>
      <c r="DH368" s="64"/>
      <c r="DI368" s="64"/>
      <c r="DJ368" s="64"/>
      <c r="DK368" s="64"/>
      <c r="DL368" s="64"/>
      <c r="DM368" s="64"/>
      <c r="DN368" s="64"/>
      <c r="DO368" s="64"/>
      <c r="DP368" s="64"/>
      <c r="DQ368" s="64"/>
      <c r="DR368" s="64"/>
      <c r="DS368" s="64"/>
      <c r="DT368" s="64"/>
      <c r="DU368" s="64"/>
      <c r="DV368" s="64"/>
      <c r="DW368" s="64"/>
      <c r="DX368" s="64"/>
      <c r="DY368" s="64"/>
      <c r="DZ368" s="64"/>
    </row>
    <row r="369" spans="2:130" x14ac:dyDescent="0.15">
      <c r="B369" s="58" t="str">
        <f>IF(G369&lt;&gt;"",SUBTOTAL(3,$G$6:G369),"")</f>
        <v/>
      </c>
      <c r="C369" s="58"/>
      <c r="D369" s="58"/>
      <c r="E369" s="59"/>
      <c r="F369" s="59"/>
      <c r="G369" s="59"/>
      <c r="H369" s="61"/>
      <c r="I369" s="62"/>
      <c r="J369" s="63"/>
      <c r="K369" s="64"/>
      <c r="L369" s="64"/>
      <c r="M369" s="64"/>
      <c r="N369" s="64"/>
      <c r="O369" s="64"/>
      <c r="P369" s="64"/>
      <c r="Q369" s="64"/>
      <c r="R369" s="64"/>
      <c r="S369" s="64"/>
      <c r="T369" s="64"/>
      <c r="U369" s="64"/>
      <c r="V369" s="64"/>
      <c r="W369" s="64"/>
      <c r="X369" s="64"/>
      <c r="Y369" s="64"/>
      <c r="Z369" s="64"/>
      <c r="AA369" s="64"/>
      <c r="AB369" s="64"/>
      <c r="AC369" s="64"/>
      <c r="AD369" s="64"/>
      <c r="AE369" s="64"/>
      <c r="AF369" s="64"/>
      <c r="AG369" s="64"/>
      <c r="AH369" s="64"/>
      <c r="AI369" s="64"/>
      <c r="AJ369" s="64"/>
      <c r="AK369" s="64"/>
      <c r="AL369" s="64"/>
      <c r="AM369" s="64"/>
      <c r="AN369" s="64"/>
      <c r="AO369" s="64"/>
      <c r="AP369" s="64"/>
      <c r="AQ369" s="64"/>
      <c r="AR369" s="65"/>
      <c r="AS369" s="63"/>
      <c r="AT369" s="64"/>
      <c r="AU369" s="64"/>
      <c r="AV369" s="64"/>
      <c r="AW369" s="64"/>
      <c r="AX369" s="64"/>
      <c r="AY369" s="64"/>
      <c r="AZ369" s="64"/>
      <c r="BA369" s="64"/>
      <c r="BB369" s="64"/>
      <c r="BC369" s="64"/>
      <c r="BD369" s="64"/>
      <c r="BE369" s="64"/>
      <c r="BF369" s="64"/>
      <c r="BG369" s="64"/>
      <c r="BH369" s="64"/>
      <c r="BI369" s="64"/>
      <c r="BJ369" s="64"/>
      <c r="BK369" s="64"/>
      <c r="BL369" s="64"/>
      <c r="BM369" s="64"/>
      <c r="BN369" s="64"/>
      <c r="BO369" s="64"/>
      <c r="BP369" s="64"/>
      <c r="BQ369" s="64"/>
      <c r="BR369" s="64"/>
      <c r="BS369" s="64"/>
      <c r="BT369" s="64"/>
      <c r="BU369" s="64"/>
      <c r="BV369" s="64"/>
      <c r="BW369" s="64"/>
      <c r="BX369" s="64"/>
      <c r="BY369" s="64"/>
      <c r="BZ369" s="64"/>
      <c r="CA369" s="65"/>
      <c r="CB369" s="60"/>
      <c r="CH369" s="64"/>
      <c r="CI369" s="64"/>
      <c r="CJ369" s="64"/>
      <c r="CK369" s="64"/>
      <c r="CL369" s="64"/>
      <c r="CM369" s="64"/>
      <c r="CN369" s="64"/>
      <c r="CO369" s="64"/>
      <c r="CP369" s="64"/>
      <c r="CQ369" s="64"/>
      <c r="CR369" s="64"/>
      <c r="CS369" s="64"/>
      <c r="CT369" s="64"/>
      <c r="CU369" s="64"/>
      <c r="CV369" s="64"/>
      <c r="CW369" s="64"/>
      <c r="CX369" s="64"/>
      <c r="CY369" s="64"/>
      <c r="CZ369" s="64"/>
      <c r="DA369" s="64"/>
      <c r="DB369" s="64"/>
      <c r="DC369" s="64"/>
      <c r="DD369" s="64"/>
      <c r="DE369" s="64"/>
      <c r="DF369" s="64"/>
      <c r="DG369" s="64"/>
      <c r="DH369" s="64"/>
      <c r="DI369" s="64"/>
      <c r="DJ369" s="64"/>
      <c r="DK369" s="64"/>
      <c r="DL369" s="64"/>
      <c r="DM369" s="64"/>
      <c r="DN369" s="64"/>
      <c r="DO369" s="64"/>
      <c r="DP369" s="64"/>
      <c r="DQ369" s="64"/>
      <c r="DR369" s="64"/>
      <c r="DS369" s="64"/>
      <c r="DT369" s="64"/>
      <c r="DU369" s="64"/>
      <c r="DV369" s="64"/>
      <c r="DW369" s="64"/>
      <c r="DX369" s="64"/>
      <c r="DY369" s="64"/>
      <c r="DZ369" s="64"/>
    </row>
    <row r="370" spans="2:130" x14ac:dyDescent="0.15">
      <c r="B370" s="58" t="str">
        <f>IF(G370&lt;&gt;"",SUBTOTAL(3,$G$6:G370),"")</f>
        <v/>
      </c>
      <c r="C370" s="58"/>
      <c r="D370" s="58"/>
      <c r="E370" s="59"/>
      <c r="F370" s="59"/>
      <c r="G370" s="59"/>
      <c r="H370" s="61"/>
      <c r="I370" s="62"/>
      <c r="J370" s="63"/>
      <c r="K370" s="64"/>
      <c r="L370" s="64"/>
      <c r="M370" s="64"/>
      <c r="N370" s="64"/>
      <c r="O370" s="64"/>
      <c r="P370" s="64"/>
      <c r="Q370" s="64"/>
      <c r="R370" s="64"/>
      <c r="S370" s="64"/>
      <c r="T370" s="64"/>
      <c r="U370" s="64"/>
      <c r="V370" s="64"/>
      <c r="W370" s="64"/>
      <c r="X370" s="64"/>
      <c r="Y370" s="64"/>
      <c r="Z370" s="64"/>
      <c r="AA370" s="64"/>
      <c r="AB370" s="64"/>
      <c r="AC370" s="64"/>
      <c r="AD370" s="64"/>
      <c r="AE370" s="64"/>
      <c r="AF370" s="64"/>
      <c r="AG370" s="64"/>
      <c r="AH370" s="64"/>
      <c r="AI370" s="64"/>
      <c r="AJ370" s="64"/>
      <c r="AK370" s="64"/>
      <c r="AL370" s="64"/>
      <c r="AM370" s="64"/>
      <c r="AN370" s="64"/>
      <c r="AO370" s="64"/>
      <c r="AP370" s="64"/>
      <c r="AQ370" s="64"/>
      <c r="AR370" s="65"/>
      <c r="AS370" s="63"/>
      <c r="AT370" s="64"/>
      <c r="AU370" s="64"/>
      <c r="AV370" s="64"/>
      <c r="AW370" s="64"/>
      <c r="AX370" s="64"/>
      <c r="AY370" s="64"/>
      <c r="AZ370" s="64"/>
      <c r="BA370" s="64"/>
      <c r="BB370" s="64"/>
      <c r="BC370" s="64"/>
      <c r="BD370" s="64"/>
      <c r="BE370" s="64"/>
      <c r="BF370" s="64"/>
      <c r="BG370" s="64"/>
      <c r="BH370" s="64"/>
      <c r="BI370" s="64"/>
      <c r="BJ370" s="64"/>
      <c r="BK370" s="64"/>
      <c r="BL370" s="64"/>
      <c r="BM370" s="64"/>
      <c r="BN370" s="64"/>
      <c r="BO370" s="64"/>
      <c r="BP370" s="64"/>
      <c r="BQ370" s="64"/>
      <c r="BR370" s="64"/>
      <c r="BS370" s="64"/>
      <c r="BT370" s="64"/>
      <c r="BU370" s="64"/>
      <c r="BV370" s="64"/>
      <c r="BW370" s="64"/>
      <c r="BX370" s="64"/>
      <c r="BY370" s="64"/>
      <c r="BZ370" s="64"/>
      <c r="CA370" s="65"/>
      <c r="CB370" s="60"/>
      <c r="CH370" s="64"/>
      <c r="CI370" s="64"/>
      <c r="CJ370" s="64"/>
      <c r="CK370" s="64"/>
      <c r="CL370" s="64"/>
      <c r="CM370" s="64"/>
      <c r="CN370" s="64"/>
      <c r="CO370" s="64"/>
      <c r="CP370" s="64"/>
      <c r="CQ370" s="64"/>
      <c r="CR370" s="64"/>
      <c r="CS370" s="64"/>
      <c r="CT370" s="64"/>
      <c r="CU370" s="64"/>
      <c r="CV370" s="64"/>
      <c r="CW370" s="64"/>
      <c r="CX370" s="64"/>
      <c r="CY370" s="64"/>
      <c r="CZ370" s="64"/>
      <c r="DA370" s="64"/>
      <c r="DB370" s="64"/>
      <c r="DC370" s="64"/>
      <c r="DD370" s="64"/>
      <c r="DE370" s="64"/>
      <c r="DF370" s="64"/>
      <c r="DG370" s="64"/>
      <c r="DH370" s="64"/>
      <c r="DI370" s="64"/>
      <c r="DJ370" s="64"/>
      <c r="DK370" s="64"/>
      <c r="DL370" s="64"/>
      <c r="DM370" s="64"/>
      <c r="DN370" s="64"/>
      <c r="DO370" s="64"/>
      <c r="DP370" s="64"/>
      <c r="DQ370" s="64"/>
      <c r="DR370" s="64"/>
      <c r="DS370" s="64"/>
      <c r="DT370" s="64"/>
      <c r="DU370" s="64"/>
      <c r="DV370" s="64"/>
      <c r="DW370" s="64"/>
      <c r="DX370" s="64"/>
      <c r="DY370" s="64"/>
      <c r="DZ370" s="64"/>
    </row>
    <row r="371" spans="2:130" x14ac:dyDescent="0.15">
      <c r="B371" s="58" t="str">
        <f>IF(G371&lt;&gt;"",SUBTOTAL(3,$G$6:G371),"")</f>
        <v/>
      </c>
      <c r="C371" s="58"/>
      <c r="D371" s="58"/>
      <c r="E371" s="59"/>
      <c r="F371" s="59"/>
      <c r="G371" s="59"/>
      <c r="H371" s="61"/>
      <c r="I371" s="62"/>
      <c r="J371" s="63"/>
      <c r="K371" s="64"/>
      <c r="L371" s="64"/>
      <c r="M371" s="64"/>
      <c r="N371" s="64"/>
      <c r="O371" s="64"/>
      <c r="P371" s="64"/>
      <c r="Q371" s="64"/>
      <c r="R371" s="64"/>
      <c r="S371" s="64"/>
      <c r="T371" s="64"/>
      <c r="U371" s="64"/>
      <c r="V371" s="64"/>
      <c r="W371" s="64"/>
      <c r="X371" s="64"/>
      <c r="Y371" s="64"/>
      <c r="Z371" s="64"/>
      <c r="AA371" s="64"/>
      <c r="AB371" s="64"/>
      <c r="AC371" s="64"/>
      <c r="AD371" s="64"/>
      <c r="AE371" s="64"/>
      <c r="AF371" s="64"/>
      <c r="AG371" s="64"/>
      <c r="AH371" s="64"/>
      <c r="AI371" s="64"/>
      <c r="AJ371" s="64"/>
      <c r="AK371" s="64"/>
      <c r="AL371" s="64"/>
      <c r="AM371" s="64"/>
      <c r="AN371" s="64"/>
      <c r="AO371" s="64"/>
      <c r="AP371" s="64"/>
      <c r="AQ371" s="64"/>
      <c r="AR371" s="65"/>
      <c r="AS371" s="63"/>
      <c r="AT371" s="64"/>
      <c r="AU371" s="64"/>
      <c r="AV371" s="64"/>
      <c r="AW371" s="64"/>
      <c r="AX371" s="64"/>
      <c r="AY371" s="64"/>
      <c r="AZ371" s="64"/>
      <c r="BA371" s="64"/>
      <c r="BB371" s="64"/>
      <c r="BC371" s="64"/>
      <c r="BD371" s="64"/>
      <c r="BE371" s="64"/>
      <c r="BF371" s="64"/>
      <c r="BG371" s="64"/>
      <c r="BH371" s="64"/>
      <c r="BI371" s="64"/>
      <c r="BJ371" s="64"/>
      <c r="BK371" s="64"/>
      <c r="BL371" s="64"/>
      <c r="BM371" s="64"/>
      <c r="BN371" s="64"/>
      <c r="BO371" s="64"/>
      <c r="BP371" s="64"/>
      <c r="BQ371" s="64"/>
      <c r="BR371" s="64"/>
      <c r="BS371" s="64"/>
      <c r="BT371" s="64"/>
      <c r="BU371" s="64"/>
      <c r="BV371" s="64"/>
      <c r="BW371" s="64"/>
      <c r="BX371" s="64"/>
      <c r="BY371" s="64"/>
      <c r="BZ371" s="64"/>
      <c r="CA371" s="65"/>
      <c r="CB371" s="60"/>
      <c r="CH371" s="64"/>
      <c r="CI371" s="64"/>
      <c r="CJ371" s="64"/>
      <c r="CK371" s="64"/>
      <c r="CL371" s="64"/>
      <c r="CM371" s="64"/>
      <c r="CN371" s="64"/>
      <c r="CO371" s="64"/>
      <c r="CP371" s="64"/>
      <c r="CQ371" s="64"/>
      <c r="CR371" s="64"/>
      <c r="CS371" s="64"/>
      <c r="CT371" s="64"/>
      <c r="CU371" s="64"/>
      <c r="CV371" s="64"/>
      <c r="CW371" s="64"/>
      <c r="CX371" s="64"/>
      <c r="CY371" s="64"/>
      <c r="CZ371" s="64"/>
      <c r="DA371" s="64"/>
      <c r="DB371" s="64"/>
      <c r="DC371" s="64"/>
      <c r="DD371" s="64"/>
      <c r="DE371" s="64"/>
      <c r="DF371" s="64"/>
      <c r="DG371" s="64"/>
      <c r="DH371" s="64"/>
      <c r="DI371" s="64"/>
      <c r="DJ371" s="64"/>
      <c r="DK371" s="64"/>
      <c r="DL371" s="64"/>
      <c r="DM371" s="64"/>
      <c r="DN371" s="64"/>
      <c r="DO371" s="64"/>
      <c r="DP371" s="64"/>
      <c r="DQ371" s="64"/>
      <c r="DR371" s="64"/>
      <c r="DS371" s="64"/>
      <c r="DT371" s="64"/>
      <c r="DU371" s="64"/>
      <c r="DV371" s="64"/>
      <c r="DW371" s="64"/>
      <c r="DX371" s="64"/>
      <c r="DY371" s="64"/>
      <c r="DZ371" s="64"/>
    </row>
    <row r="372" spans="2:130" x14ac:dyDescent="0.15">
      <c r="B372" s="58" t="str">
        <f>IF(G372&lt;&gt;"",SUBTOTAL(3,$G$6:G372),"")</f>
        <v/>
      </c>
      <c r="C372" s="58"/>
      <c r="D372" s="58"/>
      <c r="E372" s="59"/>
      <c r="F372" s="59"/>
      <c r="G372" s="59"/>
      <c r="H372" s="61"/>
      <c r="I372" s="62"/>
      <c r="J372" s="63"/>
      <c r="K372" s="64"/>
      <c r="L372" s="64"/>
      <c r="M372" s="64"/>
      <c r="N372" s="64"/>
      <c r="O372" s="64"/>
      <c r="P372" s="64"/>
      <c r="Q372" s="64"/>
      <c r="R372" s="64"/>
      <c r="S372" s="64"/>
      <c r="T372" s="64"/>
      <c r="U372" s="64"/>
      <c r="V372" s="64"/>
      <c r="W372" s="64"/>
      <c r="X372" s="64"/>
      <c r="Y372" s="64"/>
      <c r="Z372" s="64"/>
      <c r="AA372" s="64"/>
      <c r="AB372" s="64"/>
      <c r="AC372" s="64"/>
      <c r="AD372" s="64"/>
      <c r="AE372" s="64"/>
      <c r="AF372" s="64"/>
      <c r="AG372" s="64"/>
      <c r="AH372" s="64"/>
      <c r="AI372" s="64"/>
      <c r="AJ372" s="64"/>
      <c r="AK372" s="64"/>
      <c r="AL372" s="64"/>
      <c r="AM372" s="64"/>
      <c r="AN372" s="64"/>
      <c r="AO372" s="64"/>
      <c r="AP372" s="64"/>
      <c r="AQ372" s="64"/>
      <c r="AR372" s="65"/>
      <c r="AS372" s="63"/>
      <c r="AT372" s="64"/>
      <c r="AU372" s="64"/>
      <c r="AV372" s="64"/>
      <c r="AW372" s="64"/>
      <c r="AX372" s="64"/>
      <c r="AY372" s="64"/>
      <c r="AZ372" s="64"/>
      <c r="BA372" s="64"/>
      <c r="BB372" s="64"/>
      <c r="BC372" s="64"/>
      <c r="BD372" s="64"/>
      <c r="BE372" s="64"/>
      <c r="BF372" s="64"/>
      <c r="BG372" s="64"/>
      <c r="BH372" s="64"/>
      <c r="BI372" s="64"/>
      <c r="BJ372" s="64"/>
      <c r="BK372" s="64"/>
      <c r="BL372" s="64"/>
      <c r="BM372" s="64"/>
      <c r="BN372" s="64"/>
      <c r="BO372" s="64"/>
      <c r="BP372" s="64"/>
      <c r="BQ372" s="64"/>
      <c r="BR372" s="64"/>
      <c r="BS372" s="64"/>
      <c r="BT372" s="64"/>
      <c r="BU372" s="64"/>
      <c r="BV372" s="64"/>
      <c r="BW372" s="64"/>
      <c r="BX372" s="64"/>
      <c r="BY372" s="64"/>
      <c r="BZ372" s="64"/>
      <c r="CA372" s="65"/>
      <c r="CB372" s="60"/>
      <c r="CH372" s="64"/>
      <c r="CI372" s="64"/>
      <c r="CJ372" s="64"/>
      <c r="CK372" s="64"/>
      <c r="CL372" s="64"/>
      <c r="CM372" s="64"/>
      <c r="CN372" s="64"/>
      <c r="CO372" s="64"/>
      <c r="CP372" s="64"/>
      <c r="CQ372" s="64"/>
      <c r="CR372" s="64"/>
      <c r="CS372" s="64"/>
      <c r="CT372" s="64"/>
      <c r="CU372" s="64"/>
      <c r="CV372" s="64"/>
      <c r="CW372" s="64"/>
      <c r="CX372" s="64"/>
      <c r="CY372" s="64"/>
      <c r="CZ372" s="64"/>
      <c r="DA372" s="64"/>
      <c r="DB372" s="64"/>
      <c r="DC372" s="64"/>
      <c r="DD372" s="64"/>
      <c r="DE372" s="64"/>
      <c r="DF372" s="64"/>
      <c r="DG372" s="64"/>
      <c r="DH372" s="64"/>
      <c r="DI372" s="64"/>
      <c r="DJ372" s="64"/>
      <c r="DK372" s="64"/>
      <c r="DL372" s="64"/>
      <c r="DM372" s="64"/>
      <c r="DN372" s="64"/>
      <c r="DO372" s="64"/>
      <c r="DP372" s="64"/>
      <c r="DQ372" s="64"/>
      <c r="DR372" s="64"/>
      <c r="DS372" s="64"/>
      <c r="DT372" s="64"/>
      <c r="DU372" s="64"/>
      <c r="DV372" s="64"/>
      <c r="DW372" s="64"/>
      <c r="DX372" s="64"/>
      <c r="DY372" s="64"/>
      <c r="DZ372" s="64"/>
    </row>
    <row r="373" spans="2:130" x14ac:dyDescent="0.15">
      <c r="B373" s="58" t="str">
        <f>IF(G373&lt;&gt;"",SUBTOTAL(3,$G$6:G373),"")</f>
        <v/>
      </c>
      <c r="C373" s="58"/>
      <c r="D373" s="58"/>
      <c r="E373" s="59"/>
      <c r="F373" s="59"/>
      <c r="G373" s="59"/>
      <c r="H373" s="61"/>
      <c r="I373" s="62"/>
      <c r="J373" s="63"/>
      <c r="K373" s="64"/>
      <c r="L373" s="64"/>
      <c r="M373" s="64"/>
      <c r="N373" s="64"/>
      <c r="O373" s="64"/>
      <c r="P373" s="64"/>
      <c r="Q373" s="64"/>
      <c r="R373" s="64"/>
      <c r="S373" s="64"/>
      <c r="T373" s="64"/>
      <c r="U373" s="64"/>
      <c r="V373" s="64"/>
      <c r="W373" s="64"/>
      <c r="X373" s="64"/>
      <c r="Y373" s="64"/>
      <c r="Z373" s="64"/>
      <c r="AA373" s="64"/>
      <c r="AB373" s="64"/>
      <c r="AC373" s="64"/>
      <c r="AD373" s="64"/>
      <c r="AE373" s="64"/>
      <c r="AF373" s="64"/>
      <c r="AG373" s="64"/>
      <c r="AH373" s="64"/>
      <c r="AI373" s="64"/>
      <c r="AJ373" s="64"/>
      <c r="AK373" s="64"/>
      <c r="AL373" s="64"/>
      <c r="AM373" s="64"/>
      <c r="AN373" s="64"/>
      <c r="AO373" s="64"/>
      <c r="AP373" s="64"/>
      <c r="AQ373" s="64"/>
      <c r="AR373" s="65"/>
      <c r="AS373" s="63"/>
      <c r="AT373" s="64"/>
      <c r="AU373" s="64"/>
      <c r="AV373" s="64"/>
      <c r="AW373" s="64"/>
      <c r="AX373" s="64"/>
      <c r="AY373" s="64"/>
      <c r="AZ373" s="64"/>
      <c r="BA373" s="64"/>
      <c r="BB373" s="64"/>
      <c r="BC373" s="64"/>
      <c r="BD373" s="64"/>
      <c r="BE373" s="64"/>
      <c r="BF373" s="64"/>
      <c r="BG373" s="64"/>
      <c r="BH373" s="64"/>
      <c r="BI373" s="64"/>
      <c r="BJ373" s="64"/>
      <c r="BK373" s="64"/>
      <c r="BL373" s="64"/>
      <c r="BM373" s="64"/>
      <c r="BN373" s="64"/>
      <c r="BO373" s="64"/>
      <c r="BP373" s="64"/>
      <c r="BQ373" s="64"/>
      <c r="BR373" s="64"/>
      <c r="BS373" s="64"/>
      <c r="BT373" s="64"/>
      <c r="BU373" s="64"/>
      <c r="BV373" s="64"/>
      <c r="BW373" s="64"/>
      <c r="BX373" s="64"/>
      <c r="BY373" s="64"/>
      <c r="BZ373" s="64"/>
      <c r="CA373" s="65"/>
      <c r="CB373" s="60"/>
      <c r="CH373" s="64"/>
      <c r="CI373" s="64"/>
      <c r="CJ373" s="64"/>
      <c r="CK373" s="64"/>
      <c r="CL373" s="64"/>
      <c r="CM373" s="64"/>
      <c r="CN373" s="64"/>
      <c r="CO373" s="64"/>
      <c r="CP373" s="64"/>
      <c r="CQ373" s="64"/>
      <c r="CR373" s="64"/>
      <c r="CS373" s="64"/>
      <c r="CT373" s="64"/>
      <c r="CU373" s="64"/>
      <c r="CV373" s="64"/>
      <c r="CW373" s="64"/>
      <c r="CX373" s="64"/>
      <c r="CY373" s="64"/>
      <c r="CZ373" s="64"/>
      <c r="DA373" s="64"/>
      <c r="DB373" s="64"/>
      <c r="DC373" s="64"/>
      <c r="DD373" s="64"/>
      <c r="DE373" s="64"/>
      <c r="DF373" s="64"/>
      <c r="DG373" s="64"/>
      <c r="DH373" s="64"/>
      <c r="DI373" s="64"/>
      <c r="DJ373" s="64"/>
      <c r="DK373" s="64"/>
      <c r="DL373" s="64"/>
      <c r="DM373" s="64"/>
      <c r="DN373" s="64"/>
      <c r="DO373" s="64"/>
      <c r="DP373" s="64"/>
      <c r="DQ373" s="64"/>
      <c r="DR373" s="64"/>
      <c r="DS373" s="64"/>
      <c r="DT373" s="64"/>
      <c r="DU373" s="64"/>
      <c r="DV373" s="64"/>
      <c r="DW373" s="64"/>
      <c r="DX373" s="64"/>
      <c r="DY373" s="64"/>
      <c r="DZ373" s="64"/>
    </row>
    <row r="374" spans="2:130" x14ac:dyDescent="0.15">
      <c r="B374" s="85" t="str">
        <f>IF(G374&lt;&gt;"",SUBTOTAL(3,$G$6:G374),"")</f>
        <v/>
      </c>
      <c r="C374" s="85"/>
      <c r="D374" s="85"/>
      <c r="E374" s="86"/>
      <c r="F374" s="86"/>
      <c r="G374" s="86"/>
      <c r="H374" s="87"/>
      <c r="I374" s="88"/>
      <c r="J374" s="89"/>
      <c r="K374" s="90"/>
      <c r="L374" s="90"/>
      <c r="M374" s="90"/>
      <c r="N374" s="90"/>
      <c r="O374" s="90"/>
      <c r="P374" s="90"/>
      <c r="Q374" s="90"/>
      <c r="R374" s="90"/>
      <c r="S374" s="90"/>
      <c r="T374" s="90"/>
      <c r="U374" s="90"/>
      <c r="V374" s="90"/>
      <c r="W374" s="90"/>
      <c r="X374" s="90"/>
      <c r="Y374" s="90"/>
      <c r="Z374" s="90"/>
      <c r="AA374" s="90"/>
      <c r="AB374" s="90"/>
      <c r="AC374" s="90"/>
      <c r="AD374" s="90"/>
      <c r="AE374" s="90"/>
      <c r="AF374" s="90"/>
      <c r="AG374" s="90"/>
      <c r="AH374" s="90"/>
      <c r="AI374" s="90"/>
      <c r="AJ374" s="90"/>
      <c r="AK374" s="90"/>
      <c r="AL374" s="90"/>
      <c r="AM374" s="90"/>
      <c r="AN374" s="90"/>
      <c r="AO374" s="90"/>
      <c r="AP374" s="90"/>
      <c r="AQ374" s="90"/>
      <c r="AR374" s="91"/>
      <c r="AS374" s="89"/>
      <c r="AT374" s="90"/>
      <c r="AU374" s="90"/>
      <c r="AV374" s="90"/>
      <c r="AW374" s="90"/>
      <c r="AX374" s="90"/>
      <c r="AY374" s="90"/>
      <c r="AZ374" s="90"/>
      <c r="BA374" s="90"/>
      <c r="BB374" s="90"/>
      <c r="BC374" s="90"/>
      <c r="BD374" s="90"/>
      <c r="BE374" s="90"/>
      <c r="BF374" s="90"/>
      <c r="BG374" s="90"/>
      <c r="BH374" s="90"/>
      <c r="BI374" s="90"/>
      <c r="BJ374" s="90"/>
      <c r="BK374" s="90"/>
      <c r="BL374" s="90"/>
      <c r="BM374" s="90"/>
      <c r="BN374" s="90"/>
      <c r="BO374" s="90"/>
      <c r="BP374" s="90"/>
      <c r="BQ374" s="90"/>
      <c r="BR374" s="90"/>
      <c r="BS374" s="90"/>
      <c r="BT374" s="90"/>
      <c r="BU374" s="90"/>
      <c r="BV374" s="90"/>
      <c r="BW374" s="90"/>
      <c r="BX374" s="90"/>
      <c r="BY374" s="90"/>
      <c r="BZ374" s="90"/>
      <c r="CA374" s="91"/>
      <c r="CB374" s="92"/>
      <c r="CH374" s="64"/>
      <c r="CI374" s="64"/>
      <c r="CJ374" s="64"/>
      <c r="CK374" s="64"/>
      <c r="CL374" s="64"/>
      <c r="CM374" s="64"/>
      <c r="CN374" s="64"/>
      <c r="CO374" s="64"/>
      <c r="CP374" s="64"/>
      <c r="CQ374" s="64"/>
      <c r="CR374" s="64"/>
      <c r="CS374" s="64"/>
      <c r="CT374" s="64"/>
      <c r="CU374" s="64"/>
      <c r="CV374" s="64"/>
      <c r="CW374" s="64"/>
      <c r="CX374" s="64"/>
      <c r="CY374" s="64"/>
      <c r="CZ374" s="64"/>
      <c r="DA374" s="64"/>
      <c r="DB374" s="64"/>
      <c r="DC374" s="64"/>
      <c r="DD374" s="64"/>
      <c r="DE374" s="64"/>
      <c r="DF374" s="64"/>
      <c r="DG374" s="64"/>
      <c r="DH374" s="64"/>
      <c r="DI374" s="64"/>
      <c r="DJ374" s="64"/>
      <c r="DK374" s="64"/>
      <c r="DL374" s="64"/>
      <c r="DM374" s="64"/>
      <c r="DN374" s="64"/>
      <c r="DO374" s="64"/>
      <c r="DP374" s="64"/>
      <c r="DQ374" s="64"/>
      <c r="DR374" s="64"/>
      <c r="DS374" s="64"/>
      <c r="DT374" s="64"/>
      <c r="DU374" s="64"/>
      <c r="DV374" s="64"/>
      <c r="DW374" s="64"/>
      <c r="DX374" s="64"/>
      <c r="DY374" s="64"/>
      <c r="DZ374" s="64"/>
    </row>
  </sheetData>
  <autoFilter ref="B5:CB374" xr:uid="{D6185A68-BA48-45E7-B262-844E8111256C}"/>
  <mergeCells count="9">
    <mergeCell ref="CB3:CB4"/>
    <mergeCell ref="E3:G3"/>
    <mergeCell ref="B3:B4"/>
    <mergeCell ref="H3:H4"/>
    <mergeCell ref="I3:I4"/>
    <mergeCell ref="C3:C4"/>
    <mergeCell ref="D3:D4"/>
    <mergeCell ref="J3:AR4"/>
    <mergeCell ref="AS3:CA4"/>
  </mergeCells>
  <phoneticPr fontId="2"/>
  <conditionalFormatting sqref="B345:I345 B359:I359 B351:I351 B45:D45 B52:H52 B61:H61 B346:AR350 B360:AR374 B352:AR358 F45:CB45 B46:CB50 J51:CB52 B62:CB62 K43:CB43 B44:CB44 K63:CB63 K261:CB261 B341:CB341 K340:CB340 K342:CB342 I169:CA169 K104:CB104 J60:CB61 B53:CB59 J64:CB66 B67:CB103 B105:CB146 I172:I179 B172:H180 J172:CB180 B343:AR344 AS343:CB374 I147:I168 B147:H169 CB147:CB169 J147:AR169 AS147:CA168 J180:J182 B170:CB171 J169:J171 B262:CB339 B6:CB42 B181:CB260">
    <cfRule type="expression" dxfId="27" priority="98">
      <formula>AND($I6&lt;&gt;1,$I6&lt;&gt;"")</formula>
    </cfRule>
  </conditionalFormatting>
  <conditionalFormatting sqref="I180:AR180">
    <cfRule type="expression" dxfId="26" priority="84">
      <formula>AND($I180&lt;&gt;1,$I180&lt;&gt;"")</formula>
    </cfRule>
  </conditionalFormatting>
  <conditionalFormatting sqref="E45">
    <cfRule type="expression" dxfId="25" priority="73">
      <formula>AND($I45&lt;&gt;1,$I45&lt;&gt;"")</formula>
    </cfRule>
  </conditionalFormatting>
  <conditionalFormatting sqref="B64:H64">
    <cfRule type="expression" dxfId="24" priority="70">
      <formula>AND($I64&lt;&gt;1,$I64&lt;&gt;"")</formula>
    </cfRule>
  </conditionalFormatting>
  <conditionalFormatting sqref="B43:I43">
    <cfRule type="expression" dxfId="23" priority="65">
      <formula>AND($I43&lt;&gt;1,$I43&lt;&gt;"")</formula>
    </cfRule>
  </conditionalFormatting>
  <conditionalFormatting sqref="J43">
    <cfRule type="expression" dxfId="22" priority="59">
      <formula>AND($I43&lt;&gt;1,$I43&lt;&gt;"")</formula>
    </cfRule>
  </conditionalFormatting>
  <conditionalFormatting sqref="B51:H51">
    <cfRule type="expression" dxfId="21" priority="57">
      <formula>AND($I51&lt;&gt;1,$I51&lt;&gt;"")</formula>
    </cfRule>
  </conditionalFormatting>
  <conditionalFormatting sqref="I51">
    <cfRule type="expression" dxfId="20" priority="56">
      <formula>AND($I51&lt;&gt;1,$I51&lt;&gt;"")</formula>
    </cfRule>
  </conditionalFormatting>
  <conditionalFormatting sqref="I52">
    <cfRule type="expression" dxfId="19" priority="55">
      <formula>AND($I52&lt;&gt;1,$I52&lt;&gt;"")</formula>
    </cfRule>
  </conditionalFormatting>
  <conditionalFormatting sqref="B60:I60">
    <cfRule type="expression" dxfId="18" priority="52">
      <formula>AND($I60&lt;&gt;1,$I60&lt;&gt;"")</formula>
    </cfRule>
  </conditionalFormatting>
  <conditionalFormatting sqref="J60">
    <cfRule type="expression" dxfId="17" priority="51">
      <formula>AND($I60&lt;&gt;1,$I60&lt;&gt;"")</formula>
    </cfRule>
  </conditionalFormatting>
  <conditionalFormatting sqref="I61">
    <cfRule type="expression" dxfId="16" priority="50">
      <formula>AND($I61&lt;&gt;1,$I61&lt;&gt;"")</formula>
    </cfRule>
  </conditionalFormatting>
  <conditionalFormatting sqref="B63:I63">
    <cfRule type="expression" dxfId="15" priority="49">
      <formula>AND($I63&lt;&gt;1,$I63&lt;&gt;"")</formula>
    </cfRule>
  </conditionalFormatting>
  <conditionalFormatting sqref="J63">
    <cfRule type="expression" dxfId="14" priority="48">
      <formula>AND($I63&lt;&gt;1,$I63&lt;&gt;"")</formula>
    </cfRule>
  </conditionalFormatting>
  <conditionalFormatting sqref="I64">
    <cfRule type="expression" dxfId="13" priority="47">
      <formula>AND($I64&lt;&gt;1,$I64&lt;&gt;"")</formula>
    </cfRule>
  </conditionalFormatting>
  <conditionalFormatting sqref="B104:I104">
    <cfRule type="expression" dxfId="12" priority="37">
      <formula>AND($I104&lt;&gt;1,$I104&lt;&gt;"")</formula>
    </cfRule>
  </conditionalFormatting>
  <conditionalFormatting sqref="J104">
    <cfRule type="expression" dxfId="11" priority="35">
      <formula>AND($I104&lt;&gt;1,$I104&lt;&gt;"")</formula>
    </cfRule>
  </conditionalFormatting>
  <conditionalFormatting sqref="B261:I261">
    <cfRule type="expression" dxfId="10" priority="20">
      <formula>AND($I261&lt;&gt;1,$I261&lt;&gt;"")</formula>
    </cfRule>
  </conditionalFormatting>
  <conditionalFormatting sqref="J261">
    <cfRule type="expression" dxfId="9" priority="19">
      <formula>AND($I261&lt;&gt;1,$I261&lt;&gt;"")</formula>
    </cfRule>
  </conditionalFormatting>
  <conditionalFormatting sqref="B340:I340 B342:I342">
    <cfRule type="expression" dxfId="8" priority="12">
      <formula>AND($I340&lt;&gt;1,$I340&lt;&gt;"")</formula>
    </cfRule>
  </conditionalFormatting>
  <conditionalFormatting sqref="J342">
    <cfRule type="expression" dxfId="7" priority="11">
      <formula>AND($I342&lt;&gt;1,$I342&lt;&gt;"")</formula>
    </cfRule>
  </conditionalFormatting>
  <conditionalFormatting sqref="B66:H66">
    <cfRule type="expression" dxfId="6" priority="9">
      <formula>AND($I66&lt;&gt;1,$I66&lt;&gt;"")</formula>
    </cfRule>
  </conditionalFormatting>
  <conditionalFormatting sqref="I66">
    <cfRule type="expression" dxfId="5" priority="8">
      <formula>AND($I66&lt;&gt;1,$I66&lt;&gt;"")</formula>
    </cfRule>
  </conditionalFormatting>
  <conditionalFormatting sqref="B65:H65">
    <cfRule type="expression" dxfId="4" priority="6">
      <formula>AND($I65&lt;&gt;1,$I65&lt;&gt;"")</formula>
    </cfRule>
  </conditionalFormatting>
  <conditionalFormatting sqref="I65">
    <cfRule type="expression" dxfId="3" priority="5">
      <formula>AND($I65&lt;&gt;1,$I65&lt;&gt;"")</formula>
    </cfRule>
  </conditionalFormatting>
  <conditionalFormatting sqref="J59">
    <cfRule type="expression" dxfId="2" priority="3">
      <formula>AND($I59&lt;&gt;1,$I59&lt;&gt;"")</formula>
    </cfRule>
  </conditionalFormatting>
  <conditionalFormatting sqref="J181">
    <cfRule type="expression" dxfId="1" priority="2">
      <formula>AND($I181&lt;&gt;1,$I181&lt;&gt;"")</formula>
    </cfRule>
  </conditionalFormatting>
  <conditionalFormatting sqref="J180">
    <cfRule type="expression" dxfId="0" priority="1">
      <formula>AND($I180&lt;&gt;1,$I180&lt;&gt;"")</formula>
    </cfRule>
  </conditionalFormatting>
  <dataValidations count="1">
    <dataValidation type="list" allowBlank="1" showInputMessage="1" showErrorMessage="1" sqref="I6:I374" xr:uid="{CDD3132F-D59C-4B0A-9A7C-94B9D9A88440}">
      <formula1>"100%,80%,50%,30%,0%"</formula1>
    </dataValidation>
  </dataValidations>
  <hyperlinks>
    <hyperlink ref="CB68" location="toABC114_C_755" display="(→)" xr:uid="{C3DBC3A8-8FB5-4AEF-8FA5-1088932AB54B}"/>
    <hyperlink ref="CB183" location="toABC143_C_Slimes" display="(→)" xr:uid="{D0A14FDC-339D-483C-A7FB-42784F1DB2F9}"/>
    <hyperlink ref="CB195" location="toABC147_C_Honest_or_Unkind2" display="(→)" xr:uid="{5E89EE6B-F278-4D19-9890-D06616736879}"/>
    <hyperlink ref="CB201" location="toABC149_C_NextPrime" display="(→)" xr:uid="{B7EC79F3-9ECE-482D-BD97-C57882E1060F}"/>
    <hyperlink ref="J51" r:id="rId1" xr:uid="{55DF2281-CA3A-49E3-A548-9C77168C683F}"/>
    <hyperlink ref="J104" r:id="rId2" xr:uid="{38E0EAF4-C8D9-4697-98F9-FFD2638747C7}"/>
    <hyperlink ref="J342" r:id="rId3" xr:uid="{9EDCCA2D-396F-4375-BE7A-B1954A66EC32}"/>
    <hyperlink ref="J65" r:id="rId4" xr:uid="{A5E407FA-9175-4245-9950-2C7E04570900}"/>
    <hyperlink ref="J59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3</xdr:row>
                    <xdr:rowOff>9525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2020-10-26T22:27:29Z</dcterms:modified>
</cp:coreProperties>
</file>
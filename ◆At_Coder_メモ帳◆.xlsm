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0E70F8B9-03E2-4D6D-A6EB-9CA3D1355D5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At_Coder_C問題!$B$5:$CB$374</definedName>
    <definedName name="fromABC114_C_755">At_Coder_C問題!$J$68</definedName>
    <definedName name="fromABC143_C_Slimes">At_Coder_C問題!$J$183</definedName>
    <definedName name="fromABC147_C_Honest_or_Unkind2">At_Coder_C問題!$J$195</definedName>
    <definedName name="fromABC149_C_NextPrime">At_Coder_C問題!$J$201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6" i="3" l="1"/>
  <c r="B247" i="3"/>
  <c r="B248" i="3"/>
  <c r="B249" i="3"/>
  <c r="B264" i="3"/>
  <c r="B1" i="3"/>
  <c r="B265" i="3"/>
  <c r="B266" i="3"/>
  <c r="B280" i="3"/>
  <c r="B273" i="3"/>
  <c r="B275" i="3"/>
  <c r="B276" i="3"/>
  <c r="B281" i="3"/>
  <c r="B277" i="3"/>
  <c r="B278" i="3"/>
  <c r="B279" i="3"/>
  <c r="B274" i="3"/>
  <c r="B282" i="3"/>
  <c r="B271" i="3" l="1"/>
  <c r="B272" i="3"/>
  <c r="B283" i="3"/>
  <c r="B305" i="3"/>
  <c r="B303" i="3"/>
  <c r="B304" i="3"/>
  <c r="B302" i="3"/>
  <c r="B306" i="3"/>
  <c r="B308" i="3" l="1"/>
  <c r="B10" i="3" l="1"/>
  <c r="B9" i="3"/>
  <c r="B11" i="3"/>
  <c r="B226" i="3"/>
  <c r="B196" i="3"/>
  <c r="B197" i="3"/>
  <c r="B192" i="3"/>
  <c r="B193" i="3"/>
  <c r="B185" i="3" l="1"/>
  <c r="B184" i="3"/>
  <c r="B186" i="3"/>
  <c r="B164" i="3" l="1"/>
  <c r="B165" i="3"/>
  <c r="B163" i="3"/>
  <c r="B162" i="3"/>
  <c r="B252" i="3" l="1"/>
  <c r="B251" i="3"/>
  <c r="B253" i="3"/>
  <c r="B244" i="3"/>
  <c r="B241" i="3"/>
  <c r="B242" i="3"/>
  <c r="B243" i="3"/>
  <c r="B237" i="3" l="1"/>
  <c r="B238" i="3"/>
  <c r="B239" i="3"/>
  <c r="B236" i="3"/>
  <c r="B234" i="3" l="1"/>
  <c r="B232" i="3" l="1"/>
  <c r="B229" i="3"/>
  <c r="B228" i="3"/>
  <c r="B230" i="3" l="1"/>
  <c r="B160" i="3" l="1"/>
  <c r="B158" i="3"/>
  <c r="B159" i="3"/>
  <c r="B224" i="3" l="1"/>
  <c r="B222" i="3" l="1"/>
  <c r="B220" i="3"/>
  <c r="B219" i="3"/>
  <c r="B214" i="3"/>
  <c r="B190" i="3" l="1"/>
  <c r="B189" i="3"/>
  <c r="B188" i="3" l="1"/>
  <c r="B179" i="3"/>
  <c r="B167" i="3"/>
  <c r="B168" i="3"/>
  <c r="B202" i="3" l="1"/>
  <c r="B203" i="3"/>
  <c r="B208" i="3"/>
  <c r="B207" i="3"/>
  <c r="B206" i="3"/>
  <c r="B205" i="3"/>
  <c r="B211" i="3" l="1"/>
  <c r="B210" i="3"/>
  <c r="B200" i="3"/>
  <c r="B199" i="3"/>
  <c r="B173" i="3" l="1"/>
  <c r="B176" i="3"/>
  <c r="B177" i="3"/>
  <c r="B175" i="3"/>
  <c r="B33" i="3"/>
  <c r="B32" i="3"/>
  <c r="B31" i="3"/>
  <c r="B30" i="3"/>
  <c r="B141" i="3" l="1"/>
  <c r="B294" i="3"/>
  <c r="B295" i="3"/>
  <c r="B293" i="3"/>
  <c r="B296" i="3"/>
  <c r="B23" i="3" l="1"/>
  <c r="B16" i="3"/>
  <c r="B7" i="3" l="1"/>
  <c r="B65" i="3" l="1"/>
  <c r="B66" i="3"/>
  <c r="B342" i="3" l="1"/>
  <c r="B341" i="3"/>
  <c r="B340" i="3"/>
  <c r="B339" i="3"/>
  <c r="B336" i="3"/>
  <c r="B334" i="3"/>
  <c r="B333" i="3"/>
  <c r="B332" i="3"/>
  <c r="B331" i="3"/>
  <c r="B330" i="3"/>
  <c r="B329" i="3"/>
  <c r="B337" i="3"/>
  <c r="B335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0" i="3"/>
  <c r="B299" i="3"/>
  <c r="B298" i="3"/>
  <c r="B297" i="3"/>
  <c r="B291" i="3"/>
  <c r="B290" i="3"/>
  <c r="B289" i="3"/>
  <c r="B288" i="3"/>
  <c r="B287" i="3"/>
  <c r="B286" i="3"/>
  <c r="B285" i="3"/>
  <c r="B269" i="3"/>
  <c r="B268" i="3"/>
  <c r="J261" i="3"/>
  <c r="B261" i="3"/>
  <c r="B260" i="3"/>
  <c r="B259" i="3"/>
  <c r="B258" i="3"/>
  <c r="B257" i="3"/>
  <c r="B256" i="3"/>
  <c r="B255" i="3"/>
  <c r="B182" i="3"/>
  <c r="B181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62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74" i="3" l="1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38" i="3"/>
  <c r="B309" i="3"/>
  <c r="B307" i="3"/>
  <c r="B301" i="3"/>
  <c r="B292" i="3"/>
  <c r="B284" i="3"/>
  <c r="B270" i="3"/>
  <c r="B267" i="3"/>
  <c r="B263" i="3"/>
  <c r="B254" i="3"/>
  <c r="B250" i="3"/>
  <c r="B245" i="3"/>
  <c r="B240" i="3"/>
  <c r="B235" i="3"/>
  <c r="B233" i="3"/>
  <c r="B231" i="3"/>
  <c r="B227" i="3"/>
  <c r="B225" i="3"/>
  <c r="B223" i="3"/>
  <c r="B221" i="3"/>
  <c r="B218" i="3"/>
  <c r="B217" i="3"/>
  <c r="B216" i="3"/>
  <c r="B215" i="3"/>
  <c r="B213" i="3"/>
  <c r="B212" i="3"/>
  <c r="B209" i="3"/>
  <c r="B204" i="3"/>
  <c r="B201" i="3"/>
  <c r="B198" i="3"/>
  <c r="B195" i="3"/>
  <c r="B194" i="3"/>
  <c r="B191" i="3"/>
  <c r="B187" i="3"/>
  <c r="B183" i="3"/>
  <c r="B180" i="3"/>
  <c r="B178" i="3"/>
  <c r="B174" i="3"/>
  <c r="B17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<sst xmlns="http://schemas.openxmlformats.org/spreadsheetml/2006/main" count="792" uniqueCount="494">
  <si>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</si>
  <si>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</si>
  <si>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</si>
  <si>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</si>
  <si>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</si>
  <si>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</si>
  <si>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</si>
  <si>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</si>
  <si>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</si>
  <si>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</si>
  <si>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</si>
  <si>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</si>
  <si>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</si>
  <si>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</si>
  <si>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</si>
  <si>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</si>
  <si>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</si>
  <si>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</si>
  <si>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</si>
  <si>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</si>
  <si>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</si>
  <si>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</si>
  <si>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</si>
  <si>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</si>
  <si>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</si>
  <si>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</si>
  <si>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</si>
  <si>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</si>
  <si>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</si>
  <si>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</si>
  <si>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</si>
  <si>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</si>
  <si>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</si>
  <si>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</si>
  <si>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</si>
  <si>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</si>
  <si>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</si>
  <si>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</si>
  <si>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</si>
  <si>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</si>
  <si>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</si>
  <si>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</si>
  <si>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</si>
  <si>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</si>
  <si>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</si>
  <si>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</si>
  <si>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</si>
  <si>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</si>
  <si>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</si>
  <si>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</si>
  <si>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</si>
  <si>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</si>
  <si>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</si>
  <si>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</si>
  <si>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</si>
  <si>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</si>
  <si>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</si>
  <si>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</si>
  <si>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</si>
  <si>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</si>
  <si>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</si>
  <si>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</si>
  <si>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</si>
  <si>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</si>
  <si>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</si>
  <si>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</si>
  <si>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</si>
  <si>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</si>
  <si>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</si>
  <si>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</si>
  <si>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</si>
  <si>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</si>
  <si>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</si>
  <si>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</si>
  <si>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</si>
  <si>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</si>
  <si>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</si>
  <si>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</si>
  <si>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</si>
  <si>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</si>
  <si>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</si>
  <si>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</si>
  <si>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</si>
  <si>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</si>
  <si>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</si>
  <si>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</si>
  <si>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</si>
  <si>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</si>
  <si>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</si>
  <si>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</si>
  <si>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</si>
  <si>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</si>
  <si>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</si>
  <si>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</si>
  <si>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</si>
  <si>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</si>
  <si>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</si>
  <si>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</si>
  <si>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</si>
  <si>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</si>
  <si>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</si>
  <si>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</si>
  <si>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</si>
  <si>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</si>
  <si>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</si>
  <si>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</si>
  <si>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</si>
  <si>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</si>
  <si>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</si>
  <si>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</si>
  <si>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</si>
  <si>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</si>
  <si>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</si>
  <si>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</si>
  <si>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</si>
  <si>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</si>
  <si>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</si>
  <si>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</si>
  <si>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</si>
  <si>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</si>
  <si>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</si>
  <si>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</si>
  <si>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</si>
  <si>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</si>
  <si>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</si>
  <si>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</si>
  <si>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</si>
  <si>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</si>
  <si>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</si>
  <si>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</si>
  <si>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</si>
  <si>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</si>
  <si>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</si>
  <si>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</si>
  <si>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</si>
  <si>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</si>
  <si>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</si>
  <si>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</si>
  <si>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</si>
  <si>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</si>
  <si>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</si>
  <si>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</si>
  <si>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</si>
  <si>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</si>
  <si>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</si>
  <si>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</si>
  <si>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</si>
  <si>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</si>
  <si>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</si>
  <si>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</si>
  <si>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</si>
  <si>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</si>
  <si>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</si>
  <si>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</si>
  <si>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</si>
  <si>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</si>
  <si>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</si>
  <si>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</si>
  <si>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</si>
  <si>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</si>
  <si>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</si>
  <si>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</si>
  <si>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</si>
  <si>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</si>
  <si>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</si>
  <si>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</si>
  <si>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</si>
  <si>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</si>
  <si>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</si>
  <si>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</si>
  <si>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</si>
  <si>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</si>
  <si>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</si>
  <si>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</si>
  <si>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</si>
  <si>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</si>
  <si>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</si>
  <si>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</si>
  <si>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</si>
  <si>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</si>
  <si>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</si>
  <si>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</si>
  <si>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</si>
  <si>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</si>
  <si>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</si>
  <si>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</si>
  <si>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</si>
  <si>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</si>
  <si>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</si>
  <si>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</si>
  <si>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</si>
  <si>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</si>
  <si>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</si>
  <si>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</si>
  <si>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</si>
  <si>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</si>
  <si>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</si>
  <si>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</si>
  <si>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</si>
  <si>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</si>
  <si>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</si>
  <si>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</si>
  <si>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</si>
  <si>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</si>
  <si>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</si>
  <si>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</si>
  <si>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</si>
  <si>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</si>
  <si>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</si>
  <si>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</si>
  <si>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</si>
  <si>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</si>
  <si>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</si>
  <si>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</si>
  <si>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</si>
  <si>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</si>
  <si>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</si>
  <si>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</si>
  <si>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</si>
  <si>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</si>
  <si>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</si>
  <si>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</si>
  <si>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</si>
  <si>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</si>
  <si>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</si>
  <si>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</si>
  <si>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</si>
  <si>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</si>
  <si>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</si>
  <si>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</si>
  <si>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</si>
  <si>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</si>
  <si>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</si>
  <si>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</si>
  <si>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</si>
  <si>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</si>
  <si>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</si>
  <si>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</si>
  <si>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</si>
  <si>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</si>
  <si>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</si>
  <si>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</si>
  <si>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</si>
  <si>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</si>
  <si>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</si>
  <si>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</si>
  <si>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</si>
  <si>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</si>
  <si>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</si>
  <si>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</si>
  <si>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</si>
  <si>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</si>
  <si>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</si>
  <si>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</si>
  <si>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</si>
  <si>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</si>
  <si>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</si>
  <si>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</si>
  <si>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</si>
  <si>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</si>
  <si>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</si>
  <si>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</si>
  <si>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</si>
  <si>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</si>
  <si>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</si>
  <si>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</si>
  <si>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</si>
  <si>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</si>
  <si>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</si>
  <si>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</si>
  <si>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</si>
  <si>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</si>
  <si>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</si>
  <si>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</si>
  <si>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</si>
  <si>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</si>
  <si>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</si>
  <si>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</si>
  <si>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</si>
  <si>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</si>
  <si>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</si>
  <si>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</si>
  <si>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</si>
  <si>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</si>
  <si>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</si>
  <si>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</si>
  <si>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</si>
  <si>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</si>
  <si>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</si>
  <si>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</si>
  <si>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</si>
  <si>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</si>
  <si>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</si>
  <si>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</si>
  <si>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</si>
  <si>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</si>
  <si>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</si>
  <si>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</si>
  <si>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</si>
  <si>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</si>
  <si>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</si>
  <si>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</si>
  <si>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</si>
  <si>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</si>
  <si>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</si>
  <si>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</si>
  <si>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</si>
  <si>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</si>
  <si>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</si>
  <si>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</si>
  <si>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</si>
  <si>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</si>
  <si>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</si>
  <si>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</si>
  <si>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</si>
  <si>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</si>
  <si>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</si>
  <si>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</si>
  <si>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</si>
  <si>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</si>
  <si>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</si>
  <si>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</si>
  <si>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</si>
  <si>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</si>
  <si>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</si>
  <si>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</si>
  <si>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</si>
  <si>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</si>
  <si>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</si>
  <si>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</si>
  <si>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</si>
  <si>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</si>
  <si>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</si>
  <si>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</si>
  <si>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</si>
  <si>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</si>
  <si>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</si>
  <si>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</si>
  <si>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</si>
  <si>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</si>
  <si>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</si>
  <si>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</si>
  <si>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</si>
  <si>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</si>
  <si>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</si>
  <si>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</si>
  <si>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</si>
  <si>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</si>
  <si>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</si>
  <si>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</si>
  <si>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</si>
  <si>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</si>
  <si>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</si>
  <si>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</si>
  <si>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</si>
  <si>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</si>
  <si>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</si>
  <si>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</si>
  <si>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</si>
  <si>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</si>
  <si>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</si>
  <si>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</si>
  <si>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</si>
  <si>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</si>
  <si>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</si>
  <si>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</si>
  <si>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</si>
  <si>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</si>
  <si>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</si>
  <si>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</si>
  <si>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</si>
  <si>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</si>
  <si>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</si>
  <si>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</si>
  <si>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</si>
  <si>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</si>
  <si>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</si>
  <si>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</si>
  <si>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</si>
  <si>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</si>
  <si>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</si>
  <si>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</si>
  <si>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</si>
  <si>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</si>
  <si>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</si>
  <si>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</si>
  <si>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</si>
  <si>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</si>
  <si>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</si>
  <si>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</si>
  <si>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</si>
  <si>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</si>
  <si>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</si>
  <si>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</si>
  <si>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</si>
  <si>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</si>
  <si>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</si>
  <si>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</si>
  <si>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</si>
  <si>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</si>
  <si>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</si>
  <si>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</si>
  <si>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</si>
  <si>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</si>
  <si>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</si>
  <si>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</si>
  <si>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</si>
  <si>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</si>
  <si>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</si>
  <si>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</si>
  <si>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</si>
  <si>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</si>
  <si>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</si>
  <si>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</si>
  <si>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</si>
  <si>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</si>
  <si>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</si>
  <si>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</si>
  <si>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</si>
  <si>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</si>
  <si>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</si>
  <si>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</si>
  <si>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</si>
  <si>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</si>
  <si>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</si>
  <si>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</si>
  <si>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</si>
  <si>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</si>
  <si>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</si>
  <si>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</si>
  <si>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</si>
  <si>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</si>
  <si>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</si>
  <si>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</si>
  <si>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</si>
  <si>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</si>
  <si>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</si>
  <si>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</si>
  <si>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</si>
  <si>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</si>
  <si>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</si>
  <si>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</si>
  <si>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</si>
  <si>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</si>
  <si>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</si>
  <si>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</si>
  <si>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</si>
  <si>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</si>
  <si>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</si>
  <si>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</si>
  <si>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</si>
  <si>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</si>
  <si>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</si>
  <si>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</si>
  <si>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</si>
  <si>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</si>
  <si>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</si>
  <si>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</si>
  <si>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</si>
  <si>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</si>
  <si>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</si>
  <si>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</si>
  <si>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</si>
  <si>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</si>
  <si>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</si>
  <si>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</si>
  <si>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</si>
  <si>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</si>
  <si>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</si>
  <si>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</si>
  <si>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</si>
  <si>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</si>
  <si>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</si>
  <si>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</si>
  <si>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</si>
  <si>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</si>
  <si>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</si>
  <si>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</si>
  <si>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</si>
  <si>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</si>
  <si>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</si>
  <si>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</si>
  <si>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</si>
  <si>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</si>
  <si>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</si>
  <si>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</si>
  <si>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</si>
  <si>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</si>
  <si>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</si>
  <si>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</si>
  <si>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 xml:space="preserve">  理解度合計配列に集計する</t>
    <rPh sb="2" eb="5">
      <t>リカイド</t>
    </rPh>
    <rPh sb="5" eb="7">
      <t>ゴウケイ</t>
    </rPh>
    <rPh sb="7" eb="9">
      <t>ハイレツ</t>
    </rPh>
    <rPh sb="10" eb="12">
      <t>シュウケイ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</si>
  <si>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</si>
  <si>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</si>
  <si>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bit全探索を行う。対象となった書籍価格配列の要素番号と等しい書籍の 書籍ー理解度２次元配列の理解度を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25" eb="27">
      <t>ショセキ</t>
    </rPh>
    <rPh sb="27" eb="29">
      <t>カカク</t>
    </rPh>
    <rPh sb="29" eb="31">
      <t>ハイレツ</t>
    </rPh>
    <rPh sb="32" eb="34">
      <t>ヨウソ</t>
    </rPh>
    <rPh sb="34" eb="36">
      <t>バンゴウ</t>
    </rPh>
    <rPh sb="37" eb="38">
      <t>ヒト</t>
    </rPh>
    <rPh sb="40" eb="42">
      <t>ショセキ</t>
    </rPh>
    <rPh sb="44" eb="46">
      <t>ショセキ</t>
    </rPh>
    <rPh sb="47" eb="50">
      <t>リカイド</t>
    </rPh>
    <rPh sb="51" eb="53">
      <t>ジゲン</t>
    </rPh>
    <rPh sb="53" eb="55">
      <t>ハイレツ</t>
    </rPh>
    <rPh sb="56" eb="59">
      <t>リカイド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</si>
</sst>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338</xdr:row>
      <xdr:rowOff>33337</xdr:rowOff>
    </xdr:from>
    <xdr:to>
      <xdr:col>16</xdr:col>
      <xdr:colOff>38100</xdr:colOff>
      <xdr:row>338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340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339</xdr:row>
      <xdr:rowOff>35719</xdr:rowOff>
    </xdr:from>
    <xdr:to>
      <xdr:col>21</xdr:col>
      <xdr:colOff>133350</xdr:colOff>
      <xdr:row>340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74"/>
  <sheetViews>
    <sheetView tabSelected="1" topLeftCell="A276" zoomScale="115" zoomScaleNormal="115" workbookViewId="0">
      <pane ySplit="6900" topLeftCell="A239" activePane="bottomLeft"/>
      <selection activeCell="AS289" sqref="AS289"/>
      <selection pane="bottomLeft" activeCell="J247" sqref="J247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3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8" t="s">
        <v>8</v>
      </c>
      <c r="C3" s="123" t="s">
        <v>231</v>
      </c>
      <c r="D3" s="123" t="s">
        <v>232</v>
      </c>
      <c r="E3" s="116" t="s">
        <v>141</v>
      </c>
      <c r="F3" s="117"/>
      <c r="G3" s="117"/>
      <c r="H3" s="120" t="s">
        <v>10</v>
      </c>
      <c r="I3" s="122" t="s">
        <v>11</v>
      </c>
      <c r="J3" s="116" t="s">
        <v>233</v>
      </c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5"/>
      <c r="AK3" s="125"/>
      <c r="AL3" s="125"/>
      <c r="AM3" s="125"/>
      <c r="AN3" s="125"/>
      <c r="AO3" s="125"/>
      <c r="AP3" s="125"/>
      <c r="AQ3" s="125"/>
      <c r="AR3" s="126"/>
      <c r="AS3" s="116" t="s">
        <v>398</v>
      </c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2"/>
      <c r="CB3" s="114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9"/>
      <c r="C4" s="119"/>
      <c r="D4" s="119"/>
      <c r="E4" s="36" t="s">
        <v>137</v>
      </c>
      <c r="F4" s="36" t="s">
        <v>138</v>
      </c>
      <c r="G4" s="36" t="s">
        <v>9</v>
      </c>
      <c r="H4" s="121"/>
      <c r="I4" s="119"/>
      <c r="J4" s="127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9"/>
      <c r="AK4" s="129"/>
      <c r="AL4" s="129"/>
      <c r="AM4" s="129"/>
      <c r="AN4" s="129"/>
      <c r="AO4" s="129"/>
      <c r="AP4" s="129"/>
      <c r="AQ4" s="129"/>
      <c r="AR4" s="130"/>
      <c r="AS4" s="133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5"/>
      <c r="CB4" s="115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5" t="s">
        <v>139</v>
      </c>
      <c r="F17" s="105" t="s">
        <v>135</v>
      </c>
      <c r="G17" s="106" t="s">
        <v>146</v>
      </c>
      <c r="H17" s="103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5" t="s">
        <v>139</v>
      </c>
      <c r="F18" s="105" t="s">
        <v>135</v>
      </c>
      <c r="G18" s="106" t="s">
        <v>147</v>
      </c>
      <c r="H18" s="103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5" t="s">
        <v>139</v>
      </c>
      <c r="F19" s="105" t="s">
        <v>135</v>
      </c>
      <c r="G19" s="106" t="s">
        <v>148</v>
      </c>
      <c r="H19" s="103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5" t="s">
        <v>139</v>
      </c>
      <c r="F20" s="105" t="s">
        <v>135</v>
      </c>
      <c r="G20" s="106" t="s">
        <v>149</v>
      </c>
      <c r="H20" s="103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5" t="s">
        <v>139</v>
      </c>
      <c r="F24" s="105" t="s">
        <v>135</v>
      </c>
      <c r="G24" s="106" t="s">
        <v>151</v>
      </c>
      <c r="H24" s="103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5" t="s">
        <v>139</v>
      </c>
      <c r="F25" s="105" t="s">
        <v>135</v>
      </c>
      <c r="G25" s="106" t="s">
        <v>152</v>
      </c>
      <c r="H25" s="103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5" t="s">
        <v>139</v>
      </c>
      <c r="F26" s="105" t="s">
        <v>135</v>
      </c>
      <c r="G26" s="106" t="s">
        <v>153</v>
      </c>
      <c r="H26" s="103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5" t="s">
        <v>139</v>
      </c>
      <c r="F27" s="105" t="s">
        <v>135</v>
      </c>
      <c r="G27" s="106" t="s">
        <v>154</v>
      </c>
      <c r="H27" s="103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5" t="s">
        <v>139</v>
      </c>
      <c r="F28" s="105" t="s">
        <v>135</v>
      </c>
      <c r="G28" s="106" t="s">
        <v>155</v>
      </c>
      <c r="H28" s="103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5" t="s">
        <v>139</v>
      </c>
      <c r="F67" s="105" t="s">
        <v>135</v>
      </c>
      <c r="G67" s="106" t="s">
        <v>116</v>
      </c>
      <c r="H67" s="103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5" t="s">
        <v>139</v>
      </c>
      <c r="F68" s="105" t="s">
        <v>135</v>
      </c>
      <c r="G68" s="106" t="s">
        <v>157</v>
      </c>
      <c r="H68" s="103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5" t="s">
        <v>139</v>
      </c>
      <c r="F69" s="105" t="s">
        <v>135</v>
      </c>
      <c r="G69" s="106" t="s">
        <v>158</v>
      </c>
      <c r="H69" s="103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5" t="s">
        <v>139</v>
      </c>
      <c r="F70" s="105" t="s">
        <v>135</v>
      </c>
      <c r="G70" s="106" t="s">
        <v>159</v>
      </c>
      <c r="H70" s="103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10" t="s">
        <v>258</v>
      </c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2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10" t="s">
        <v>259</v>
      </c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L74" s="111"/>
      <c r="AM74" s="111"/>
      <c r="AN74" s="111"/>
      <c r="AO74" s="111"/>
      <c r="AP74" s="111"/>
      <c r="AQ74" s="111"/>
      <c r="AR74" s="112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10" t="s">
        <v>260</v>
      </c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L75" s="111"/>
      <c r="AM75" s="111"/>
      <c r="AN75" s="111"/>
      <c r="AO75" s="111"/>
      <c r="AP75" s="111"/>
      <c r="AQ75" s="111"/>
      <c r="AR75" s="112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10" t="s">
        <v>261</v>
      </c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L76" s="111"/>
      <c r="AM76" s="111"/>
      <c r="AN76" s="111"/>
      <c r="AO76" s="111"/>
      <c r="AP76" s="111"/>
      <c r="AQ76" s="111"/>
      <c r="AR76" s="112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10" t="s">
        <v>262</v>
      </c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L77" s="111"/>
      <c r="AM77" s="111"/>
      <c r="AN77" s="111"/>
      <c r="AO77" s="111"/>
      <c r="AP77" s="111"/>
      <c r="AQ77" s="111"/>
      <c r="AR77" s="112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10" t="s">
        <v>263</v>
      </c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  <c r="AL78" s="111"/>
      <c r="AM78" s="111"/>
      <c r="AN78" s="111"/>
      <c r="AO78" s="111"/>
      <c r="AP78" s="111"/>
      <c r="AQ78" s="111"/>
      <c r="AR78" s="112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10" t="s">
        <v>264</v>
      </c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  <c r="AL79" s="111"/>
      <c r="AM79" s="111"/>
      <c r="AN79" s="111"/>
      <c r="AO79" s="111"/>
      <c r="AP79" s="111"/>
      <c r="AQ79" s="111"/>
      <c r="AR79" s="112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10" t="s">
        <v>265</v>
      </c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  <c r="AL80" s="111"/>
      <c r="AM80" s="111"/>
      <c r="AN80" s="111"/>
      <c r="AO80" s="111"/>
      <c r="AP80" s="111"/>
      <c r="AQ80" s="111"/>
      <c r="AR80" s="112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10" t="s">
        <v>266</v>
      </c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  <c r="AL81" s="111"/>
      <c r="AM81" s="111"/>
      <c r="AN81" s="111"/>
      <c r="AO81" s="111"/>
      <c r="AP81" s="111"/>
      <c r="AQ81" s="111"/>
      <c r="AR81" s="112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10" t="s">
        <v>267</v>
      </c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  <c r="AL82" s="111"/>
      <c r="AM82" s="111"/>
      <c r="AN82" s="111"/>
      <c r="AO82" s="111"/>
      <c r="AP82" s="111"/>
      <c r="AQ82" s="111"/>
      <c r="AR82" s="112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10" t="s">
        <v>268</v>
      </c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  <c r="AP83" s="111"/>
      <c r="AQ83" s="111"/>
      <c r="AR83" s="112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10" t="s">
        <v>269</v>
      </c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2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10" t="s">
        <v>270</v>
      </c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2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10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111"/>
      <c r="AM86" s="111"/>
      <c r="AN86" s="111"/>
      <c r="AO86" s="111"/>
      <c r="AP86" s="111"/>
      <c r="AQ86" s="111"/>
      <c r="AR86" s="112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5" t="s">
        <v>139</v>
      </c>
      <c r="F147" s="105" t="s">
        <v>135</v>
      </c>
      <c r="G147" s="106" t="s">
        <v>162</v>
      </c>
      <c r="H147" s="103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5" t="s">
        <v>139</v>
      </c>
      <c r="F148" s="105" t="s">
        <v>135</v>
      </c>
      <c r="G148" s="106" t="s">
        <v>163</v>
      </c>
      <c r="H148" s="103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5" t="s">
        <v>139</v>
      </c>
      <c r="F149" s="105" t="s">
        <v>135</v>
      </c>
      <c r="G149" s="106" t="s">
        <v>164</v>
      </c>
      <c r="H149" s="103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5" t="s">
        <v>139</v>
      </c>
      <c r="F150" s="105" t="s">
        <v>135</v>
      </c>
      <c r="G150" s="106" t="s">
        <v>165</v>
      </c>
      <c r="H150" s="103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5" t="s">
        <v>139</v>
      </c>
      <c r="F151" s="105" t="s">
        <v>135</v>
      </c>
      <c r="G151" s="106" t="s">
        <v>166</v>
      </c>
      <c r="H151" s="103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5" t="s">
        <v>139</v>
      </c>
      <c r="F152" s="105" t="s">
        <v>135</v>
      </c>
      <c r="G152" s="106" t="s">
        <v>167</v>
      </c>
      <c r="H152" s="103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5" t="s">
        <v>139</v>
      </c>
      <c r="F153" s="105" t="s">
        <v>135</v>
      </c>
      <c r="G153" s="106" t="s">
        <v>168</v>
      </c>
      <c r="H153" s="103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5" t="s">
        <v>139</v>
      </c>
      <c r="F154" s="105" t="s">
        <v>135</v>
      </c>
      <c r="G154" s="106" t="s">
        <v>169</v>
      </c>
      <c r="H154" s="103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105" t="s">
        <v>139</v>
      </c>
      <c r="F155" s="105" t="s">
        <v>135</v>
      </c>
      <c r="G155" s="106" t="s">
        <v>170</v>
      </c>
      <c r="H155" s="103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46</v>
      </c>
      <c r="C156" s="58"/>
      <c r="D156" s="58"/>
      <c r="E156" s="105" t="s">
        <v>139</v>
      </c>
      <c r="F156" s="105" t="s">
        <v>135</v>
      </c>
      <c r="G156" s="106" t="s">
        <v>171</v>
      </c>
      <c r="H156" s="103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430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IF(G158&lt;&gt;"",SUBTOTAL(3,$G$6:G158),"")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428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IF(G159&lt;&gt;"",SUBTOTAL(3,$G$6:G159),"")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429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IF(G160&lt;&gt;"",SUBTOTAL(3,$G$6:G160),"")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IF(G161&lt;&gt;"",SUBTOTAL(3,$G$6:G161),"")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448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IF(G162&lt;&gt;"",SUBTOTAL(3,$G$6:G162),"")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449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IF(G163&lt;&gt;"",SUBTOTAL(3,$G$6:G163),"")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450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IF(G164&lt;&gt;"",SUBTOTAL(3,$G$6:G164),"")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451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IF(G165&lt;&gt;"",SUBTOTAL(3,$G$6:G165),"")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IF(G166&lt;&gt;"",SUBTOTAL(3,$G$6:G166),"")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418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99" t="str">
        <f>IF(G167&lt;&gt;"",SUBTOTAL(3,$G$6:G167),"")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419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99" t="str">
        <f>IF(G168&lt;&gt;"",SUBTOTAL(3,$G$6:G168),"")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IF(G169&lt;&gt;"",SUBTOTAL(3,$G$6:G169),"")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63" t="s">
        <v>465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IF(G170&lt;&gt;"",SUBTOTAL(3,$G$6:G170),"")</f>
        <v/>
      </c>
      <c r="C170" s="75"/>
      <c r="D170" s="75"/>
      <c r="E170" s="76"/>
      <c r="F170" s="76"/>
      <c r="G170" s="74"/>
      <c r="H170" s="61"/>
      <c r="I170" s="70">
        <v>1</v>
      </c>
      <c r="J170" s="63" t="s">
        <v>466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IF(G171&lt;&gt;"",SUBTOTAL(3,$G$6:G171),"")</f>
        <v/>
      </c>
      <c r="C171" s="75"/>
      <c r="D171" s="75"/>
      <c r="E171" s="76"/>
      <c r="F171" s="76"/>
      <c r="G171" s="74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75">
        <f>IF(G172&lt;&gt;"",SUBTOTAL(3,$G$6:G172),"")</f>
        <v>51</v>
      </c>
      <c r="C172" s="75"/>
      <c r="D172" s="75"/>
      <c r="E172" s="76" t="s">
        <v>139</v>
      </c>
      <c r="F172" s="76" t="s">
        <v>135</v>
      </c>
      <c r="G172" s="74" t="s">
        <v>176</v>
      </c>
      <c r="H172" s="61">
        <v>43967</v>
      </c>
      <c r="I172" s="100">
        <v>1</v>
      </c>
      <c r="J172" s="77" t="s">
        <v>406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IF(G173&lt;&gt;"",SUBTOTAL(3,$G$6:G173),"")</f>
        <v/>
      </c>
      <c r="C173" s="75"/>
      <c r="D173" s="75"/>
      <c r="E173" s="76"/>
      <c r="F173" s="76"/>
      <c r="G173" s="74"/>
      <c r="H173" s="61"/>
      <c r="I173" s="70">
        <v>1</v>
      </c>
      <c r="J173" s="77" t="s">
        <v>407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75">
        <f>IF(G174&lt;&gt;"",SUBTOTAL(3,$G$6:G174),"")</f>
        <v>52</v>
      </c>
      <c r="C174" s="75"/>
      <c r="D174" s="75"/>
      <c r="E174" s="76" t="s">
        <v>139</v>
      </c>
      <c r="F174" s="76" t="s">
        <v>135</v>
      </c>
      <c r="G174" s="74" t="s">
        <v>177</v>
      </c>
      <c r="H174" s="61">
        <v>43870</v>
      </c>
      <c r="I174" s="62">
        <v>1</v>
      </c>
      <c r="J174" s="77" t="s">
        <v>403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IF(G175&lt;&gt;"",SUBTOTAL(3,$G$6:G175),"")</f>
        <v/>
      </c>
      <c r="C175" s="75"/>
      <c r="D175" s="75"/>
      <c r="E175" s="76"/>
      <c r="F175" s="76"/>
      <c r="G175" s="74"/>
      <c r="H175" s="61"/>
      <c r="I175" s="68"/>
      <c r="J175" s="77" t="s">
        <v>404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IF(G176&lt;&gt;"",SUBTOTAL(3,$G$6:G176),"")</f>
        <v/>
      </c>
      <c r="C176" s="75"/>
      <c r="D176" s="75"/>
      <c r="E176" s="76"/>
      <c r="F176" s="76"/>
      <c r="G176" s="74"/>
      <c r="H176" s="61"/>
      <c r="I176" s="68"/>
      <c r="J176" s="77" t="s">
        <v>405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IF(G177&lt;&gt;"",SUBTOTAL(3,$G$6:G177),"")</f>
        <v/>
      </c>
      <c r="C177" s="75"/>
      <c r="D177" s="75"/>
      <c r="E177" s="76"/>
      <c r="F177" s="76"/>
      <c r="G177" s="74"/>
      <c r="H177" s="61"/>
      <c r="I177" s="68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IF(G178&lt;&gt;"",SUBTOTAL(3,$G$6:G178),"")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43869</v>
      </c>
      <c r="I178" s="62">
        <v>1</v>
      </c>
      <c r="J178" s="77" t="s">
        <v>473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99" t="str">
        <f>IF(G179&lt;&gt;"",SUBTOTAL(3,$G$6:G179),"")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IF(G180&lt;&gt;"",SUBTOTAL(3,$G$6:G180),"")</f>
        <v>54</v>
      </c>
      <c r="C180" s="75"/>
      <c r="D180" s="75"/>
      <c r="E180" s="76" t="s">
        <v>139</v>
      </c>
      <c r="F180" s="76" t="s">
        <v>135</v>
      </c>
      <c r="G180" s="74" t="s">
        <v>89</v>
      </c>
      <c r="H180" s="61">
        <v>43961</v>
      </c>
      <c r="I180" s="62">
        <v>1</v>
      </c>
      <c r="J180" s="107" t="s">
        <v>463</v>
      </c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9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IF(G181&lt;&gt;"",SUBTOTAL(3,$G$6:G181),"")</f>
        <v/>
      </c>
      <c r="C181" s="75"/>
      <c r="D181" s="75"/>
      <c r="E181" s="76"/>
      <c r="F181" s="76"/>
      <c r="G181" s="74"/>
      <c r="H181" s="61"/>
      <c r="I181" s="70">
        <v>1</v>
      </c>
      <c r="J181" s="107" t="s">
        <v>464</v>
      </c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9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IF(G182&lt;&gt;"",SUBTOTAL(3,$G$6:G182),"")</f>
        <v/>
      </c>
      <c r="C182" s="75"/>
      <c r="D182" s="75"/>
      <c r="E182" s="76"/>
      <c r="F182" s="76"/>
      <c r="G182" s="74"/>
      <c r="H182" s="61"/>
      <c r="I182" s="70">
        <v>1</v>
      </c>
      <c r="J182" s="107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9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IF(G183&lt;&gt;"",SUBTOTAL(3,$G$6:G183),"")</f>
        <v>55</v>
      </c>
      <c r="C183" s="75"/>
      <c r="D183" s="75"/>
      <c r="E183" s="76" t="s">
        <v>139</v>
      </c>
      <c r="F183" s="76" t="s">
        <v>135</v>
      </c>
      <c r="G183" s="74" t="s">
        <v>179</v>
      </c>
      <c r="H183" s="61">
        <v>43961</v>
      </c>
      <c r="I183" s="62">
        <v>1</v>
      </c>
      <c r="J183" s="77" t="s">
        <v>452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9" t="s">
        <v>13</v>
      </c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453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9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IF(G185&lt;&gt;"",SUBTOTAL(3,$G$6:G185),"")</f>
        <v/>
      </c>
      <c r="C185" s="75"/>
      <c r="D185" s="75"/>
      <c r="E185" s="76"/>
      <c r="F185" s="76"/>
      <c r="G185" s="74"/>
      <c r="H185" s="61"/>
      <c r="I185" s="70">
        <v>1</v>
      </c>
      <c r="J185" s="77" t="s">
        <v>454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9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9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IF(G187&lt;&gt;"",SUBTOTAL(3,$G$6:G187),"")</f>
        <v>56</v>
      </c>
      <c r="C187" s="75"/>
      <c r="D187" s="75"/>
      <c r="E187" s="76" t="s">
        <v>139</v>
      </c>
      <c r="F187" s="76" t="s">
        <v>135</v>
      </c>
      <c r="G187" s="74" t="s">
        <v>180</v>
      </c>
      <c r="H187" s="61">
        <v>43995</v>
      </c>
      <c r="I187" s="62">
        <v>1</v>
      </c>
      <c r="J187" s="77" t="s">
        <v>420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421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422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IF(G191&lt;&gt;"",SUBTOTAL(3,$G$6:G191),"")</f>
        <v>57</v>
      </c>
      <c r="C191" s="75"/>
      <c r="D191" s="75"/>
      <c r="E191" s="76" t="s">
        <v>139</v>
      </c>
      <c r="F191" s="76" t="s">
        <v>135</v>
      </c>
      <c r="G191" s="74" t="s">
        <v>181</v>
      </c>
      <c r="H191" s="61">
        <v>43961</v>
      </c>
      <c r="I191" s="62">
        <v>1</v>
      </c>
      <c r="J191" s="77" t="s">
        <v>455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456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IF(G194&lt;&gt;"",SUBTOTAL(3,$G$6:G194),"")</f>
        <v>58</v>
      </c>
      <c r="C194" s="75"/>
      <c r="D194" s="75"/>
      <c r="E194" s="76" t="s">
        <v>139</v>
      </c>
      <c r="F194" s="76" t="s">
        <v>135</v>
      </c>
      <c r="G194" s="74" t="s">
        <v>182</v>
      </c>
      <c r="H194" s="61">
        <v>43995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IF(G195&lt;&gt;"",SUBTOTAL(3,$G$6:G195),"")</f>
        <v>59</v>
      </c>
      <c r="C195" s="75"/>
      <c r="D195" s="75"/>
      <c r="E195" s="76" t="s">
        <v>139</v>
      </c>
      <c r="F195" s="76" t="s">
        <v>135</v>
      </c>
      <c r="G195" s="74" t="s">
        <v>183</v>
      </c>
      <c r="H195" s="61">
        <v>44006</v>
      </c>
      <c r="I195" s="62"/>
      <c r="J195" s="77" t="s">
        <v>457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68"/>
      <c r="J196" s="77" t="s">
        <v>458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68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60</v>
      </c>
      <c r="C198" s="75"/>
      <c r="D198" s="75"/>
      <c r="E198" s="76" t="s">
        <v>139</v>
      </c>
      <c r="F198" s="76" t="s">
        <v>135</v>
      </c>
      <c r="G198" s="74" t="s">
        <v>15</v>
      </c>
      <c r="H198" s="61">
        <v>43995</v>
      </c>
      <c r="I198" s="62">
        <v>1</v>
      </c>
      <c r="J198" s="77" t="s">
        <v>408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409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IF(G201&lt;&gt;"",SUBTOTAL(3,$G$6:G201),"")</f>
        <v>61</v>
      </c>
      <c r="C201" s="75"/>
      <c r="D201" s="75"/>
      <c r="E201" s="76" t="s">
        <v>139</v>
      </c>
      <c r="F201" s="76" t="s">
        <v>135</v>
      </c>
      <c r="G201" s="74" t="s">
        <v>184</v>
      </c>
      <c r="H201" s="61">
        <v>43871</v>
      </c>
      <c r="I201" s="62">
        <v>1</v>
      </c>
      <c r="J201" s="77" t="s">
        <v>416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417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IF(G204&lt;&gt;"",SUBTOTAL(3,$G$6:G204),"")</f>
        <v>62</v>
      </c>
      <c r="C204" s="75"/>
      <c r="D204" s="75"/>
      <c r="E204" s="76" t="s">
        <v>139</v>
      </c>
      <c r="F204" s="76" t="s">
        <v>135</v>
      </c>
      <c r="G204" s="74" t="s">
        <v>185</v>
      </c>
      <c r="H204" s="61">
        <v>43936</v>
      </c>
      <c r="I204" s="62">
        <v>1</v>
      </c>
      <c r="J204" s="77" t="s">
        <v>412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413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IF(G206&lt;&gt;"",SUBTOTAL(3,$G$6:G206),"")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414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415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63</v>
      </c>
      <c r="C209" s="75"/>
      <c r="D209" s="75"/>
      <c r="E209" s="76" t="s">
        <v>139</v>
      </c>
      <c r="F209" s="76" t="s">
        <v>135</v>
      </c>
      <c r="G209" s="74" t="s">
        <v>186</v>
      </c>
      <c r="H209" s="61">
        <v>43935</v>
      </c>
      <c r="I209" s="62">
        <v>1</v>
      </c>
      <c r="J209" s="77" t="s">
        <v>411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410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64</v>
      </c>
      <c r="C212" s="75"/>
      <c r="D212" s="75"/>
      <c r="E212" s="102" t="s">
        <v>139</v>
      </c>
      <c r="F212" s="102" t="s">
        <v>135</v>
      </c>
      <c r="G212" s="104" t="s">
        <v>187</v>
      </c>
      <c r="H212" s="103">
        <v>43919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IF(G213&lt;&gt;"",SUBTOTAL(3,$G$6:G213),"")</f>
        <v>65</v>
      </c>
      <c r="C213" s="75"/>
      <c r="D213" s="75"/>
      <c r="E213" s="76" t="s">
        <v>139</v>
      </c>
      <c r="F213" s="76" t="s">
        <v>135</v>
      </c>
      <c r="G213" s="74" t="s">
        <v>188</v>
      </c>
      <c r="H213" s="61">
        <v>43995</v>
      </c>
      <c r="I213" s="62">
        <v>1</v>
      </c>
      <c r="J213" s="77" t="s">
        <v>423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66</v>
      </c>
      <c r="C215" s="75"/>
      <c r="D215" s="75"/>
      <c r="E215" s="102" t="s">
        <v>139</v>
      </c>
      <c r="F215" s="102" t="s">
        <v>135</v>
      </c>
      <c r="G215" s="104" t="s">
        <v>189</v>
      </c>
      <c r="H215" s="103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67</v>
      </c>
      <c r="C216" s="75"/>
      <c r="D216" s="75"/>
      <c r="E216" s="102" t="s">
        <v>139</v>
      </c>
      <c r="F216" s="102" t="s">
        <v>135</v>
      </c>
      <c r="G216" s="104" t="s">
        <v>190</v>
      </c>
      <c r="H216" s="103">
        <v>43975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68</v>
      </c>
      <c r="C217" s="75"/>
      <c r="D217" s="75"/>
      <c r="E217" s="102" t="s">
        <v>139</v>
      </c>
      <c r="F217" s="102" t="s">
        <v>135</v>
      </c>
      <c r="G217" s="104" t="s">
        <v>191</v>
      </c>
      <c r="H217" s="103">
        <v>43975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IF(G218&lt;&gt;"",SUBTOTAL(3,$G$6:G218),"")</f>
        <v>69</v>
      </c>
      <c r="C218" s="75"/>
      <c r="D218" s="75"/>
      <c r="E218" s="76" t="s">
        <v>139</v>
      </c>
      <c r="F218" s="76" t="s">
        <v>135</v>
      </c>
      <c r="G218" s="74" t="s">
        <v>192</v>
      </c>
      <c r="H218" s="61">
        <v>43975</v>
      </c>
      <c r="I218" s="62">
        <v>1</v>
      </c>
      <c r="J218" s="77" t="s">
        <v>424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425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IF(G221&lt;&gt;"",SUBTOTAL(3,$G$6:G221),"")</f>
        <v>70</v>
      </c>
      <c r="C221" s="75"/>
      <c r="D221" s="75"/>
      <c r="E221" s="76" t="s">
        <v>139</v>
      </c>
      <c r="F221" s="76" t="s">
        <v>135</v>
      </c>
      <c r="G221" s="74" t="s">
        <v>193</v>
      </c>
      <c r="H221" s="61">
        <v>43977</v>
      </c>
      <c r="I221" s="62">
        <v>1</v>
      </c>
      <c r="J221" s="77" t="s">
        <v>426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IF(G223&lt;&gt;"",SUBTOTAL(3,$G$6:G223),"")</f>
        <v>71</v>
      </c>
      <c r="C223" s="75"/>
      <c r="D223" s="75"/>
      <c r="E223" s="76" t="s">
        <v>139</v>
      </c>
      <c r="F223" s="76" t="s">
        <v>135</v>
      </c>
      <c r="G223" s="74" t="s">
        <v>194</v>
      </c>
      <c r="H223" s="61">
        <v>43977</v>
      </c>
      <c r="I223" s="62">
        <v>1</v>
      </c>
      <c r="J223" s="77" t="s">
        <v>427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IF(G224&lt;&gt;"",SUBTOTAL(3,$G$6:G224),"")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IF(G225&lt;&gt;"",SUBTOTAL(3,$G$6:G225),"")</f>
        <v>72</v>
      </c>
      <c r="C225" s="75"/>
      <c r="D225" s="75"/>
      <c r="E225" s="76" t="s">
        <v>139</v>
      </c>
      <c r="F225" s="76" t="s">
        <v>135</v>
      </c>
      <c r="G225" s="74" t="s">
        <v>195</v>
      </c>
      <c r="H225" s="61">
        <v>43977</v>
      </c>
      <c r="I225" s="62">
        <v>1</v>
      </c>
      <c r="J225" s="77" t="s">
        <v>459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IF(G226&lt;&gt;"",SUBTOTAL(3,$G$6:G226),"")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IF(G227&lt;&gt;"",SUBTOTAL(3,$G$6:G227),"")</f>
        <v>73</v>
      </c>
      <c r="C227" s="75"/>
      <c r="D227" s="75"/>
      <c r="E227" s="76" t="s">
        <v>139</v>
      </c>
      <c r="F227" s="76" t="s">
        <v>135</v>
      </c>
      <c r="G227" s="74" t="s">
        <v>196</v>
      </c>
      <c r="H227" s="61">
        <v>43995</v>
      </c>
      <c r="I227" s="62">
        <v>1</v>
      </c>
      <c r="J227" s="77" t="s">
        <v>431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IF(G228&lt;&gt;"",SUBTOTAL(3,$G$6:G228),"")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432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IF(G229&lt;&gt;"",SUBTOTAL(3,$G$6:G229),"")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433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IF(G230&lt;&gt;"",SUBTOTAL(3,$G$6:G230),"")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IF(G231&lt;&gt;"",SUBTOTAL(3,$G$6:G231),"")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43982</v>
      </c>
      <c r="I231" s="62">
        <v>1</v>
      </c>
      <c r="J231" s="77" t="s">
        <v>434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IF(G232&lt;&gt;"",SUBTOTAL(3,$G$6:G232),"")</f>
        <v/>
      </c>
      <c r="C232" s="75"/>
      <c r="D232" s="75"/>
      <c r="E232" s="76"/>
      <c r="F232" s="76"/>
      <c r="G232" s="74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IF(G233&lt;&gt;"",SUBTOTAL(3,$G$6:G233),"")</f>
        <v>75</v>
      </c>
      <c r="C233" s="75"/>
      <c r="D233" s="75"/>
      <c r="E233" s="76" t="s">
        <v>139</v>
      </c>
      <c r="F233" s="76" t="s">
        <v>135</v>
      </c>
      <c r="G233" s="74" t="s">
        <v>198</v>
      </c>
      <c r="H233" s="61">
        <v>43989</v>
      </c>
      <c r="I233" s="62">
        <v>1</v>
      </c>
      <c r="J233" s="77" t="s">
        <v>435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IF(G234&lt;&gt;"",SUBTOTAL(3,$G$6:G234),"")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IF(G235&lt;&gt;"",SUBTOTAL(3,$G$6:G235),"")</f>
        <v>76</v>
      </c>
      <c r="C235" s="75"/>
      <c r="D235" s="75"/>
      <c r="E235" s="76" t="s">
        <v>139</v>
      </c>
      <c r="F235" s="76" t="s">
        <v>135</v>
      </c>
      <c r="G235" s="74" t="s">
        <v>199</v>
      </c>
      <c r="H235" s="61">
        <v>43989</v>
      </c>
      <c r="I235" s="62">
        <v>0.5</v>
      </c>
      <c r="J235" s="77" t="s">
        <v>437</v>
      </c>
      <c r="K235" s="101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68">
        <v>0.5</v>
      </c>
      <c r="J236" s="77" t="s">
        <v>436</v>
      </c>
      <c r="K236" s="101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68">
        <v>0.5</v>
      </c>
      <c r="J237" s="77" t="s">
        <v>438</v>
      </c>
      <c r="K237" s="101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IF(G238&lt;&gt;"",SUBTOTAL(3,$G$6:G238),"")</f>
        <v/>
      </c>
      <c r="C238" s="75"/>
      <c r="D238" s="75"/>
      <c r="E238" s="76"/>
      <c r="F238" s="76"/>
      <c r="G238" s="74"/>
      <c r="H238" s="61"/>
      <c r="I238" s="68">
        <v>0.5</v>
      </c>
      <c r="J238" s="77" t="s">
        <v>439</v>
      </c>
      <c r="K238" s="101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68">
        <v>0.5</v>
      </c>
      <c r="J239" s="77"/>
      <c r="K239" s="101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IF(G240&lt;&gt;"",SUBTOTAL(3,$G$6:G240),"")</f>
        <v>77</v>
      </c>
      <c r="C240" s="75"/>
      <c r="D240" s="75"/>
      <c r="E240" s="76" t="s">
        <v>139</v>
      </c>
      <c r="F240" s="76" t="s">
        <v>135</v>
      </c>
      <c r="G240" s="74" t="s">
        <v>200</v>
      </c>
      <c r="H240" s="61">
        <v>43991</v>
      </c>
      <c r="I240" s="62">
        <v>1</v>
      </c>
      <c r="J240" s="77" t="s">
        <v>440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441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442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IF(G243&lt;&gt;"",SUBTOTAL(3,$G$6:G243),"")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443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IF(G244&lt;&gt;"",SUBTOTAL(3,$G$6:G244),"")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IF(G245&lt;&gt;"",SUBTOTAL(3,$G$6:G245),"")</f>
        <v>78</v>
      </c>
      <c r="C245" s="75"/>
      <c r="D245" s="75"/>
      <c r="E245" s="76" t="s">
        <v>139</v>
      </c>
      <c r="F245" s="76" t="s">
        <v>135</v>
      </c>
      <c r="G245" s="74" t="s">
        <v>201</v>
      </c>
      <c r="H245" s="61">
        <v>43991</v>
      </c>
      <c r="I245" s="62">
        <v>1</v>
      </c>
      <c r="J245" s="77" t="s">
        <v>492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 t="s">
        <v>493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490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491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75">
        <f>IF(G250&lt;&gt;"",SUBTOTAL(3,$G$6:G250),"")</f>
        <v>79</v>
      </c>
      <c r="C250" s="75"/>
      <c r="D250" s="75"/>
      <c r="E250" s="76" t="s">
        <v>139</v>
      </c>
      <c r="F250" s="76" t="s">
        <v>135</v>
      </c>
      <c r="G250" s="74" t="s">
        <v>444</v>
      </c>
      <c r="H250" s="61">
        <v>43992</v>
      </c>
      <c r="I250" s="62">
        <v>0.8</v>
      </c>
      <c r="J250" s="77" t="s">
        <v>446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IF(G251&lt;&gt;"",SUBTOTAL(3,$G$6:G251),"")</f>
        <v/>
      </c>
      <c r="C251" s="75"/>
      <c r="D251" s="75"/>
      <c r="E251" s="76"/>
      <c r="F251" s="76"/>
      <c r="G251" s="74"/>
      <c r="H251" s="61"/>
      <c r="I251" s="68">
        <v>0.8</v>
      </c>
      <c r="J251" s="77" t="s">
        <v>445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68">
        <v>0.8</v>
      </c>
      <c r="J252" s="77" t="s">
        <v>447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 t="str">
        <f>IF(G253&lt;&gt;"",SUBTOTAL(3,$G$6:G253),"")</f>
        <v/>
      </c>
      <c r="C253" s="75"/>
      <c r="D253" s="75"/>
      <c r="E253" s="76"/>
      <c r="F253" s="76"/>
      <c r="G253" s="74"/>
      <c r="H253" s="61"/>
      <c r="I253" s="68">
        <v>0.8</v>
      </c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>
        <f>IF(G254&lt;&gt;"",SUBTOTAL(3,$G$6:G254),"")</f>
        <v>80</v>
      </c>
      <c r="C254" s="75"/>
      <c r="D254" s="75"/>
      <c r="E254" s="76" t="s">
        <v>139</v>
      </c>
      <c r="F254" s="76" t="s">
        <v>135</v>
      </c>
      <c r="G254" s="74" t="s">
        <v>202</v>
      </c>
      <c r="H254" s="61">
        <v>43994</v>
      </c>
      <c r="I254" s="62">
        <v>0.8</v>
      </c>
      <c r="J254" s="77" t="s">
        <v>312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IF(G255&lt;&gt;"",SUBTOTAL(3,$G$6:G255),"")</f>
        <v/>
      </c>
      <c r="C255" s="75"/>
      <c r="D255" s="75"/>
      <c r="E255" s="76"/>
      <c r="F255" s="76"/>
      <c r="G255" s="74"/>
      <c r="H255" s="61"/>
      <c r="I255" s="68">
        <v>0.8</v>
      </c>
      <c r="J255" s="77" t="s">
        <v>313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IF(G256&lt;&gt;"",SUBTOTAL(3,$G$6:G256),"")</f>
        <v/>
      </c>
      <c r="C256" s="75"/>
      <c r="D256" s="75"/>
      <c r="E256" s="76"/>
      <c r="F256" s="76"/>
      <c r="G256" s="74"/>
      <c r="H256" s="61"/>
      <c r="I256" s="68">
        <v>0.8</v>
      </c>
      <c r="J256" s="77" t="s">
        <v>314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IF(G257&lt;&gt;"",SUBTOTAL(3,$G$6:G257),"")</f>
        <v/>
      </c>
      <c r="C257" s="75"/>
      <c r="D257" s="75"/>
      <c r="E257" s="76"/>
      <c r="F257" s="76"/>
      <c r="G257" s="74"/>
      <c r="H257" s="61"/>
      <c r="I257" s="68">
        <v>0.8</v>
      </c>
      <c r="J257" s="77" t="s">
        <v>315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IF(G258&lt;&gt;"",SUBTOTAL(3,$G$6:G258),"")</f>
        <v/>
      </c>
      <c r="C258" s="75"/>
      <c r="D258" s="75"/>
      <c r="E258" s="76"/>
      <c r="F258" s="76"/>
      <c r="G258" s="74"/>
      <c r="H258" s="61"/>
      <c r="I258" s="68">
        <v>0.8</v>
      </c>
      <c r="J258" s="77" t="s">
        <v>316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IF(G259&lt;&gt;"",SUBTOTAL(3,$G$6:G259),"")</f>
        <v/>
      </c>
      <c r="C259" s="75"/>
      <c r="D259" s="75"/>
      <c r="E259" s="76"/>
      <c r="F259" s="76"/>
      <c r="G259" s="74"/>
      <c r="H259" s="61"/>
      <c r="I259" s="68">
        <v>0.8</v>
      </c>
      <c r="J259" s="77" t="s">
        <v>317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IF(G260&lt;&gt;"",SUBTOTAL(3,$G$6:G260),"")</f>
        <v/>
      </c>
      <c r="C260" s="75"/>
      <c r="D260" s="75"/>
      <c r="E260" s="76"/>
      <c r="F260" s="76"/>
      <c r="G260" s="74"/>
      <c r="H260" s="61"/>
      <c r="I260" s="68">
        <v>0.8</v>
      </c>
      <c r="J260" s="77" t="s">
        <v>318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IF(G261&lt;&gt;"",SUBTOTAL(3,$G$6:G261),"")</f>
        <v/>
      </c>
      <c r="C261" s="75"/>
      <c r="D261" s="75"/>
      <c r="E261" s="76"/>
      <c r="F261" s="76"/>
      <c r="G261" s="74"/>
      <c r="H261" s="61"/>
      <c r="I261" s="68">
        <v>0.8</v>
      </c>
      <c r="J261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IF(G262&lt;&gt;"",SUBTOTAL(3,$G$6:G262),"")</f>
        <v/>
      </c>
      <c r="C262" s="75"/>
      <c r="D262" s="75"/>
      <c r="E262" s="76"/>
      <c r="F262" s="76"/>
      <c r="G262" s="74"/>
      <c r="H262" s="61"/>
      <c r="I262" s="68">
        <v>0.8</v>
      </c>
      <c r="J262" s="37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9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IF(G263&lt;&gt;"",SUBTOTAL(3,$G$6:G263),"")</f>
        <v>81</v>
      </c>
      <c r="C263" s="75"/>
      <c r="D263" s="75"/>
      <c r="E263" s="76" t="s">
        <v>139</v>
      </c>
      <c r="F263" s="76" t="s">
        <v>135</v>
      </c>
      <c r="G263" s="74" t="s">
        <v>203</v>
      </c>
      <c r="H263" s="61">
        <v>43995</v>
      </c>
      <c r="I263" s="62">
        <v>1</v>
      </c>
      <c r="J263" s="77" t="s">
        <v>487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IF(G264&lt;&gt;"",SUBTOTAL(3,$G$5:G264),"")</f>
        <v/>
      </c>
      <c r="C264" s="75"/>
      <c r="D264" s="75"/>
      <c r="E264" s="76"/>
      <c r="F264" s="76"/>
      <c r="G264" s="74"/>
      <c r="H264" s="61"/>
      <c r="I264" s="70">
        <v>1</v>
      </c>
      <c r="J264" s="77" t="s">
        <v>488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IF(G265&lt;&gt;"",SUBTOTAL(3,$G$6:G265),"")</f>
        <v/>
      </c>
      <c r="C265" s="75"/>
      <c r="D265" s="75"/>
      <c r="E265" s="76"/>
      <c r="F265" s="76"/>
      <c r="G265" s="74"/>
      <c r="H265" s="61"/>
      <c r="I265" s="70">
        <v>1</v>
      </c>
      <c r="J265" s="77" t="s">
        <v>489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IF(G266&lt;&gt;"",SUBTOTAL(3,$G$6:G266),"")</f>
        <v/>
      </c>
      <c r="C266" s="75"/>
      <c r="D266" s="75"/>
      <c r="E266" s="76"/>
      <c r="F266" s="76"/>
      <c r="G266" s="74"/>
      <c r="H266" s="61"/>
      <c r="I266" s="70">
        <v>1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>
        <f>IF(G267&lt;&gt;"",SUBTOTAL(3,$G$6:G267),"")</f>
        <v>82</v>
      </c>
      <c r="C267" s="75"/>
      <c r="D267" s="75"/>
      <c r="E267" s="76" t="s">
        <v>139</v>
      </c>
      <c r="F267" s="76" t="s">
        <v>135</v>
      </c>
      <c r="G267" s="74" t="s">
        <v>204</v>
      </c>
      <c r="H267" s="61">
        <v>43997</v>
      </c>
      <c r="I267" s="62">
        <v>1</v>
      </c>
      <c r="J267" s="77" t="s">
        <v>384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320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IF(G268&lt;&gt;"",SUBTOTAL(3,$G$6:G268),"")</f>
        <v/>
      </c>
      <c r="C268" s="75"/>
      <c r="D268" s="75"/>
      <c r="E268" s="76"/>
      <c r="F268" s="76"/>
      <c r="G268" s="74"/>
      <c r="H268" s="61"/>
      <c r="I268" s="70">
        <v>1</v>
      </c>
      <c r="J268" s="77" t="s">
        <v>383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385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IF(G269&lt;&gt;"",SUBTOTAL(3,$G$6:G269),"")</f>
        <v/>
      </c>
      <c r="C269" s="75"/>
      <c r="D269" s="75"/>
      <c r="E269" s="76"/>
      <c r="F269" s="76"/>
      <c r="G269" s="74"/>
      <c r="H269" s="61"/>
      <c r="I269" s="70">
        <v>1</v>
      </c>
      <c r="J269" s="77" t="s">
        <v>319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 t="s">
        <v>386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75">
        <f>IF(G270&lt;&gt;"",SUBTOTAL(3,$G$6:G270),"")</f>
        <v>83</v>
      </c>
      <c r="C270" s="75"/>
      <c r="D270" s="75"/>
      <c r="E270" s="76" t="s">
        <v>139</v>
      </c>
      <c r="F270" s="76" t="s">
        <v>135</v>
      </c>
      <c r="G270" s="74" t="s">
        <v>205</v>
      </c>
      <c r="H270" s="61">
        <v>44004</v>
      </c>
      <c r="I270" s="62">
        <v>0.5</v>
      </c>
      <c r="J270" s="77" t="s">
        <v>476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IF(G271&lt;&gt;"",SUBTOTAL(3,$G$6:G271),"")</f>
        <v/>
      </c>
      <c r="C271" s="75"/>
      <c r="D271" s="75"/>
      <c r="E271" s="76"/>
      <c r="F271" s="76"/>
      <c r="G271" s="74"/>
      <c r="H271" s="61"/>
      <c r="I271" s="68">
        <v>0.5</v>
      </c>
      <c r="J271" s="77" t="s">
        <v>477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IF(G272&lt;&gt;"",SUBTOTAL(3,$G$6:G272),"")</f>
        <v/>
      </c>
      <c r="C272" s="75"/>
      <c r="D272" s="75"/>
      <c r="E272" s="76"/>
      <c r="F272" s="76"/>
      <c r="G272" s="74"/>
      <c r="H272" s="61"/>
      <c r="I272" s="68">
        <v>0.5</v>
      </c>
      <c r="J272" s="77" t="s">
        <v>474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68">
        <v>0.5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68">
        <v>0.5</v>
      </c>
      <c r="J274" s="77" t="s">
        <v>483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IF(G275&lt;&gt;"",SUBTOTAL(3,$G$6:G275),"")</f>
        <v/>
      </c>
      <c r="C275" s="75"/>
      <c r="D275" s="75"/>
      <c r="E275" s="76"/>
      <c r="F275" s="76"/>
      <c r="G275" s="74"/>
      <c r="H275" s="61"/>
      <c r="I275" s="68">
        <v>0.5</v>
      </c>
      <c r="J275" s="77" t="s">
        <v>484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68">
        <v>0.5</v>
      </c>
      <c r="J276" s="77" t="s">
        <v>480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68">
        <v>0.5</v>
      </c>
      <c r="J277" s="77"/>
      <c r="K277" s="43" t="s">
        <v>481</v>
      </c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68">
        <v>0.5</v>
      </c>
      <c r="J278" s="77"/>
      <c r="K278" s="43" t="s">
        <v>482</v>
      </c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68">
        <v>0.5</v>
      </c>
      <c r="J279" s="77"/>
      <c r="K279" s="43" t="s">
        <v>475</v>
      </c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68">
        <v>0.5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99" t="str">
        <f>IF(G281&lt;&gt;"",SUBTOTAL(3,$G$6:G281),"")</f>
        <v/>
      </c>
      <c r="C281" s="75"/>
      <c r="D281" s="75"/>
      <c r="E281" s="76"/>
      <c r="F281" s="76"/>
      <c r="G281" s="74"/>
      <c r="H281" s="61"/>
      <c r="I281" s="68">
        <v>0.5</v>
      </c>
      <c r="J281" s="77"/>
      <c r="K281" s="43" t="s">
        <v>478</v>
      </c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68">
        <v>0.5</v>
      </c>
      <c r="J282" s="77"/>
      <c r="K282" s="43" t="s">
        <v>479</v>
      </c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0.5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>
        <f>IF(G284&lt;&gt;"",SUBTOTAL(3,$G$6:G284),"")</f>
        <v>84</v>
      </c>
      <c r="C284" s="75"/>
      <c r="D284" s="75"/>
      <c r="E284" s="76" t="s">
        <v>139</v>
      </c>
      <c r="F284" s="76" t="s">
        <v>142</v>
      </c>
      <c r="G284" s="76" t="s">
        <v>206</v>
      </c>
      <c r="H284" s="61">
        <v>44030</v>
      </c>
      <c r="I284" s="62">
        <v>1</v>
      </c>
      <c r="J284" s="77" t="s">
        <v>321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 t="s">
        <v>387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IF(G285&lt;&gt;"",SUBTOTAL(3,$G$6:G285),"")</f>
        <v/>
      </c>
      <c r="C285" s="75"/>
      <c r="D285" s="75"/>
      <c r="E285" s="76"/>
      <c r="F285" s="76"/>
      <c r="G285" s="76"/>
      <c r="H285" s="61"/>
      <c r="I285" s="70">
        <v>1</v>
      </c>
      <c r="J285" s="77" t="s">
        <v>322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IF(G286&lt;&gt;"",SUBTOTAL(3,$G$6:G286),"")</f>
        <v/>
      </c>
      <c r="C286" s="75"/>
      <c r="D286" s="75"/>
      <c r="E286" s="76"/>
      <c r="F286" s="76"/>
      <c r="G286" s="76"/>
      <c r="H286" s="61"/>
      <c r="I286" s="70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 t="s">
        <v>388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IF(G287&lt;&gt;"",SUBTOTAL(3,$G$6:G287),"")</f>
        <v/>
      </c>
      <c r="C287" s="75"/>
      <c r="D287" s="75"/>
      <c r="E287" s="76"/>
      <c r="F287" s="76"/>
      <c r="G287" s="76"/>
      <c r="H287" s="61"/>
      <c r="I287" s="70">
        <v>1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 t="s">
        <v>323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5.75" x14ac:dyDescent="0.15">
      <c r="B288" s="75" t="str">
        <f>IF(G288&lt;&gt;"",SUBTOTAL(3,$G$6:G288),"")</f>
        <v/>
      </c>
      <c r="C288" s="75"/>
      <c r="D288" s="75"/>
      <c r="E288" s="76"/>
      <c r="F288" s="76"/>
      <c r="G288" s="76"/>
      <c r="H288" s="61"/>
      <c r="I288" s="70">
        <v>1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 t="s">
        <v>350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IF(G289&lt;&gt;"",SUBTOTAL(3,$G$6:G289),"")</f>
        <v/>
      </c>
      <c r="C289" s="75"/>
      <c r="D289" s="75"/>
      <c r="E289" s="76"/>
      <c r="F289" s="76"/>
      <c r="G289" s="76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 t="s">
        <v>389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IF(G290&lt;&gt;"",SUBTOTAL(3,$G$6:G290),"")</f>
        <v/>
      </c>
      <c r="C290" s="75"/>
      <c r="D290" s="75"/>
      <c r="E290" s="76"/>
      <c r="F290" s="76"/>
      <c r="G290" s="76"/>
      <c r="H290" s="61"/>
      <c r="I290" s="70">
        <v>1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 t="s">
        <v>390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IF(G291&lt;&gt;"",SUBTOTAL(3,$G$6:G291),"")</f>
        <v/>
      </c>
      <c r="C291" s="75"/>
      <c r="D291" s="75"/>
      <c r="E291" s="76"/>
      <c r="F291" s="76"/>
      <c r="G291" s="76"/>
      <c r="H291" s="61"/>
      <c r="I291" s="70">
        <v>1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>
        <f>IF(G292&lt;&gt;"",SUBTOTAL(3,$G$6:G292),"")</f>
        <v>85</v>
      </c>
      <c r="C292" s="75"/>
      <c r="D292" s="75"/>
      <c r="E292" s="76" t="s">
        <v>139</v>
      </c>
      <c r="F292" s="76" t="s">
        <v>142</v>
      </c>
      <c r="G292" s="76" t="s">
        <v>213</v>
      </c>
      <c r="H292" s="61">
        <v>44052</v>
      </c>
      <c r="I292" s="62">
        <v>0.5</v>
      </c>
      <c r="J292" s="77" t="s">
        <v>324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 t="s">
        <v>392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99" t="str">
        <f>IF(G293&lt;&gt;"",SUBTOTAL(3,$G$6:G293),"")</f>
        <v/>
      </c>
      <c r="C293" s="75"/>
      <c r="D293" s="75"/>
      <c r="E293" s="76"/>
      <c r="F293" s="76"/>
      <c r="G293" s="76"/>
      <c r="H293" s="61"/>
      <c r="I293" s="68">
        <v>0.5</v>
      </c>
      <c r="J293" s="77" t="s">
        <v>351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391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99" t="str">
        <f>IF(G294&lt;&gt;"",SUBTOTAL(3,$G$6:G294),"")</f>
        <v/>
      </c>
      <c r="C294" s="75"/>
      <c r="D294" s="75"/>
      <c r="E294" s="76"/>
      <c r="F294" s="76"/>
      <c r="G294" s="76"/>
      <c r="H294" s="61"/>
      <c r="I294" s="68">
        <v>0.5</v>
      </c>
      <c r="J294" s="77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 t="s">
        <v>393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99" t="str">
        <f>IF(G295&lt;&gt;"",SUBTOTAL(3,$G$6:G295),"")</f>
        <v/>
      </c>
      <c r="C295" s="75"/>
      <c r="D295" s="75"/>
      <c r="E295" s="76"/>
      <c r="F295" s="76"/>
      <c r="G295" s="76"/>
      <c r="H295" s="61"/>
      <c r="I295" s="68">
        <v>0.5</v>
      </c>
      <c r="J295" s="77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 t="s">
        <v>394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99" t="str">
        <f>IF(G296&lt;&gt;"",SUBTOTAL(3,$G$6:G296),"")</f>
        <v/>
      </c>
      <c r="C296" s="75"/>
      <c r="D296" s="75"/>
      <c r="E296" s="76"/>
      <c r="F296" s="76"/>
      <c r="G296" s="76"/>
      <c r="H296" s="61"/>
      <c r="I296" s="68">
        <v>0.5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 t="s">
        <v>396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IF(G297&lt;&gt;"",SUBTOTAL(3,$G$6:G297),"")</f>
        <v/>
      </c>
      <c r="C297" s="75"/>
      <c r="D297" s="75"/>
      <c r="E297" s="76"/>
      <c r="F297" s="76"/>
      <c r="G297" s="76"/>
      <c r="H297" s="61"/>
      <c r="I297" s="68">
        <v>0.5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395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IF(G298&lt;&gt;"",SUBTOTAL(3,$G$6:G298),"")</f>
        <v/>
      </c>
      <c r="C298" s="75"/>
      <c r="D298" s="75"/>
      <c r="E298" s="76"/>
      <c r="F298" s="76"/>
      <c r="G298" s="76"/>
      <c r="H298" s="61"/>
      <c r="I298" s="68">
        <v>0.5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 t="s">
        <v>397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IF(G299&lt;&gt;"",SUBTOTAL(3,$G$6:G299),"")</f>
        <v/>
      </c>
      <c r="C299" s="75"/>
      <c r="D299" s="75"/>
      <c r="E299" s="76"/>
      <c r="F299" s="76"/>
      <c r="G299" s="76"/>
      <c r="H299" s="61"/>
      <c r="I299" s="68">
        <v>0.5</v>
      </c>
      <c r="J299" s="77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IF(G300&lt;&gt;"",SUBTOTAL(3,$G$6:G300),"")</f>
        <v/>
      </c>
      <c r="C300" s="75"/>
      <c r="D300" s="75"/>
      <c r="E300" s="76"/>
      <c r="F300" s="76"/>
      <c r="G300" s="76"/>
      <c r="H300" s="61"/>
      <c r="I300" s="68">
        <v>0.5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75">
        <f>IF(G301&lt;&gt;"",SUBTOTAL(3,$G$6:G301),"")</f>
        <v>86</v>
      </c>
      <c r="C301" s="75"/>
      <c r="D301" s="75"/>
      <c r="E301" s="76" t="s">
        <v>139</v>
      </c>
      <c r="F301" s="76" t="s">
        <v>142</v>
      </c>
      <c r="G301" s="76" t="s">
        <v>220</v>
      </c>
      <c r="H301" s="61">
        <v>44062</v>
      </c>
      <c r="I301" s="62">
        <v>1</v>
      </c>
      <c r="J301" s="77" t="s">
        <v>468</v>
      </c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IF(G302&lt;&gt;"",SUBTOTAL(3,$G$6:G302),"")</f>
        <v/>
      </c>
      <c r="C302" s="75"/>
      <c r="D302" s="75"/>
      <c r="E302" s="76"/>
      <c r="F302" s="76"/>
      <c r="G302" s="76"/>
      <c r="H302" s="61"/>
      <c r="I302" s="70">
        <v>1</v>
      </c>
      <c r="J302" s="77" t="s">
        <v>469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IF(G303&lt;&gt;"",SUBTOTAL(3,$G$6:G303),"")</f>
        <v/>
      </c>
      <c r="C303" s="75"/>
      <c r="D303" s="75"/>
      <c r="E303" s="76"/>
      <c r="F303" s="76"/>
      <c r="G303" s="76"/>
      <c r="H303" s="61"/>
      <c r="I303" s="70">
        <v>1</v>
      </c>
      <c r="J303" s="77" t="s">
        <v>470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6"/>
      <c r="H304" s="61"/>
      <c r="I304" s="70">
        <v>1</v>
      </c>
      <c r="J304" s="77" t="s">
        <v>471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6"/>
      <c r="H305" s="61"/>
      <c r="I305" s="70">
        <v>1</v>
      </c>
      <c r="J305" s="77" t="s">
        <v>472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6"/>
      <c r="H306" s="61"/>
      <c r="I306" s="70">
        <v>1</v>
      </c>
      <c r="J306" s="77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75">
        <f>IF(G307&lt;&gt;"",SUBTOTAL(3,$G$6:G307),"")</f>
        <v>87</v>
      </c>
      <c r="C307" s="75"/>
      <c r="D307" s="75"/>
      <c r="E307" s="76" t="s">
        <v>139</v>
      </c>
      <c r="F307" s="76" t="s">
        <v>142</v>
      </c>
      <c r="G307" s="76" t="s">
        <v>221</v>
      </c>
      <c r="H307" s="61">
        <v>44071</v>
      </c>
      <c r="I307" s="62">
        <v>1</v>
      </c>
      <c r="J307" s="77" t="s">
        <v>467</v>
      </c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99" t="str">
        <f>IF(G308&lt;&gt;"",SUBTOTAL(3,$G$6:G308),"")</f>
        <v/>
      </c>
      <c r="C308" s="75"/>
      <c r="D308" s="75"/>
      <c r="E308" s="76"/>
      <c r="F308" s="76"/>
      <c r="G308" s="76"/>
      <c r="H308" s="61"/>
      <c r="I308" s="70">
        <v>1</v>
      </c>
      <c r="J308" s="77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>
        <f>IF(G309&lt;&gt;"",SUBTOTAL(3,$G$6:G309),"")</f>
        <v>88</v>
      </c>
      <c r="C309" s="75"/>
      <c r="D309" s="75"/>
      <c r="E309" s="76" t="s">
        <v>139</v>
      </c>
      <c r="F309" s="76" t="s">
        <v>142</v>
      </c>
      <c r="G309" s="76" t="s">
        <v>225</v>
      </c>
      <c r="H309" s="61">
        <v>44073</v>
      </c>
      <c r="I309" s="62">
        <v>1</v>
      </c>
      <c r="J309" s="95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95" t="s">
        <v>335</v>
      </c>
      <c r="AT309" s="43" t="s">
        <v>336</v>
      </c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6"/>
      <c r="H310" s="61"/>
      <c r="I310" s="70">
        <v>1</v>
      </c>
      <c r="J310" s="96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6" t="s">
        <v>325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6"/>
      <c r="H311" s="61"/>
      <c r="I311" s="70">
        <v>1</v>
      </c>
      <c r="J311" s="96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96" t="s">
        <v>326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6"/>
      <c r="H312" s="61"/>
      <c r="I312" s="70">
        <v>1</v>
      </c>
      <c r="J312" s="96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96" t="s">
        <v>327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70">
        <v>1</v>
      </c>
      <c r="J313" s="96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96" t="s">
        <v>328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6"/>
      <c r="H314" s="61"/>
      <c r="I314" s="70">
        <v>1</v>
      </c>
      <c r="J314" s="96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6" t="s">
        <v>340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96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96" t="s">
        <v>329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96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96" t="s">
        <v>330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IF(G317&lt;&gt;"",SUBTOTAL(3,$G$6:G317),"")</f>
        <v/>
      </c>
      <c r="C317" s="75"/>
      <c r="D317" s="75"/>
      <c r="E317" s="76"/>
      <c r="F317" s="76"/>
      <c r="G317" s="76"/>
      <c r="H317" s="61"/>
      <c r="I317" s="70">
        <v>1</v>
      </c>
      <c r="J317" s="95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95" t="s">
        <v>335</v>
      </c>
      <c r="AT317" s="43" t="s">
        <v>337</v>
      </c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IF(G318&lt;&gt;"",SUBTOTAL(3,$G$6:G318),"")</f>
        <v/>
      </c>
      <c r="C318" s="75"/>
      <c r="D318" s="75"/>
      <c r="E318" s="76"/>
      <c r="F318" s="76"/>
      <c r="G318" s="76"/>
      <c r="H318" s="61"/>
      <c r="I318" s="70">
        <v>1</v>
      </c>
      <c r="J318" s="77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 t="s">
        <v>341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IF(G319&lt;&gt;"",SUBTOTAL(3,$G$6:G319),"")</f>
        <v/>
      </c>
      <c r="C319" s="75"/>
      <c r="D319" s="75"/>
      <c r="E319" s="76"/>
      <c r="F319" s="76"/>
      <c r="G319" s="76"/>
      <c r="H319" s="61"/>
      <c r="I319" s="70">
        <v>1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 t="s">
        <v>342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IF(G320&lt;&gt;"",SUBTOTAL(3,$G$6:G320),"")</f>
        <v/>
      </c>
      <c r="C320" s="75"/>
      <c r="D320" s="75"/>
      <c r="E320" s="76"/>
      <c r="F320" s="76"/>
      <c r="G320" s="76"/>
      <c r="H320" s="61"/>
      <c r="I320" s="70">
        <v>1</v>
      </c>
      <c r="J320" s="96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96" t="s">
        <v>325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IF(G321&lt;&gt;"",SUBTOTAL(3,$G$6:G321),"")</f>
        <v/>
      </c>
      <c r="C321" s="75"/>
      <c r="D321" s="75"/>
      <c r="E321" s="76"/>
      <c r="F321" s="76"/>
      <c r="G321" s="76"/>
      <c r="H321" s="61"/>
      <c r="I321" s="70">
        <v>1</v>
      </c>
      <c r="J321" s="96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96" t="s">
        <v>326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6"/>
      <c r="H322" s="61"/>
      <c r="I322" s="70">
        <v>1</v>
      </c>
      <c r="J322" s="96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96" t="s">
        <v>327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70">
        <v>1</v>
      </c>
      <c r="J323" s="96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96" t="s">
        <v>328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70">
        <v>1</v>
      </c>
      <c r="J324" s="96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96" t="s">
        <v>343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70">
        <v>1</v>
      </c>
      <c r="J325" s="96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96" t="s">
        <v>331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IF(G326&lt;&gt;"",SUBTOTAL(3,$G$6:G326),"")</f>
        <v/>
      </c>
      <c r="C326" s="75"/>
      <c r="D326" s="75"/>
      <c r="E326" s="76"/>
      <c r="F326" s="76"/>
      <c r="G326" s="76"/>
      <c r="H326" s="61"/>
      <c r="I326" s="70">
        <v>1</v>
      </c>
      <c r="J326" s="96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96" t="s">
        <v>329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IF(G327&lt;&gt;"",SUBTOTAL(3,$G$6:G327),"")</f>
        <v/>
      </c>
      <c r="C327" s="75"/>
      <c r="D327" s="75"/>
      <c r="E327" s="76"/>
      <c r="F327" s="76"/>
      <c r="G327" s="76"/>
      <c r="H327" s="61"/>
      <c r="I327" s="70">
        <v>1</v>
      </c>
      <c r="J327" s="96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96" t="s">
        <v>330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IF(G328&lt;&gt;"",SUBTOTAL(3,$G$6:G328),"")</f>
        <v/>
      </c>
      <c r="C328" s="75"/>
      <c r="D328" s="75"/>
      <c r="E328" s="76"/>
      <c r="F328" s="76"/>
      <c r="G328" s="76"/>
      <c r="H328" s="61"/>
      <c r="I328" s="70">
        <v>1</v>
      </c>
      <c r="J328" s="95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95" t="s">
        <v>338</v>
      </c>
      <c r="AT328" s="43" t="s">
        <v>339</v>
      </c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IF(G329&lt;&gt;"",SUBTOTAL(3,$G$6:G329),"")</f>
        <v/>
      </c>
      <c r="C329" s="75"/>
      <c r="D329" s="75"/>
      <c r="E329" s="76"/>
      <c r="F329" s="76"/>
      <c r="G329" s="76"/>
      <c r="H329" s="61"/>
      <c r="I329" s="70">
        <v>1</v>
      </c>
      <c r="J329" s="77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 t="s">
        <v>344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96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96" t="s">
        <v>325</v>
      </c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96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96" t="s">
        <v>326</v>
      </c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96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96" t="s">
        <v>327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96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96" t="s">
        <v>328</v>
      </c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96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96" t="s">
        <v>332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96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96" t="s">
        <v>329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96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96" t="s">
        <v>330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77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ht="14.25" customHeight="1" x14ac:dyDescent="0.15">
      <c r="B338" s="75">
        <f>IF(G338&lt;&gt;"",SUBTOTAL(3,$G$6:G338),"")</f>
        <v>89</v>
      </c>
      <c r="C338" s="75"/>
      <c r="D338" s="75"/>
      <c r="E338" s="76" t="s">
        <v>139</v>
      </c>
      <c r="F338" s="76" t="s">
        <v>142</v>
      </c>
      <c r="G338" s="76" t="s">
        <v>236</v>
      </c>
      <c r="H338" s="61">
        <v>44108</v>
      </c>
      <c r="I338" s="62">
        <v>0.5</v>
      </c>
      <c r="J338" s="77" t="s">
        <v>1</v>
      </c>
      <c r="K338" s="43" t="s">
        <v>334</v>
      </c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ht="14.25" customHeigh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68">
        <v>0.5</v>
      </c>
      <c r="J339" s="80"/>
      <c r="K339" s="81"/>
      <c r="L339" s="81"/>
      <c r="M339" s="81"/>
      <c r="N339" s="81"/>
      <c r="O339" s="81"/>
      <c r="P339" s="81"/>
      <c r="Q339" s="81"/>
      <c r="R339" s="82" t="s">
        <v>333</v>
      </c>
      <c r="S339" s="81"/>
      <c r="T339" s="81"/>
      <c r="U339" s="81"/>
      <c r="V339" s="81"/>
      <c r="W339" s="81"/>
      <c r="X339" s="81"/>
      <c r="Y339" s="81"/>
      <c r="Z339" s="81"/>
      <c r="AA339" s="81"/>
      <c r="AB339" s="81"/>
      <c r="AC339" s="81"/>
      <c r="AD339" s="81"/>
      <c r="AE339" s="81"/>
      <c r="AF339" s="81"/>
      <c r="AG339" s="81"/>
      <c r="AH339" s="81"/>
      <c r="AI339" s="81"/>
      <c r="AJ339" s="81"/>
      <c r="AK339" s="81"/>
      <c r="AL339" s="81"/>
      <c r="AM339" s="81"/>
      <c r="AN339" s="81"/>
      <c r="AO339" s="81"/>
      <c r="AP339" s="81"/>
      <c r="AQ339" s="81"/>
      <c r="AR339" s="83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ht="14.25" customHeigh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68">
        <v>0.5</v>
      </c>
      <c r="J340" s="84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81"/>
      <c r="AG340" s="81"/>
      <c r="AH340" s="81"/>
      <c r="AI340" s="81"/>
      <c r="AJ340" s="81"/>
      <c r="AK340" s="81"/>
      <c r="AL340" s="81"/>
      <c r="AM340" s="81"/>
      <c r="AN340" s="81"/>
      <c r="AO340" s="81"/>
      <c r="AP340" s="81"/>
      <c r="AQ340" s="81"/>
      <c r="AR340" s="83"/>
      <c r="AS340" s="77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ht="14.25" customHeigh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68">
        <v>0.5</v>
      </c>
      <c r="J341" s="80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/>
      <c r="AP341" s="81"/>
      <c r="AQ341" s="81"/>
      <c r="AR341" s="83"/>
      <c r="AS341" s="77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ht="14.25" customHeigh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68">
        <v>0.5</v>
      </c>
      <c r="J342" s="80" t="s">
        <v>237</v>
      </c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  <c r="AF342" s="81"/>
      <c r="AG342" s="81"/>
      <c r="AH342" s="81"/>
      <c r="AI342" s="81"/>
      <c r="AJ342" s="81"/>
      <c r="AK342" s="81"/>
      <c r="AL342" s="81"/>
      <c r="AM342" s="81"/>
      <c r="AN342" s="81"/>
      <c r="AO342" s="81"/>
      <c r="AP342" s="81"/>
      <c r="AQ342" s="81"/>
      <c r="AR342" s="83"/>
      <c r="AS342" s="77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ht="14.25" customHeigh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68">
        <v>0.5</v>
      </c>
      <c r="J343" s="80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81"/>
      <c r="AK343" s="81"/>
      <c r="AL343" s="81"/>
      <c r="AM343" s="81"/>
      <c r="AN343" s="81"/>
      <c r="AO343" s="81"/>
      <c r="AP343" s="81"/>
      <c r="AQ343" s="81"/>
      <c r="AR343" s="83"/>
      <c r="AS343" s="77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ht="13.5" customHeigh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62"/>
      <c r="J344" s="77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77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ht="13.5" customHeight="1" x14ac:dyDescent="0.15">
      <c r="B345" s="58" t="str">
        <f>IF(G345&lt;&gt;"",SUBTOTAL(3,$G$6:G345),"")</f>
        <v/>
      </c>
      <c r="C345" s="58"/>
      <c r="D345" s="58"/>
      <c r="E345" s="59"/>
      <c r="F345" s="59"/>
      <c r="G345" s="59"/>
      <c r="H345" s="61"/>
      <c r="I345" s="62"/>
      <c r="J345" s="40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2"/>
      <c r="AS345" s="63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5"/>
      <c r="CB345" s="60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  <row r="346" spans="2:130" ht="13.5" customHeight="1" x14ac:dyDescent="0.15">
      <c r="B346" s="58" t="str">
        <f>IF(G346&lt;&gt;"",SUBTOTAL(3,$G$6:G346),"")</f>
        <v/>
      </c>
      <c r="C346" s="58"/>
      <c r="D346" s="58"/>
      <c r="E346" s="59"/>
      <c r="F346" s="59"/>
      <c r="G346" s="59"/>
      <c r="H346" s="61"/>
      <c r="I346" s="62"/>
      <c r="J346" s="63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5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x14ac:dyDescent="0.15">
      <c r="B347" s="58" t="str">
        <f>IF(G347&lt;&gt;"",SUBTOTAL(3,$G$6:G347),"")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x14ac:dyDescent="0.15">
      <c r="B348" s="58" t="str">
        <f>IF(G348&lt;&gt;"",SUBTOTAL(3,$G$6:G348),"")</f>
        <v/>
      </c>
      <c r="C348" s="58"/>
      <c r="D348" s="58"/>
      <c r="E348" s="59"/>
      <c r="F348" s="59"/>
      <c r="G348" s="59"/>
      <c r="H348" s="61"/>
      <c r="I348" s="62"/>
      <c r="J348" s="63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5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58" t="str">
        <f>IF(G349&lt;&gt;"",SUBTOTAL(3,$G$6:G349),"")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IF(G350&lt;&gt;"",SUBTOTAL(3,$G$6:G350),"")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ht="15.75" x14ac:dyDescent="0.15">
      <c r="B351" s="58" t="str">
        <f>IF(G351&lt;&gt;"",SUBTOTAL(3,$G$6:G351),"")</f>
        <v/>
      </c>
      <c r="C351" s="58"/>
      <c r="D351" s="58"/>
      <c r="E351" s="59"/>
      <c r="F351" s="59"/>
      <c r="G351" s="59"/>
      <c r="H351" s="61"/>
      <c r="I351" s="62"/>
      <c r="J351" s="40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2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9"/>
      <c r="CJ351" s="69"/>
      <c r="CK351" s="69"/>
      <c r="CL351" s="69"/>
      <c r="CM351" s="69"/>
      <c r="CN351" s="69"/>
      <c r="CO351" s="69"/>
      <c r="CP351" s="69"/>
      <c r="CQ351" s="69"/>
      <c r="CR351" s="69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9"/>
      <c r="DH351" s="69"/>
      <c r="DI351" s="69"/>
      <c r="DJ351" s="69"/>
      <c r="DK351" s="69"/>
      <c r="DL351" s="69"/>
      <c r="DM351" s="69"/>
      <c r="DN351" s="69"/>
      <c r="DO351" s="69"/>
      <c r="DP351" s="69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x14ac:dyDescent="0.15">
      <c r="B352" s="58" t="str">
        <f>IF(G352&lt;&gt;"",SUBTOTAL(3,$G$6:G352),"")</f>
        <v/>
      </c>
      <c r="C352" s="58"/>
      <c r="D352" s="58"/>
      <c r="E352" s="59"/>
      <c r="F352" s="59"/>
      <c r="G352" s="59"/>
      <c r="H352" s="61"/>
      <c r="I352" s="62"/>
      <c r="J352" s="63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5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IF(G353&lt;&gt;"",SUBTOTAL(3,$G$6:G353),"")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x14ac:dyDescent="0.15">
      <c r="B354" s="58" t="str">
        <f>IF(G354&lt;&gt;"",SUBTOTAL(3,$G$6:G354),"")</f>
        <v/>
      </c>
      <c r="C354" s="58"/>
      <c r="D354" s="58"/>
      <c r="E354" s="59"/>
      <c r="F354" s="59"/>
      <c r="G354" s="59"/>
      <c r="H354" s="61"/>
      <c r="I354" s="62"/>
      <c r="J354" s="63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5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IF(G355&lt;&gt;"",SUBTOTAL(3,$G$6:G355),"")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x14ac:dyDescent="0.15">
      <c r="B356" s="58" t="str">
        <f>IF(G356&lt;&gt;"",SUBTOTAL(3,$G$6:G356),"")</f>
        <v/>
      </c>
      <c r="C356" s="58"/>
      <c r="D356" s="58"/>
      <c r="E356" s="59"/>
      <c r="F356" s="59"/>
      <c r="G356" s="59"/>
      <c r="H356" s="61"/>
      <c r="I356" s="62"/>
      <c r="J356" s="63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5"/>
      <c r="AS356" s="63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5"/>
      <c r="CB356" s="60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  <row r="357" spans="2:130" x14ac:dyDescent="0.15">
      <c r="B357" s="58" t="str">
        <f>IF(G357&lt;&gt;"",SUBTOTAL(3,$G$6:G357),"")</f>
        <v/>
      </c>
      <c r="C357" s="58"/>
      <c r="D357" s="58"/>
      <c r="E357" s="59"/>
      <c r="F357" s="59"/>
      <c r="G357" s="59"/>
      <c r="H357" s="61"/>
      <c r="I357" s="62"/>
      <c r="J357" s="63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5"/>
      <c r="AS357" s="63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5"/>
      <c r="CB357" s="60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</row>
    <row r="358" spans="2:130" x14ac:dyDescent="0.15">
      <c r="B358" s="58" t="str">
        <f>IF(G358&lt;&gt;"",SUBTOTAL(3,$G$6:G358),"")</f>
        <v/>
      </c>
      <c r="C358" s="58"/>
      <c r="D358" s="58"/>
      <c r="E358" s="59"/>
      <c r="F358" s="59"/>
      <c r="G358" s="59"/>
      <c r="H358" s="61"/>
      <c r="I358" s="62"/>
      <c r="J358" s="63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5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ht="15.75" x14ac:dyDescent="0.15">
      <c r="B359" s="58" t="str">
        <f>IF(G359&lt;&gt;"",SUBTOTAL(3,$G$6:G359),"")</f>
        <v/>
      </c>
      <c r="C359" s="58"/>
      <c r="D359" s="58"/>
      <c r="E359" s="59"/>
      <c r="F359" s="59"/>
      <c r="G359" s="59"/>
      <c r="H359" s="61"/>
      <c r="I359" s="62"/>
      <c r="J359" s="40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2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x14ac:dyDescent="0.15">
      <c r="B360" s="58" t="str">
        <f>IF(G360&lt;&gt;"",SUBTOTAL(3,$G$6:G360),"")</f>
        <v/>
      </c>
      <c r="C360" s="58"/>
      <c r="D360" s="58"/>
      <c r="E360" s="59"/>
      <c r="F360" s="59"/>
      <c r="G360" s="59"/>
      <c r="H360" s="61"/>
      <c r="I360" s="62"/>
      <c r="J360" s="63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5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IF(G361&lt;&gt;"",SUBTOTAL(3,$G$6:G361),"")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x14ac:dyDescent="0.15">
      <c r="B362" s="58" t="str">
        <f>IF(G362&lt;&gt;"",SUBTOTAL(3,$G$6:G362),"")</f>
        <v/>
      </c>
      <c r="C362" s="58"/>
      <c r="D362" s="58"/>
      <c r="E362" s="59"/>
      <c r="F362" s="59"/>
      <c r="G362" s="59"/>
      <c r="H362" s="61"/>
      <c r="I362" s="62"/>
      <c r="J362" s="63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5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58" t="str">
        <f>IF(G363&lt;&gt;"",SUBTOTAL(3,$G$6:G363),"")</f>
        <v/>
      </c>
      <c r="C363" s="58"/>
      <c r="D363" s="58"/>
      <c r="E363" s="59"/>
      <c r="F363" s="59"/>
      <c r="G363" s="59"/>
      <c r="H363" s="61"/>
      <c r="I363" s="62"/>
      <c r="J363" s="63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5"/>
      <c r="AS363" s="63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5"/>
      <c r="CB363" s="60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  <row r="364" spans="2:130" x14ac:dyDescent="0.15">
      <c r="B364" s="58" t="str">
        <f>IF(G364&lt;&gt;"",SUBTOTAL(3,$G$6:G364),"")</f>
        <v/>
      </c>
      <c r="C364" s="58"/>
      <c r="D364" s="58"/>
      <c r="E364" s="59"/>
      <c r="F364" s="59"/>
      <c r="G364" s="59"/>
      <c r="H364" s="61"/>
      <c r="I364" s="62"/>
      <c r="J364" s="63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5"/>
      <c r="AS364" s="63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5"/>
      <c r="CB364" s="60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</row>
    <row r="365" spans="2:130" x14ac:dyDescent="0.15">
      <c r="B365" s="58" t="str">
        <f>IF(G365&lt;&gt;"",SUBTOTAL(3,$G$6:G365),"")</f>
        <v/>
      </c>
      <c r="C365" s="58"/>
      <c r="D365" s="58"/>
      <c r="E365" s="59"/>
      <c r="F365" s="59"/>
      <c r="G365" s="59"/>
      <c r="H365" s="61"/>
      <c r="I365" s="62"/>
      <c r="J365" s="63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5"/>
      <c r="AS365" s="63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5"/>
      <c r="CB365" s="60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</row>
    <row r="366" spans="2:130" x14ac:dyDescent="0.15">
      <c r="B366" s="58" t="str">
        <f>IF(G366&lt;&gt;"",SUBTOTAL(3,$G$6:G366),"")</f>
        <v/>
      </c>
      <c r="C366" s="58"/>
      <c r="D366" s="58"/>
      <c r="E366" s="59"/>
      <c r="F366" s="59"/>
      <c r="G366" s="59"/>
      <c r="H366" s="61"/>
      <c r="I366" s="62"/>
      <c r="J366" s="63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5"/>
      <c r="AS366" s="63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5"/>
      <c r="CB366" s="60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</row>
    <row r="367" spans="2:130" x14ac:dyDescent="0.15">
      <c r="B367" s="58" t="str">
        <f>IF(G367&lt;&gt;"",SUBTOTAL(3,$G$6:G367),"")</f>
        <v/>
      </c>
      <c r="C367" s="58"/>
      <c r="D367" s="58"/>
      <c r="E367" s="59"/>
      <c r="F367" s="59"/>
      <c r="G367" s="59"/>
      <c r="H367" s="61"/>
      <c r="I367" s="62"/>
      <c r="J367" s="63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5"/>
      <c r="AS367" s="63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5"/>
      <c r="CB367" s="60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</row>
    <row r="368" spans="2:130" x14ac:dyDescent="0.15">
      <c r="B368" s="58" t="str">
        <f>IF(G368&lt;&gt;"",SUBTOTAL(3,$G$6:G368),"")</f>
        <v/>
      </c>
      <c r="C368" s="58"/>
      <c r="D368" s="58"/>
      <c r="E368" s="59"/>
      <c r="F368" s="59"/>
      <c r="G368" s="59"/>
      <c r="H368" s="61"/>
      <c r="I368" s="62"/>
      <c r="J368" s="63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5"/>
      <c r="AS368" s="63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5"/>
      <c r="CB368" s="60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</row>
    <row r="369" spans="2:130" x14ac:dyDescent="0.15">
      <c r="B369" s="58" t="str">
        <f>IF(G369&lt;&gt;"",SUBTOTAL(3,$G$6:G369),"")</f>
        <v/>
      </c>
      <c r="C369" s="58"/>
      <c r="D369" s="58"/>
      <c r="E369" s="59"/>
      <c r="F369" s="59"/>
      <c r="G369" s="59"/>
      <c r="H369" s="61"/>
      <c r="I369" s="62"/>
      <c r="J369" s="63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5"/>
      <c r="AS369" s="63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5"/>
      <c r="CB369" s="60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</row>
    <row r="370" spans="2:130" x14ac:dyDescent="0.15">
      <c r="B370" s="58" t="str">
        <f>IF(G370&lt;&gt;"",SUBTOTAL(3,$G$6:G370),"")</f>
        <v/>
      </c>
      <c r="C370" s="58"/>
      <c r="D370" s="58"/>
      <c r="E370" s="59"/>
      <c r="F370" s="59"/>
      <c r="G370" s="59"/>
      <c r="H370" s="61"/>
      <c r="I370" s="62"/>
      <c r="J370" s="63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5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x14ac:dyDescent="0.15">
      <c r="B371" s="58" t="str">
        <f>IF(G371&lt;&gt;"",SUBTOTAL(3,$G$6:G371),"")</f>
        <v/>
      </c>
      <c r="C371" s="58"/>
      <c r="D371" s="58"/>
      <c r="E371" s="59"/>
      <c r="F371" s="59"/>
      <c r="G371" s="59"/>
      <c r="H371" s="61"/>
      <c r="I371" s="62"/>
      <c r="J371" s="63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5"/>
      <c r="AS371" s="63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5"/>
      <c r="CB371" s="60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  <row r="372" spans="2:130" x14ac:dyDescent="0.15">
      <c r="B372" s="58" t="str">
        <f>IF(G372&lt;&gt;"",SUBTOTAL(3,$G$6:G372),"")</f>
        <v/>
      </c>
      <c r="C372" s="58"/>
      <c r="D372" s="58"/>
      <c r="E372" s="59"/>
      <c r="F372" s="59"/>
      <c r="G372" s="59"/>
      <c r="H372" s="61"/>
      <c r="I372" s="62"/>
      <c r="J372" s="63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5"/>
      <c r="AS372" s="63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5"/>
      <c r="CB372" s="60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</row>
    <row r="373" spans="2:130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63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5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x14ac:dyDescent="0.15">
      <c r="B374" s="85" t="str">
        <f>IF(G374&lt;&gt;"",SUBTOTAL(3,$G$6:G374),"")</f>
        <v/>
      </c>
      <c r="C374" s="85"/>
      <c r="D374" s="85"/>
      <c r="E374" s="86"/>
      <c r="F374" s="86"/>
      <c r="G374" s="86"/>
      <c r="H374" s="87"/>
      <c r="I374" s="88"/>
      <c r="J374" s="89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89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1"/>
      <c r="CB374" s="92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</sheetData>
  <autoFilter ref="B5:CB374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45:I345 B359:I359 B351:I351 B45:D45 B52:H52 B61:H61 B346:AR350 B360:AR374 B352:AR358 F45:CB45 B46:CB50 J51:CB52 B62:CB62 K43:CB43 B44:CB44 K63:CB63 K261:CB261 B341:CB341 K340:CB340 K342:CB342 I169:CA169 K104:CB104 J60:CB61 B53:CB59 J64:CB66 B67:CB103 B105:CB146 I172:I179 B172:H180 J172:CB180 B343:AR344 AS343:CB374 I147:I168 B147:H169 CB147:CB169 J147:AR169 AS147:CA168 J180:J182 B170:CB171 J169:J171 B262:CB339 B6:CB42 B181:CB260">
    <cfRule type="expression" dxfId="27" priority="98">
      <formula>AND($I6&lt;&gt;1,$I6&lt;&gt;"")</formula>
    </cfRule>
  </conditionalFormatting>
  <conditionalFormatting sqref="I180:AR180">
    <cfRule type="expression" dxfId="26" priority="84">
      <formula>AND($I180&lt;&gt;1,$I180&lt;&gt;"")</formula>
    </cfRule>
  </conditionalFormatting>
  <conditionalFormatting sqref="E45">
    <cfRule type="expression" dxfId="25" priority="73">
      <formula>AND($I45&lt;&gt;1,$I45&lt;&gt;"")</formula>
    </cfRule>
  </conditionalFormatting>
  <conditionalFormatting sqref="B64:H64">
    <cfRule type="expression" dxfId="24" priority="70">
      <formula>AND($I64&lt;&gt;1,$I64&lt;&gt;"")</formula>
    </cfRule>
  </conditionalFormatting>
  <conditionalFormatting sqref="B43:I43">
    <cfRule type="expression" dxfId="23" priority="65">
      <formula>AND($I43&lt;&gt;1,$I43&lt;&gt;"")</formula>
    </cfRule>
  </conditionalFormatting>
  <conditionalFormatting sqref="J43">
    <cfRule type="expression" dxfId="22" priority="59">
      <formula>AND($I43&lt;&gt;1,$I43&lt;&gt;"")</formula>
    </cfRule>
  </conditionalFormatting>
  <conditionalFormatting sqref="B51:H51">
    <cfRule type="expression" dxfId="21" priority="57">
      <formula>AND($I51&lt;&gt;1,$I51&lt;&gt;"")</formula>
    </cfRule>
  </conditionalFormatting>
  <conditionalFormatting sqref="I51">
    <cfRule type="expression" dxfId="20" priority="56">
      <formula>AND($I51&lt;&gt;1,$I51&lt;&gt;"")</formula>
    </cfRule>
  </conditionalFormatting>
  <conditionalFormatting sqref="I52">
    <cfRule type="expression" dxfId="19" priority="55">
      <formula>AND($I52&lt;&gt;1,$I52&lt;&gt;"")</formula>
    </cfRule>
  </conditionalFormatting>
  <conditionalFormatting sqref="B60:I60">
    <cfRule type="expression" dxfId="18" priority="52">
      <formula>AND($I60&lt;&gt;1,$I60&lt;&gt;"")</formula>
    </cfRule>
  </conditionalFormatting>
  <conditionalFormatting sqref="J60">
    <cfRule type="expression" dxfId="17" priority="51">
      <formula>AND($I60&lt;&gt;1,$I60&lt;&gt;"")</formula>
    </cfRule>
  </conditionalFormatting>
  <conditionalFormatting sqref="I61">
    <cfRule type="expression" dxfId="16" priority="50">
      <formula>AND($I61&lt;&gt;1,$I61&lt;&gt;"")</formula>
    </cfRule>
  </conditionalFormatting>
  <conditionalFormatting sqref="B63:I63">
    <cfRule type="expression" dxfId="15" priority="49">
      <formula>AND($I63&lt;&gt;1,$I63&lt;&gt;"")</formula>
    </cfRule>
  </conditionalFormatting>
  <conditionalFormatting sqref="J63">
    <cfRule type="expression" dxfId="14" priority="48">
      <formula>AND($I63&lt;&gt;1,$I63&lt;&gt;"")</formula>
    </cfRule>
  </conditionalFormatting>
  <conditionalFormatting sqref="I64">
    <cfRule type="expression" dxfId="13" priority="47">
      <formula>AND($I64&lt;&gt;1,$I64&lt;&gt;"")</formula>
    </cfRule>
  </conditionalFormatting>
  <conditionalFormatting sqref="B104:I104">
    <cfRule type="expression" dxfId="12" priority="37">
      <formula>AND($I104&lt;&gt;1,$I104&lt;&gt;"")</formula>
    </cfRule>
  </conditionalFormatting>
  <conditionalFormatting sqref="J104">
    <cfRule type="expression" dxfId="11" priority="35">
      <formula>AND($I104&lt;&gt;1,$I104&lt;&gt;"")</formula>
    </cfRule>
  </conditionalFormatting>
  <conditionalFormatting sqref="B261:I261">
    <cfRule type="expression" dxfId="10" priority="20">
      <formula>AND($I261&lt;&gt;1,$I261&lt;&gt;"")</formula>
    </cfRule>
  </conditionalFormatting>
  <conditionalFormatting sqref="J261">
    <cfRule type="expression" dxfId="9" priority="19">
      <formula>AND($I261&lt;&gt;1,$I261&lt;&gt;"")</formula>
    </cfRule>
  </conditionalFormatting>
  <conditionalFormatting sqref="B340:I340 B342:I342">
    <cfRule type="expression" dxfId="8" priority="12">
      <formula>AND($I340&lt;&gt;1,$I340&lt;&gt;"")</formula>
    </cfRule>
  </conditionalFormatting>
  <conditionalFormatting sqref="J342">
    <cfRule type="expression" dxfId="7" priority="11">
      <formula>AND($I342&lt;&gt;1,$I342&lt;&gt;"")</formula>
    </cfRule>
  </conditionalFormatting>
  <conditionalFormatting sqref="B66:H66">
    <cfRule type="expression" dxfId="6" priority="9">
      <formula>AND($I66&lt;&gt;1,$I66&lt;&gt;"")</formula>
    </cfRule>
  </conditionalFormatting>
  <conditionalFormatting sqref="I66">
    <cfRule type="expression" dxfId="5" priority="8">
      <formula>AND($I66&lt;&gt;1,$I66&lt;&gt;"")</formula>
    </cfRule>
  </conditionalFormatting>
  <conditionalFormatting sqref="B65:H65">
    <cfRule type="expression" dxfId="4" priority="6">
      <formula>AND($I65&lt;&gt;1,$I65&lt;&gt;"")</formula>
    </cfRule>
  </conditionalFormatting>
  <conditionalFormatting sqref="I65">
    <cfRule type="expression" dxfId="3" priority="5">
      <formula>AND($I65&lt;&gt;1,$I65&lt;&gt;"")</formula>
    </cfRule>
  </conditionalFormatting>
  <conditionalFormatting sqref="J59">
    <cfRule type="expression" dxfId="2" priority="3">
      <formula>AND($I59&lt;&gt;1,$I59&lt;&gt;"")</formula>
    </cfRule>
  </conditionalFormatting>
  <conditionalFormatting sqref="J181">
    <cfRule type="expression" dxfId="1" priority="2">
      <formula>AND($I181&lt;&gt;1,$I181&lt;&gt;"")</formula>
    </cfRule>
  </conditionalFormatting>
  <conditionalFormatting sqref="J180">
    <cfRule type="expression" dxfId="0" priority="1">
      <formula>AND($I180&lt;&gt;1,$I180&lt;&gt;"")</formula>
    </cfRule>
  </conditionalFormatting>
  <dataValidations count="1">
    <dataValidation type="list" allowBlank="1" showInputMessage="1" showErrorMessage="1" sqref="I6:I374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3" location="toABC143_C_Slimes" display="(→)" xr:uid="{D0A14FDC-339D-483C-A7FB-42784F1DB2F9}"/>
    <hyperlink ref="CB195" location="toABC147_C_Honest_or_Unkind2" display="(→)" xr:uid="{5E89EE6B-F278-4D19-9890-D06616736879}"/>
    <hyperlink ref="CB20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42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2020-10-26T12:01:27Z</dcterms:modified>
</cp:coreProperties>
</file>
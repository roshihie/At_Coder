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76C806B-68CE-4E06-B28D-C7C2928D967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At_Coder_C問題!$B$5:$CB$422</definedName>
    <definedName name="fromABC114_C_755">At_Coder_C問題!$J$68</definedName>
    <definedName name="fromABC143_C_Slimes">At_Coder_C問題!$J$211</definedName>
    <definedName name="fromABC147_C_Honest_or_Unkind2">At_Coder_C問題!$J$223</definedName>
    <definedName name="fromABC149_C_NextPrime">At_Coder_C問題!$J$229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0" i="3" l="1"/>
  <c r="B151" i="3"/>
  <c r="B152" i="3"/>
  <c r="B154" i="3" l="1"/>
  <c r="B155" i="3"/>
  <c r="B156" i="3"/>
  <c r="B158" i="3" l="1"/>
  <c r="B159" i="3"/>
  <c r="B165" i="3"/>
  <c r="B163" i="3"/>
  <c r="B161" i="3"/>
  <c r="B162" i="3"/>
  <c r="B164" i="3"/>
  <c r="B167" i="3" l="1"/>
  <c r="B168" i="3"/>
  <c r="B169" i="3"/>
  <c r="B173" i="3"/>
  <c r="B171" i="3" l="1"/>
  <c r="B172" i="3"/>
  <c r="B174" i="3"/>
  <c r="B176" i="3" l="1"/>
  <c r="B177" i="3"/>
  <c r="B178" i="3"/>
  <c r="B179" i="3"/>
  <c r="B182" i="3" l="1"/>
  <c r="B181" i="3"/>
  <c r="B183" i="3" l="1"/>
  <c r="B184" i="3"/>
  <c r="B243" i="3"/>
  <c r="B241" i="3"/>
  <c r="B242" i="3"/>
  <c r="B244" i="3"/>
  <c r="B248" i="3"/>
  <c r="B249" i="3"/>
  <c r="J309" i="3"/>
  <c r="J253" i="3"/>
  <c r="B251" i="3" l="1"/>
  <c r="B252" i="3"/>
  <c r="B254" i="3"/>
  <c r="B257" i="3"/>
  <c r="B261" i="3"/>
  <c r="B256" i="3"/>
  <c r="B258" i="3"/>
  <c r="B259" i="3"/>
  <c r="B260" i="3"/>
  <c r="B262" i="3"/>
  <c r="B263" i="3" l="1"/>
  <c r="B264" i="3"/>
  <c r="B265" i="3"/>
  <c r="B294" i="3" l="1"/>
  <c r="B295" i="3"/>
  <c r="B296" i="3"/>
  <c r="B297" i="3"/>
  <c r="B312" i="3"/>
  <c r="B1" i="3"/>
  <c r="B313" i="3"/>
  <c r="B314" i="3"/>
  <c r="B328" i="3"/>
  <c r="B321" i="3"/>
  <c r="B323" i="3"/>
  <c r="B324" i="3"/>
  <c r="B329" i="3"/>
  <c r="B325" i="3"/>
  <c r="B326" i="3"/>
  <c r="B327" i="3"/>
  <c r="B322" i="3"/>
  <c r="B330" i="3"/>
  <c r="B319" i="3" l="1"/>
  <c r="B320" i="3"/>
  <c r="B331" i="3"/>
  <c r="B353" i="3"/>
  <c r="B351" i="3"/>
  <c r="B352" i="3"/>
  <c r="B350" i="3"/>
  <c r="B354" i="3"/>
  <c r="B356" i="3" l="1"/>
  <c r="B10" i="3" l="1"/>
  <c r="B9" i="3"/>
  <c r="B11" i="3"/>
  <c r="B274" i="3"/>
  <c r="B224" i="3"/>
  <c r="B225" i="3"/>
  <c r="B220" i="3"/>
  <c r="B221" i="3"/>
  <c r="B213" i="3" l="1"/>
  <c r="B212" i="3"/>
  <c r="B214" i="3"/>
  <c r="B192" i="3" l="1"/>
  <c r="B193" i="3"/>
  <c r="B191" i="3"/>
  <c r="B190" i="3"/>
  <c r="B300" i="3" l="1"/>
  <c r="B299" i="3"/>
  <c r="B301" i="3"/>
  <c r="B292" i="3"/>
  <c r="B289" i="3"/>
  <c r="B290" i="3"/>
  <c r="B291" i="3"/>
  <c r="B285" i="3" l="1"/>
  <c r="B286" i="3"/>
  <c r="B287" i="3"/>
  <c r="B284" i="3"/>
  <c r="B282" i="3" l="1"/>
  <c r="B280" i="3" l="1"/>
  <c r="B277" i="3"/>
  <c r="B276" i="3"/>
  <c r="B278" i="3" l="1"/>
  <c r="B188" i="3" l="1"/>
  <c r="B186" i="3"/>
  <c r="B187" i="3"/>
  <c r="B272" i="3" l="1"/>
  <c r="B270" i="3" l="1"/>
  <c r="B268" i="3"/>
  <c r="B267" i="3"/>
  <c r="B246" i="3"/>
  <c r="B218" i="3" l="1"/>
  <c r="B217" i="3"/>
  <c r="B216" i="3" l="1"/>
  <c r="B207" i="3"/>
  <c r="B195" i="3"/>
  <c r="B196" i="3"/>
  <c r="B230" i="3" l="1"/>
  <c r="B231" i="3"/>
  <c r="B236" i="3"/>
  <c r="B235" i="3"/>
  <c r="B234" i="3"/>
  <c r="B233" i="3"/>
  <c r="B239" i="3" l="1"/>
  <c r="B238" i="3"/>
  <c r="B228" i="3"/>
  <c r="B227" i="3"/>
  <c r="B201" i="3" l="1"/>
  <c r="B204" i="3"/>
  <c r="B205" i="3"/>
  <c r="B203" i="3"/>
  <c r="B33" i="3"/>
  <c r="B32" i="3"/>
  <c r="B31" i="3"/>
  <c r="B30" i="3"/>
  <c r="B141" i="3" l="1"/>
  <c r="B342" i="3"/>
  <c r="B343" i="3"/>
  <c r="B341" i="3"/>
  <c r="B344" i="3"/>
  <c r="B23" i="3" l="1"/>
  <c r="B16" i="3"/>
  <c r="B7" i="3" l="1"/>
  <c r="B65" i="3" l="1"/>
  <c r="B66" i="3"/>
  <c r="B390" i="3" l="1"/>
  <c r="B389" i="3"/>
  <c r="B388" i="3"/>
  <c r="B387" i="3"/>
  <c r="B384" i="3"/>
  <c r="B382" i="3"/>
  <c r="B381" i="3"/>
  <c r="B380" i="3"/>
  <c r="B379" i="3"/>
  <c r="B378" i="3"/>
  <c r="B377" i="3"/>
  <c r="B385" i="3"/>
  <c r="B383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48" i="3"/>
  <c r="B347" i="3"/>
  <c r="B346" i="3"/>
  <c r="B345" i="3"/>
  <c r="B339" i="3"/>
  <c r="B338" i="3"/>
  <c r="B337" i="3"/>
  <c r="B336" i="3"/>
  <c r="B335" i="3"/>
  <c r="B334" i="3"/>
  <c r="B333" i="3"/>
  <c r="B317" i="3"/>
  <c r="B316" i="3"/>
  <c r="B309" i="3"/>
  <c r="B308" i="3"/>
  <c r="B307" i="3"/>
  <c r="B306" i="3"/>
  <c r="B305" i="3"/>
  <c r="B304" i="3"/>
  <c r="B303" i="3"/>
  <c r="B210" i="3"/>
  <c r="B209" i="3"/>
  <c r="B199" i="3"/>
  <c r="B198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10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22" i="3" l="1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86" i="3"/>
  <c r="B357" i="3"/>
  <c r="B355" i="3"/>
  <c r="B349" i="3"/>
  <c r="B340" i="3"/>
  <c r="B332" i="3"/>
  <c r="B318" i="3"/>
  <c r="B315" i="3"/>
  <c r="B311" i="3"/>
  <c r="B302" i="3"/>
  <c r="B298" i="3"/>
  <c r="B293" i="3"/>
  <c r="B288" i="3"/>
  <c r="B283" i="3"/>
  <c r="B281" i="3"/>
  <c r="B279" i="3"/>
  <c r="B275" i="3"/>
  <c r="B273" i="3"/>
  <c r="B271" i="3"/>
  <c r="B269" i="3"/>
  <c r="B266" i="3"/>
  <c r="B255" i="3"/>
  <c r="B250" i="3"/>
  <c r="B247" i="3"/>
  <c r="B245" i="3"/>
  <c r="B240" i="3"/>
  <c r="B237" i="3"/>
  <c r="B232" i="3"/>
  <c r="B229" i="3"/>
  <c r="B226" i="3"/>
  <c r="B223" i="3"/>
  <c r="B222" i="3"/>
  <c r="B219" i="3"/>
  <c r="B215" i="3"/>
  <c r="B211" i="3"/>
  <c r="B208" i="3"/>
  <c r="B206" i="3"/>
  <c r="B202" i="3"/>
  <c r="B200" i="3"/>
  <c r="B197" i="3"/>
  <c r="B194" i="3"/>
  <c r="B189" i="3"/>
  <c r="B185" i="3"/>
  <c r="B180" i="3"/>
  <c r="B175" i="3"/>
  <c r="B170" i="3"/>
  <c r="B166" i="3"/>
  <c r="B160" i="3"/>
  <c r="B157" i="3"/>
  <c r="B153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<sst xmlns="http://schemas.openxmlformats.org/spreadsheetml/2006/main" count="837" uniqueCount="539">
  <si>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</si>
  <si>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</si>
  <si>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</si>
  <si>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</si>
  <si>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</si>
  <si>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</si>
  <si>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</si>
  <si>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</si>
  <si>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</si>
  <si>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</si>
  <si>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</si>
  <si>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</si>
  <si>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</si>
  <si>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</si>
  <si>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</si>
  <si>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</si>
  <si>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</si>
  <si>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</si>
  <si>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</si>
  <si>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</si>
  <si>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</si>
  <si>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</si>
  <si>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</si>
  <si>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</si>
  <si>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</si>
  <si>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</si>
  <si>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</si>
  <si>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</si>
  <si>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</si>
  <si>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</si>
  <si>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</si>
  <si>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</si>
  <si>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</si>
  <si>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</si>
  <si>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</si>
  <si>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</si>
  <si>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</si>
  <si>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</si>
  <si>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</si>
  <si>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</si>
  <si>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</si>
  <si>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</si>
  <si>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</si>
  <si>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</si>
  <si>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</si>
  <si>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</si>
  <si>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</si>
  <si>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</si>
  <si>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</si>
  <si>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</si>
  <si>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</si>
  <si>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</si>
  <si>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</si>
  <si>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</si>
  <si>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</si>
  <si>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</si>
  <si>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</si>
  <si>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</si>
  <si>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</si>
  <si>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</si>
  <si>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</si>
  <si>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</si>
  <si>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</si>
  <si>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</si>
  <si>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</si>
  <si>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</si>
  <si>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</si>
  <si>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</si>
  <si>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</si>
  <si>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</si>
  <si>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</si>
  <si>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</si>
  <si>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</si>
  <si>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</si>
  <si>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</si>
  <si>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</si>
  <si>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</si>
  <si>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</si>
  <si>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</si>
  <si>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</si>
  <si>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</si>
  <si>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</si>
  <si>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</si>
  <si>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</si>
  <si>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</si>
  <si>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</si>
  <si>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</si>
  <si>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</si>
  <si>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</si>
  <si>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</si>
  <si>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</si>
  <si>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</si>
  <si>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</si>
  <si>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</si>
  <si>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</si>
  <si>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</si>
  <si>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</si>
  <si>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</si>
  <si>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</si>
  <si>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</si>
  <si>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</si>
  <si>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</si>
  <si>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</si>
  <si>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</si>
  <si>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</si>
  <si>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</si>
  <si>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</si>
  <si>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</si>
  <si>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</si>
  <si>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</si>
  <si>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</si>
  <si>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</si>
  <si>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</si>
  <si>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</si>
  <si>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</si>
  <si>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</si>
  <si>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</si>
  <si>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</si>
  <si>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</si>
  <si>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</si>
  <si>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</si>
  <si>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</si>
  <si>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</si>
  <si>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</si>
  <si>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</si>
  <si>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</si>
  <si>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</si>
  <si>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</si>
  <si>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</si>
  <si>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</si>
  <si>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</si>
  <si>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</si>
  <si>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</si>
  <si>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</si>
  <si>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</si>
  <si>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</si>
  <si>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</si>
  <si>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</si>
  <si>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</si>
  <si>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</si>
  <si>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</si>
  <si>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</si>
  <si>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</si>
  <si>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</si>
  <si>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</si>
  <si>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</si>
  <si>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</si>
  <si>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</si>
  <si>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</si>
  <si>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</si>
  <si>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</si>
  <si>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</si>
  <si>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</si>
  <si>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</si>
  <si>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</si>
  <si>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</si>
  <si>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</si>
  <si>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</si>
  <si>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</si>
  <si>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</si>
  <si>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</si>
  <si>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</si>
  <si>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</si>
  <si>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</si>
  <si>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</si>
  <si>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</si>
  <si>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</si>
  <si>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</si>
  <si>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</si>
  <si>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</si>
  <si>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</si>
  <si>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</si>
  <si>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</si>
  <si>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</si>
  <si>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</si>
  <si>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</si>
  <si>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</si>
  <si>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</si>
  <si>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</si>
  <si>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</si>
  <si>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</si>
  <si>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</si>
  <si>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</si>
  <si>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</si>
  <si>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</si>
  <si>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</si>
  <si>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</si>
  <si>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</si>
  <si>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</si>
  <si>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</si>
  <si>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</si>
  <si>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</si>
  <si>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</si>
  <si>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</si>
  <si>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</si>
  <si>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</si>
  <si>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</si>
  <si>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</si>
  <si>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</si>
  <si>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</si>
  <si>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</si>
  <si>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</si>
  <si>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</si>
  <si>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</si>
  <si>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</si>
  <si>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</si>
  <si>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</si>
  <si>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</si>
  <si>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</si>
  <si>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</si>
  <si>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</si>
  <si>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</si>
  <si>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</si>
  <si>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</si>
  <si>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</si>
  <si>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</si>
  <si>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</si>
  <si>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</si>
  <si>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</si>
  <si>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</si>
  <si>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</si>
  <si>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</si>
  <si>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</si>
  <si>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</si>
  <si>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</si>
  <si>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</si>
  <si>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</si>
  <si>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</si>
  <si>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</si>
  <si>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</si>
  <si>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</si>
  <si>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</si>
  <si>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</si>
  <si>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</si>
  <si>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</si>
  <si>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</si>
  <si>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</si>
  <si>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</si>
  <si>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</si>
  <si>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</si>
  <si>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</si>
  <si>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</si>
  <si>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</si>
  <si>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</si>
  <si>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</si>
  <si>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</si>
  <si>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</si>
  <si>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</si>
  <si>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</si>
  <si>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</si>
  <si>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</si>
  <si>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</si>
  <si>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</si>
  <si>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</si>
  <si>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</si>
  <si>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</si>
  <si>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</si>
  <si>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</si>
  <si>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</si>
  <si>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</si>
  <si>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</si>
  <si>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</si>
  <si>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</si>
  <si>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</si>
  <si>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</si>
  <si>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</si>
  <si>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</si>
  <si>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</si>
  <si>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</si>
  <si>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</si>
  <si>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</si>
  <si>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</si>
  <si>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</si>
  <si>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</si>
  <si>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</si>
  <si>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</si>
  <si>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</si>
  <si>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</si>
  <si>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</si>
  <si>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</si>
  <si>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</si>
  <si>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</si>
  <si>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</si>
  <si>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</si>
  <si>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</si>
  <si>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</si>
  <si>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</si>
  <si>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</si>
  <si>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</si>
  <si>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</si>
  <si>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</si>
  <si>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</si>
  <si>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</si>
  <si>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</si>
  <si>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</si>
  <si>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</si>
  <si>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</si>
  <si>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</si>
  <si>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</si>
  <si>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</si>
  <si>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</si>
  <si>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</si>
  <si>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</si>
  <si>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</si>
  <si>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</si>
  <si>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</si>
  <si>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</si>
  <si>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</si>
  <si>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</si>
  <si>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</si>
  <si>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</si>
  <si>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</si>
  <si>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</si>
  <si>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</si>
  <si>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</si>
  <si>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</si>
  <si>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</si>
  <si>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</si>
  <si>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</si>
  <si>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</si>
  <si>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</si>
  <si>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</si>
  <si>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</si>
  <si>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</si>
  <si>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</si>
  <si>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</si>
  <si>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</si>
  <si>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</si>
  <si>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</si>
  <si>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</si>
  <si>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</si>
  <si>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</si>
  <si>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</si>
  <si>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</si>
  <si>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</si>
  <si>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</si>
  <si>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</si>
  <si>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</si>
  <si>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</si>
  <si>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</si>
  <si>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</si>
  <si>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</si>
  <si>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</si>
  <si>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</si>
  <si>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</si>
  <si>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</si>
  <si>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</si>
  <si>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</si>
  <si>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</si>
  <si>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</si>
  <si>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</si>
  <si>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</si>
  <si>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</si>
  <si>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</si>
  <si>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</si>
  <si>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</si>
  <si>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</si>
  <si>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</si>
  <si>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</si>
  <si>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</si>
  <si>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</si>
  <si>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</si>
  <si>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</si>
  <si>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</si>
  <si>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</si>
  <si>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</si>
  <si>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</si>
  <si>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</si>
  <si>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</si>
  <si>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</si>
  <si>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</si>
  <si>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</si>
  <si>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</si>
  <si>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</si>
  <si>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</si>
  <si>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</si>
  <si>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</si>
  <si>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</si>
  <si>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</si>
  <si>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</si>
  <si>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</si>
  <si>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</si>
  <si>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</si>
  <si>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</si>
  <si>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</si>
  <si>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</si>
  <si>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</si>
  <si>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</si>
  <si>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</si>
  <si>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</si>
  <si>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</si>
  <si>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</si>
  <si>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</si>
  <si>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</si>
  <si>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</si>
  <si>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</si>
  <si>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</si>
  <si>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</si>
  <si>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</si>
  <si>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</si>
  <si>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</si>
  <si>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</si>
  <si>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</si>
  <si>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</si>
  <si>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</si>
  <si>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</si>
  <si>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</si>
  <si>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</si>
  <si>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</si>
  <si>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</si>
  <si>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</si>
  <si>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</si>
  <si>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</si>
  <si>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</si>
  <si>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</si>
  <si>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</si>
  <si>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</si>
  <si>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</si>
  <si>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</si>
  <si>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</si>
  <si>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</si>
  <si>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</si>
  <si>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</si>
  <si>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</si>
  <si>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</si>
  <si>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</si>
  <si>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</si>
  <si>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</si>
  <si>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</si>
  <si>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</si>
  <si>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</si>
  <si>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</si>
  <si>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</si>
  <si>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</si>
  <si>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</si>
  <si>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</si>
  <si>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</si>
  <si>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</si>
  <si>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</si>
  <si>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</si>
  <si>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</si>
  <si>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</si>
  <si>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</si>
  <si>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</si>
  <si>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</si>
  <si>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</si>
  <si>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</si>
  <si>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</si>
  <si>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</si>
  <si>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</si>
  <si>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</si>
  <si>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</si>
  <si>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</si>
  <si>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</si>
  <si>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</si>
  <si>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</si>
  <si>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</si>
  <si>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</si>
  <si>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</si>
  <si>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</si>
  <si>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</si>
  <si>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</si>
  <si>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</si>
  <si>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</si>
  <si>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</si>
  <si>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</si>
  <si>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</si>
  <si>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</si>
  <si>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</si>
  <si>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</si>
  <si>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</si>
  <si>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</si>
  <si>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</si>
  <si>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</si>
  <si>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</si>
  <si>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</si>
  <si>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</si>
  <si>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</si>
  <si>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</si>
  <si>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</si>
  <si>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</si>
  <si>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</si>
  <si>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</si>
  <si>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</si>
  <si>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</si>
  <si>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</si>
  <si>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</si>
  <si>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</si>
  <si>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</si>
  <si>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</si>
  <si>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</si>
  <si>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</si>
  <si>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</si>
  <si>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</si>
  <si>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</si>
  <si>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</si>
  <si>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</si>
  <si>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</si>
  <si>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</si>
  <si>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</si>
  <si>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</si>
  <si>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</si>
  <si>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</si>
  <si>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</si>
  <si>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</si>
  <si>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</si>
  <si>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</si>
  <si>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</si>
  <si>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</si>
  <si>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</si>
  <si>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</si>
  <si>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</si>
  <si>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</si>
  <si>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</si>
  <si>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</si>
  <si>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</si>
  <si>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</si>
  <si>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</si>
  <si>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</si>
  <si>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</si>
  <si>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</si>
  <si>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</si>
  <si>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</si>
  <si>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</si>
  <si>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</si>
  <si>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</si>
  <si>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</si>
  <si>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</si>
  <si>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</t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</si>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</sst>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386</xdr:row>
      <xdr:rowOff>33337</xdr:rowOff>
    </xdr:from>
    <xdr:to>
      <xdr:col>16</xdr:col>
      <xdr:colOff>38100</xdr:colOff>
      <xdr:row>386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388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387</xdr:row>
      <xdr:rowOff>35719</xdr:rowOff>
    </xdr:from>
    <xdr:to>
      <xdr:col>21</xdr:col>
      <xdr:colOff>133350</xdr:colOff>
      <xdr:row>388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22"/>
  <sheetViews>
    <sheetView tabSelected="1" zoomScale="115" zoomScaleNormal="115" workbookViewId="0">
      <pane ySplit="4920" topLeftCell="A139" activePane="bottomLeft"/>
      <selection activeCell="H12" sqref="H12"/>
      <selection pane="bottomLeft" activeCell="J150" sqref="J150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59" t="s">
        <v>139</v>
      </c>
      <c r="F149" s="59" t="s">
        <v>135</v>
      </c>
      <c r="G149" s="60" t="s">
        <v>164</v>
      </c>
      <c r="H149" s="61">
        <v>44007</v>
      </c>
      <c r="I149" s="62">
        <v>1</v>
      </c>
      <c r="J149" s="63" t="s">
        <v>528</v>
      </c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99" t="str">
        <f>IF(G150&lt;&gt;"",SUBTOTAL(3,$G$5:G150),"")</f>
        <v/>
      </c>
      <c r="C150" s="58"/>
      <c r="D150" s="58"/>
      <c r="E150" s="59"/>
      <c r="F150" s="59"/>
      <c r="G150" s="60"/>
      <c r="H150" s="61"/>
      <c r="I150" s="70">
        <v>1</v>
      </c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99" t="str">
        <f>IF(G151&lt;&gt;"",SUBTOTAL(3,$G$5:G151),"")</f>
        <v/>
      </c>
      <c r="C151" s="58"/>
      <c r="D151" s="58"/>
      <c r="E151" s="59"/>
      <c r="F151" s="59"/>
      <c r="G151" s="60"/>
      <c r="H151" s="61"/>
      <c r="I151" s="70">
        <v>1</v>
      </c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99" t="str">
        <f>IF(G152&lt;&gt;"",SUBTOTAL(3,$G$5:G152),"")</f>
        <v/>
      </c>
      <c r="C152" s="58"/>
      <c r="D152" s="58"/>
      <c r="E152" s="59"/>
      <c r="F152" s="59"/>
      <c r="G152" s="60"/>
      <c r="H152" s="61"/>
      <c r="I152" s="70">
        <v>1</v>
      </c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40</v>
      </c>
      <c r="C153" s="58"/>
      <c r="D153" s="58"/>
      <c r="E153" s="59" t="s">
        <v>139</v>
      </c>
      <c r="F153" s="59" t="s">
        <v>135</v>
      </c>
      <c r="G153" s="60" t="s">
        <v>165</v>
      </c>
      <c r="H153" s="61">
        <v>44006</v>
      </c>
      <c r="I153" s="62">
        <v>0.5</v>
      </c>
      <c r="J153" s="63" t="s">
        <v>538</v>
      </c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99" t="str">
        <f>IF(G154&lt;&gt;"",SUBTOTAL(3,$G$5:G154),"")</f>
        <v/>
      </c>
      <c r="C154" s="58"/>
      <c r="D154" s="58"/>
      <c r="E154" s="59"/>
      <c r="F154" s="59"/>
      <c r="G154" s="60"/>
      <c r="H154" s="61"/>
      <c r="I154" s="68">
        <v>0.5</v>
      </c>
      <c r="J154" s="63" t="s">
        <v>536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68">
        <v>0.5</v>
      </c>
      <c r="J155" s="63" t="s">
        <v>537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68">
        <v>0.5</v>
      </c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41</v>
      </c>
      <c r="C157" s="58"/>
      <c r="D157" s="58"/>
      <c r="E157" s="59" t="s">
        <v>139</v>
      </c>
      <c r="F157" s="59" t="s">
        <v>135</v>
      </c>
      <c r="G157" s="60" t="s">
        <v>166</v>
      </c>
      <c r="H157" s="61">
        <v>44003</v>
      </c>
      <c r="I157" s="62">
        <v>1</v>
      </c>
      <c r="J157" s="63" t="s">
        <v>534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ht="17.25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535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58">
        <f>IF(G160&lt;&gt;"",SUBTOTAL(3,$G$6:G160),"")</f>
        <v>42</v>
      </c>
      <c r="C160" s="58"/>
      <c r="D160" s="58"/>
      <c r="E160" s="59" t="s">
        <v>139</v>
      </c>
      <c r="F160" s="59" t="s">
        <v>135</v>
      </c>
      <c r="G160" s="60" t="s">
        <v>167</v>
      </c>
      <c r="H160" s="61">
        <v>44000</v>
      </c>
      <c r="I160" s="62">
        <v>1</v>
      </c>
      <c r="J160" s="63" t="s">
        <v>529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530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 t="s">
        <v>531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IF(G163&lt;&gt;"",SUBTOTAL(3,$G$5:G163),"")</f>
        <v/>
      </c>
      <c r="C163" s="58"/>
      <c r="D163" s="58"/>
      <c r="E163" s="59"/>
      <c r="F163" s="59"/>
      <c r="G163" s="60"/>
      <c r="H163" s="61"/>
      <c r="I163" s="70">
        <v>1</v>
      </c>
      <c r="J163" s="63" t="s">
        <v>532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533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58">
        <f>IF(G166&lt;&gt;"",SUBTOTAL(3,$G$6:G166),"")</f>
        <v>43</v>
      </c>
      <c r="C166" s="58"/>
      <c r="D166" s="58"/>
      <c r="E166" s="59" t="s">
        <v>139</v>
      </c>
      <c r="F166" s="59" t="s">
        <v>135</v>
      </c>
      <c r="G166" s="60" t="s">
        <v>168</v>
      </c>
      <c r="H166" s="61">
        <v>43996</v>
      </c>
      <c r="I166" s="62">
        <v>1</v>
      </c>
      <c r="J166" s="63" t="s">
        <v>525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 t="s">
        <v>526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 t="s">
        <v>527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70">
        <v>1</v>
      </c>
      <c r="J169" s="63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58">
        <f>IF(G170&lt;&gt;"",SUBTOTAL(3,$G$6:G170),"")</f>
        <v>44</v>
      </c>
      <c r="C170" s="58"/>
      <c r="D170" s="58"/>
      <c r="E170" s="59" t="s">
        <v>139</v>
      </c>
      <c r="F170" s="59" t="s">
        <v>135</v>
      </c>
      <c r="G170" s="60" t="s">
        <v>169</v>
      </c>
      <c r="H170" s="61">
        <v>43996</v>
      </c>
      <c r="I170" s="62">
        <v>1</v>
      </c>
      <c r="J170" s="63" t="s">
        <v>521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 t="s">
        <v>522</v>
      </c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ht="15.75" x14ac:dyDescent="0.15">
      <c r="B172" s="99" t="str">
        <f>IF(G172&lt;&gt;"",SUBTOTAL(3,$G$5:G172),"")</f>
        <v/>
      </c>
      <c r="C172" s="58"/>
      <c r="D172" s="58"/>
      <c r="E172" s="59"/>
      <c r="F172" s="59"/>
      <c r="G172" s="60"/>
      <c r="H172" s="61"/>
      <c r="I172" s="70">
        <v>1</v>
      </c>
      <c r="J172" s="63" t="s">
        <v>523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IF(G173&lt;&gt;"",SUBTOTAL(3,$G$5:G173),"")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524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58">
        <f>IF(G175&lt;&gt;"",SUBTOTAL(3,$G$6:G175),"")</f>
        <v>45</v>
      </c>
      <c r="C175" s="58"/>
      <c r="D175" s="58"/>
      <c r="E175" s="59" t="s">
        <v>139</v>
      </c>
      <c r="F175" s="59" t="s">
        <v>135</v>
      </c>
      <c r="G175" s="60" t="s">
        <v>170</v>
      </c>
      <c r="H175" s="61">
        <v>43996</v>
      </c>
      <c r="I175" s="62">
        <v>1</v>
      </c>
      <c r="J175" s="63" t="s">
        <v>517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99" t="str">
        <f>IF(G176&lt;&gt;"",SUBTOTAL(3,$G$5:G176),"")</f>
        <v/>
      </c>
      <c r="C176" s="58"/>
      <c r="D176" s="58"/>
      <c r="E176" s="59"/>
      <c r="F176" s="59"/>
      <c r="G176" s="60"/>
      <c r="H176" s="61"/>
      <c r="I176" s="70">
        <v>1</v>
      </c>
      <c r="J176" s="63" t="s">
        <v>520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IF(G177&lt;&gt;"",SUBTOTAL(3,$G$5:G177),"")</f>
        <v/>
      </c>
      <c r="C177" s="58"/>
      <c r="D177" s="58"/>
      <c r="E177" s="59"/>
      <c r="F177" s="59"/>
      <c r="G177" s="60"/>
      <c r="H177" s="61"/>
      <c r="I177" s="70">
        <v>1</v>
      </c>
      <c r="J177" s="63" t="s">
        <v>519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x14ac:dyDescent="0.15">
      <c r="B178" s="99" t="str">
        <f>IF(G178&lt;&gt;"",SUBTOTAL(3,$G$5:G178),"")</f>
        <v/>
      </c>
      <c r="C178" s="58"/>
      <c r="D178" s="58"/>
      <c r="E178" s="59"/>
      <c r="F178" s="59"/>
      <c r="G178" s="60"/>
      <c r="H178" s="61"/>
      <c r="I178" s="70">
        <v>1</v>
      </c>
      <c r="J178" s="63" t="s">
        <v>518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58">
        <f>IF(G180&lt;&gt;"",SUBTOTAL(3,$G$6:G180),"")</f>
        <v>46</v>
      </c>
      <c r="C180" s="58"/>
      <c r="D180" s="58"/>
      <c r="E180" s="59" t="s">
        <v>139</v>
      </c>
      <c r="F180" s="59" t="s">
        <v>135</v>
      </c>
      <c r="G180" s="60" t="s">
        <v>171</v>
      </c>
      <c r="H180" s="61">
        <v>43995</v>
      </c>
      <c r="I180" s="62">
        <v>1</v>
      </c>
      <c r="J180" s="63" t="s">
        <v>513</v>
      </c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99" t="str">
        <f>IF(G181&lt;&gt;"",SUBTOTAL(3,$G$5:G181),"")</f>
        <v/>
      </c>
      <c r="C181" s="58"/>
      <c r="D181" s="58"/>
      <c r="E181" s="59"/>
      <c r="F181" s="59"/>
      <c r="G181" s="60"/>
      <c r="H181" s="61"/>
      <c r="I181" s="70">
        <v>1</v>
      </c>
      <c r="J181" s="63" t="s">
        <v>514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99" t="str">
        <f>IF(G182&lt;&gt;"",SUBTOTAL(3,$G$5:G182),"")</f>
        <v/>
      </c>
      <c r="C182" s="58"/>
      <c r="D182" s="58"/>
      <c r="E182" s="59"/>
      <c r="F182" s="59"/>
      <c r="G182" s="60"/>
      <c r="H182" s="61"/>
      <c r="I182" s="70">
        <v>1</v>
      </c>
      <c r="J182" s="63" t="s">
        <v>515</v>
      </c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99" t="str">
        <f>IF(G183&lt;&gt;"",SUBTOTAL(3,$G$5:G183),"")</f>
        <v/>
      </c>
      <c r="C183" s="58"/>
      <c r="D183" s="58"/>
      <c r="E183" s="59"/>
      <c r="F183" s="59"/>
      <c r="G183" s="60"/>
      <c r="H183" s="61"/>
      <c r="I183" s="70">
        <v>1</v>
      </c>
      <c r="J183" s="63" t="s">
        <v>516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IF(G184&lt;&gt;"",SUBTOTAL(3,$G$5:G184),"")</f>
        <v/>
      </c>
      <c r="C184" s="58"/>
      <c r="D184" s="58"/>
      <c r="E184" s="59"/>
      <c r="F184" s="59"/>
      <c r="G184" s="60"/>
      <c r="H184" s="61"/>
      <c r="I184" s="70">
        <v>1</v>
      </c>
      <c r="J184" s="63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58">
        <f>IF(G185&lt;&gt;"",SUBTOTAL(3,$G$6:G185),"")</f>
        <v>47</v>
      </c>
      <c r="C185" s="58"/>
      <c r="D185" s="58"/>
      <c r="E185" s="59" t="s">
        <v>139</v>
      </c>
      <c r="F185" s="59" t="s">
        <v>135</v>
      </c>
      <c r="G185" s="60" t="s">
        <v>172</v>
      </c>
      <c r="H185" s="61">
        <v>43995</v>
      </c>
      <c r="I185" s="62">
        <v>1</v>
      </c>
      <c r="J185" s="63" t="s">
        <v>430</v>
      </c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99" t="str">
        <f>IF(G186&lt;&gt;"",SUBTOTAL(3,$G$6:G186),"")</f>
        <v/>
      </c>
      <c r="C186" s="58"/>
      <c r="D186" s="58"/>
      <c r="E186" s="59"/>
      <c r="F186" s="59"/>
      <c r="G186" s="60"/>
      <c r="H186" s="61"/>
      <c r="I186" s="70">
        <v>1</v>
      </c>
      <c r="J186" s="63" t="s">
        <v>428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x14ac:dyDescent="0.15">
      <c r="B187" s="99" t="str">
        <f>IF(G187&lt;&gt;"",SUBTOTAL(3,$G$6:G187),"")</f>
        <v/>
      </c>
      <c r="C187" s="58"/>
      <c r="D187" s="58"/>
      <c r="E187" s="59"/>
      <c r="F187" s="59"/>
      <c r="G187" s="60"/>
      <c r="H187" s="61"/>
      <c r="I187" s="70">
        <v>1</v>
      </c>
      <c r="J187" s="63" t="s">
        <v>429</v>
      </c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99" t="str">
        <f>IF(G188&lt;&gt;"",SUBTOTAL(3,$G$6:G188),"")</f>
        <v/>
      </c>
      <c r="C188" s="58"/>
      <c r="D188" s="58"/>
      <c r="E188" s="59"/>
      <c r="F188" s="59"/>
      <c r="G188" s="60"/>
      <c r="H188" s="61"/>
      <c r="I188" s="70">
        <v>1</v>
      </c>
      <c r="J188" s="63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58">
        <f>IF(G189&lt;&gt;"",SUBTOTAL(3,$G$6:G189),"")</f>
        <v>48</v>
      </c>
      <c r="C189" s="58"/>
      <c r="D189" s="58"/>
      <c r="E189" s="59" t="s">
        <v>139</v>
      </c>
      <c r="F189" s="59" t="s">
        <v>135</v>
      </c>
      <c r="G189" s="74" t="s">
        <v>173</v>
      </c>
      <c r="H189" s="61">
        <v>43982</v>
      </c>
      <c r="I189" s="62">
        <v>1</v>
      </c>
      <c r="J189" s="63" t="s">
        <v>448</v>
      </c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99" t="str">
        <f>IF(G190&lt;&gt;"",SUBTOTAL(3,$G$6:G190),"")</f>
        <v/>
      </c>
      <c r="C190" s="58"/>
      <c r="D190" s="58"/>
      <c r="E190" s="59"/>
      <c r="F190" s="59"/>
      <c r="G190" s="74"/>
      <c r="H190" s="61"/>
      <c r="I190" s="70">
        <v>1</v>
      </c>
      <c r="J190" s="63" t="s">
        <v>449</v>
      </c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x14ac:dyDescent="0.15">
      <c r="B191" s="99" t="str">
        <f>IF(G191&lt;&gt;"",SUBTOTAL(3,$G$6:G191),"")</f>
        <v/>
      </c>
      <c r="C191" s="58"/>
      <c r="D191" s="58"/>
      <c r="E191" s="59"/>
      <c r="F191" s="59"/>
      <c r="G191" s="74"/>
      <c r="H191" s="61"/>
      <c r="I191" s="70">
        <v>1</v>
      </c>
      <c r="J191" s="63" t="s">
        <v>450</v>
      </c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5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60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</row>
    <row r="192" spans="2:130" x14ac:dyDescent="0.15">
      <c r="B192" s="99" t="str">
        <f>IF(G192&lt;&gt;"",SUBTOTAL(3,$G$6:G192),"")</f>
        <v/>
      </c>
      <c r="C192" s="58"/>
      <c r="D192" s="58"/>
      <c r="E192" s="59"/>
      <c r="F192" s="59"/>
      <c r="G192" s="74"/>
      <c r="H192" s="61"/>
      <c r="I192" s="70">
        <v>1</v>
      </c>
      <c r="J192" s="63" t="s">
        <v>451</v>
      </c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5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60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</row>
    <row r="193" spans="2:130" x14ac:dyDescent="0.15">
      <c r="B193" s="99" t="str">
        <f>IF(G193&lt;&gt;"",SUBTOTAL(3,$G$6:G193),"")</f>
        <v/>
      </c>
      <c r="C193" s="58"/>
      <c r="D193" s="58"/>
      <c r="E193" s="59"/>
      <c r="F193" s="59"/>
      <c r="G193" s="74"/>
      <c r="H193" s="61"/>
      <c r="I193" s="70">
        <v>1</v>
      </c>
      <c r="J193" s="63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5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60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</row>
    <row r="194" spans="2:130" s="46" customFormat="1" ht="13.5" customHeight="1" x14ac:dyDescent="0.15">
      <c r="B194" s="75">
        <f>IF(G194&lt;&gt;"",SUBTOTAL(3,$G$6:G194),"")</f>
        <v>49</v>
      </c>
      <c r="C194" s="75"/>
      <c r="D194" s="75"/>
      <c r="E194" s="76" t="s">
        <v>139</v>
      </c>
      <c r="F194" s="76" t="s">
        <v>135</v>
      </c>
      <c r="G194" s="74" t="s">
        <v>174</v>
      </c>
      <c r="H194" s="61">
        <v>43995</v>
      </c>
      <c r="I194" s="62">
        <v>1</v>
      </c>
      <c r="J194" s="77" t="s">
        <v>418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99" t="str">
        <f>IF(G195&lt;&gt;"",SUBTOTAL(3,$G$6:G195),"")</f>
        <v/>
      </c>
      <c r="C195" s="75"/>
      <c r="D195" s="75"/>
      <c r="E195" s="76"/>
      <c r="F195" s="76"/>
      <c r="G195" s="74"/>
      <c r="H195" s="61"/>
      <c r="I195" s="70">
        <v>1</v>
      </c>
      <c r="J195" s="77" t="s">
        <v>419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x14ac:dyDescent="0.15">
      <c r="B197" s="75">
        <f>IF(G197&lt;&gt;"",SUBTOTAL(3,$G$6:G197),"")</f>
        <v>50</v>
      </c>
      <c r="C197" s="75"/>
      <c r="D197" s="75"/>
      <c r="E197" s="76" t="s">
        <v>139</v>
      </c>
      <c r="F197" s="76" t="s">
        <v>135</v>
      </c>
      <c r="G197" s="74" t="s">
        <v>175</v>
      </c>
      <c r="H197" s="61">
        <v>43955</v>
      </c>
      <c r="I197" s="62">
        <v>1</v>
      </c>
      <c r="J197" s="63" t="s">
        <v>465</v>
      </c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5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x14ac:dyDescent="0.15">
      <c r="B198" s="75" t="str">
        <f>IF(G198&lt;&gt;"",SUBTOTAL(3,$G$6:G198),"")</f>
        <v/>
      </c>
      <c r="C198" s="75"/>
      <c r="D198" s="75"/>
      <c r="E198" s="76"/>
      <c r="F198" s="76"/>
      <c r="G198" s="74"/>
      <c r="H198" s="61"/>
      <c r="I198" s="70">
        <v>1</v>
      </c>
      <c r="J198" s="63" t="s">
        <v>466</v>
      </c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5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x14ac:dyDescent="0.15">
      <c r="B199" s="75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63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5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IF(G200&lt;&gt;"",SUBTOTAL(3,$G$6:G200),"")</f>
        <v>51</v>
      </c>
      <c r="C200" s="75"/>
      <c r="D200" s="75"/>
      <c r="E200" s="76" t="s">
        <v>139</v>
      </c>
      <c r="F200" s="76" t="s">
        <v>135</v>
      </c>
      <c r="G200" s="74" t="s">
        <v>176</v>
      </c>
      <c r="H200" s="61">
        <v>43967</v>
      </c>
      <c r="I200" s="100">
        <v>1</v>
      </c>
      <c r="J200" s="77" t="s">
        <v>406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 t="s">
        <v>407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IF(G202&lt;&gt;"",SUBTOTAL(3,$G$6:G202),"")</f>
        <v>52</v>
      </c>
      <c r="C202" s="75"/>
      <c r="D202" s="75"/>
      <c r="E202" s="76" t="s">
        <v>139</v>
      </c>
      <c r="F202" s="76" t="s">
        <v>135</v>
      </c>
      <c r="G202" s="74" t="s">
        <v>177</v>
      </c>
      <c r="H202" s="61">
        <v>43870</v>
      </c>
      <c r="I202" s="62">
        <v>1</v>
      </c>
      <c r="J202" s="77" t="s">
        <v>403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68"/>
      <c r="J203" s="77" t="s">
        <v>404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68"/>
      <c r="J204" s="77" t="s">
        <v>405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68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x14ac:dyDescent="0.15">
      <c r="B206" s="75">
        <f>IF(G206&lt;&gt;"",SUBTOTAL(3,$G$6:G206),"")</f>
        <v>53</v>
      </c>
      <c r="C206" s="75"/>
      <c r="D206" s="75"/>
      <c r="E206" s="76" t="s">
        <v>139</v>
      </c>
      <c r="F206" s="76" t="s">
        <v>135</v>
      </c>
      <c r="G206" s="74" t="s">
        <v>178</v>
      </c>
      <c r="H206" s="61">
        <v>43869</v>
      </c>
      <c r="I206" s="62">
        <v>1</v>
      </c>
      <c r="J206" s="77" t="s">
        <v>473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x14ac:dyDescent="0.15">
      <c r="B208" s="75">
        <f>IF(G208&lt;&gt;"",SUBTOTAL(3,$G$6:G208),"")</f>
        <v>54</v>
      </c>
      <c r="C208" s="75"/>
      <c r="D208" s="75"/>
      <c r="E208" s="76" t="s">
        <v>139</v>
      </c>
      <c r="F208" s="76" t="s">
        <v>135</v>
      </c>
      <c r="G208" s="74" t="s">
        <v>89</v>
      </c>
      <c r="H208" s="61">
        <v>43961</v>
      </c>
      <c r="I208" s="62">
        <v>1</v>
      </c>
      <c r="J208" s="105" t="s">
        <v>463</v>
      </c>
      <c r="K208" s="106"/>
      <c r="L208" s="106"/>
      <c r="M208" s="106"/>
      <c r="N208" s="106"/>
      <c r="O208" s="106"/>
      <c r="P208" s="106"/>
      <c r="Q208" s="106"/>
      <c r="R208" s="106"/>
      <c r="S208" s="106"/>
      <c r="T208" s="106"/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06"/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7"/>
      <c r="AS208" s="63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5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x14ac:dyDescent="0.15">
      <c r="B209" s="75" t="str">
        <f>IF(G209&lt;&gt;"",SUBTOTAL(3,$G$6:G209),"")</f>
        <v/>
      </c>
      <c r="C209" s="75"/>
      <c r="D209" s="75"/>
      <c r="E209" s="76"/>
      <c r="F209" s="76"/>
      <c r="G209" s="74"/>
      <c r="H209" s="61"/>
      <c r="I209" s="70">
        <v>1</v>
      </c>
      <c r="J209" s="105" t="s">
        <v>464</v>
      </c>
      <c r="K209" s="106"/>
      <c r="L209" s="106"/>
      <c r="M209" s="106"/>
      <c r="N209" s="106"/>
      <c r="O209" s="106"/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06"/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7"/>
      <c r="AS209" s="63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5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x14ac:dyDescent="0.15">
      <c r="B210" s="75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105"/>
      <c r="K210" s="106"/>
      <c r="L210" s="106"/>
      <c r="M210" s="106"/>
      <c r="N210" s="106"/>
      <c r="O210" s="106"/>
      <c r="P210" s="106"/>
      <c r="Q210" s="106"/>
      <c r="R210" s="106"/>
      <c r="S210" s="106"/>
      <c r="T210" s="106"/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06"/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7"/>
      <c r="AS210" s="63"/>
      <c r="AT210" s="64"/>
      <c r="AU210" s="64"/>
      <c r="AV210" s="64"/>
      <c r="AW210" s="64"/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5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IF(G211&lt;&gt;"",SUBTOTAL(3,$G$6:G211),"")</f>
        <v>55</v>
      </c>
      <c r="C211" s="75"/>
      <c r="D211" s="75"/>
      <c r="E211" s="76" t="s">
        <v>139</v>
      </c>
      <c r="F211" s="76" t="s">
        <v>135</v>
      </c>
      <c r="G211" s="74" t="s">
        <v>179</v>
      </c>
      <c r="H211" s="61">
        <v>43961</v>
      </c>
      <c r="I211" s="62">
        <v>1</v>
      </c>
      <c r="J211" s="77" t="s">
        <v>452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9" t="s">
        <v>13</v>
      </c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99" t="str">
        <f>IF(G212&lt;&gt;"",SUBTOTAL(3,$G$6:G212),"")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453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9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454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9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9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56</v>
      </c>
      <c r="C215" s="75"/>
      <c r="D215" s="75"/>
      <c r="E215" s="76" t="s">
        <v>139</v>
      </c>
      <c r="F215" s="76" t="s">
        <v>135</v>
      </c>
      <c r="G215" s="74" t="s">
        <v>180</v>
      </c>
      <c r="H215" s="61">
        <v>43995</v>
      </c>
      <c r="I215" s="62">
        <v>1</v>
      </c>
      <c r="J215" s="77" t="s">
        <v>420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421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IF(G217&lt;&gt;"",SUBTOTAL(3,$G$6:G217),"")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422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IF(G219&lt;&gt;"",SUBTOTAL(3,$G$6:G219),"")</f>
        <v>57</v>
      </c>
      <c r="C219" s="75"/>
      <c r="D219" s="75"/>
      <c r="E219" s="76" t="s">
        <v>139</v>
      </c>
      <c r="F219" s="76" t="s">
        <v>135</v>
      </c>
      <c r="G219" s="74" t="s">
        <v>181</v>
      </c>
      <c r="H219" s="61">
        <v>43961</v>
      </c>
      <c r="I219" s="62">
        <v>1</v>
      </c>
      <c r="J219" s="77" t="s">
        <v>455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456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IF(G221&lt;&gt;"",SUBTOTAL(3,$G$6:G221),"")</f>
        <v/>
      </c>
      <c r="C221" s="75"/>
      <c r="D221" s="75"/>
      <c r="E221" s="76"/>
      <c r="F221" s="76"/>
      <c r="G221" s="74"/>
      <c r="H221" s="61"/>
      <c r="I221" s="70">
        <v>1</v>
      </c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IF(G222&lt;&gt;"",SUBTOTAL(3,$G$6:G222),"")</f>
        <v>58</v>
      </c>
      <c r="C222" s="75"/>
      <c r="D222" s="75"/>
      <c r="E222" s="76" t="s">
        <v>139</v>
      </c>
      <c r="F222" s="76" t="s">
        <v>135</v>
      </c>
      <c r="G222" s="74" t="s">
        <v>182</v>
      </c>
      <c r="H222" s="61">
        <v>43995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59</v>
      </c>
      <c r="C223" s="75"/>
      <c r="D223" s="75"/>
      <c r="E223" s="76" t="s">
        <v>139</v>
      </c>
      <c r="F223" s="76" t="s">
        <v>135</v>
      </c>
      <c r="G223" s="74" t="s">
        <v>183</v>
      </c>
      <c r="H223" s="61">
        <v>44006</v>
      </c>
      <c r="I223" s="62"/>
      <c r="J223" s="77" t="s">
        <v>457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9" t="s">
        <v>13</v>
      </c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68"/>
      <c r="J224" s="77" t="s">
        <v>458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9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IF(G225&lt;&gt;"",SUBTOTAL(3,$G$6:G225),"")</f>
        <v/>
      </c>
      <c r="C225" s="75"/>
      <c r="D225" s="75"/>
      <c r="E225" s="76"/>
      <c r="F225" s="76"/>
      <c r="G225" s="74"/>
      <c r="H225" s="61"/>
      <c r="I225" s="68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9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60</v>
      </c>
      <c r="C226" s="75"/>
      <c r="D226" s="75"/>
      <c r="E226" s="76" t="s">
        <v>139</v>
      </c>
      <c r="F226" s="76" t="s">
        <v>135</v>
      </c>
      <c r="G226" s="74" t="s">
        <v>15</v>
      </c>
      <c r="H226" s="61">
        <v>43995</v>
      </c>
      <c r="I226" s="62">
        <v>1</v>
      </c>
      <c r="J226" s="77" t="s">
        <v>408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9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409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9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9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IF(G229&lt;&gt;"",SUBTOTAL(3,$G$6:G229),"")</f>
        <v>61</v>
      </c>
      <c r="C229" s="75"/>
      <c r="D229" s="75"/>
      <c r="E229" s="76" t="s">
        <v>139</v>
      </c>
      <c r="F229" s="76" t="s">
        <v>135</v>
      </c>
      <c r="G229" s="74" t="s">
        <v>184</v>
      </c>
      <c r="H229" s="61">
        <v>43871</v>
      </c>
      <c r="I229" s="62">
        <v>1</v>
      </c>
      <c r="J229" s="77" t="s">
        <v>416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9" t="s">
        <v>13</v>
      </c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 t="s">
        <v>417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9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9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62</v>
      </c>
      <c r="C232" s="75"/>
      <c r="D232" s="75"/>
      <c r="E232" s="76" t="s">
        <v>139</v>
      </c>
      <c r="F232" s="76" t="s">
        <v>135</v>
      </c>
      <c r="G232" s="74" t="s">
        <v>185</v>
      </c>
      <c r="H232" s="61">
        <v>43936</v>
      </c>
      <c r="I232" s="62">
        <v>1</v>
      </c>
      <c r="J232" s="77" t="s">
        <v>412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413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414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415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75">
        <f>IF(G237&lt;&gt;"",SUBTOTAL(3,$G$6:G237),"")</f>
        <v>63</v>
      </c>
      <c r="C237" s="75"/>
      <c r="D237" s="75"/>
      <c r="E237" s="76" t="s">
        <v>139</v>
      </c>
      <c r="F237" s="76" t="s">
        <v>135</v>
      </c>
      <c r="G237" s="74" t="s">
        <v>186</v>
      </c>
      <c r="H237" s="61">
        <v>43935</v>
      </c>
      <c r="I237" s="62">
        <v>1</v>
      </c>
      <c r="J237" s="77" t="s">
        <v>411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410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64</v>
      </c>
      <c r="C240" s="75"/>
      <c r="D240" s="75"/>
      <c r="E240" s="76" t="s">
        <v>139</v>
      </c>
      <c r="F240" s="76" t="s">
        <v>135</v>
      </c>
      <c r="G240" s="74" t="s">
        <v>187</v>
      </c>
      <c r="H240" s="61">
        <v>43919</v>
      </c>
      <c r="I240" s="62">
        <v>1</v>
      </c>
      <c r="J240" s="77" t="s">
        <v>509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511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510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512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65</v>
      </c>
      <c r="C245" s="75"/>
      <c r="D245" s="75"/>
      <c r="E245" s="76" t="s">
        <v>139</v>
      </c>
      <c r="F245" s="76" t="s">
        <v>135</v>
      </c>
      <c r="G245" s="74" t="s">
        <v>188</v>
      </c>
      <c r="H245" s="61">
        <v>43995</v>
      </c>
      <c r="I245" s="62">
        <v>1</v>
      </c>
      <c r="J245" s="77" t="s">
        <v>423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IF(G246&lt;&gt;"",SUBTOTAL(3,$G$6:G246),"")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IF(G247&lt;&gt;"",SUBTOTAL(3,$G$6:G247),"")</f>
        <v>66</v>
      </c>
      <c r="C247" s="75"/>
      <c r="D247" s="75"/>
      <c r="E247" s="76" t="s">
        <v>139</v>
      </c>
      <c r="F247" s="76" t="s">
        <v>135</v>
      </c>
      <c r="G247" s="74" t="s">
        <v>189</v>
      </c>
      <c r="H247" s="61">
        <v>43975</v>
      </c>
      <c r="I247" s="62">
        <v>1</v>
      </c>
      <c r="J247" s="77" t="s">
        <v>507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508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67</v>
      </c>
      <c r="C250" s="75"/>
      <c r="D250" s="75"/>
      <c r="E250" s="76" t="s">
        <v>139</v>
      </c>
      <c r="F250" s="76" t="s">
        <v>135</v>
      </c>
      <c r="G250" s="74" t="s">
        <v>190</v>
      </c>
      <c r="H250" s="61">
        <v>43975</v>
      </c>
      <c r="I250" s="62">
        <v>1</v>
      </c>
      <c r="J250" s="77" t="s">
        <v>506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505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 t="s">
        <v>504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/>
      <c r="C253" s="75"/>
      <c r="D253" s="75"/>
      <c r="E253" s="76"/>
      <c r="F253" s="76"/>
      <c r="G253" s="74"/>
      <c r="H253" s="61"/>
      <c r="I253" s="70"/>
      <c r="J253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75">
        <f>IF(G255&lt;&gt;"",SUBTOTAL(3,$G$6:G255),"")</f>
        <v>68</v>
      </c>
      <c r="C255" s="75"/>
      <c r="D255" s="75"/>
      <c r="E255" s="76" t="s">
        <v>139</v>
      </c>
      <c r="F255" s="76" t="s">
        <v>135</v>
      </c>
      <c r="G255" s="74" t="s">
        <v>191</v>
      </c>
      <c r="H255" s="61">
        <v>43975</v>
      </c>
      <c r="I255" s="62">
        <v>1</v>
      </c>
      <c r="J255" s="77" t="s">
        <v>494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IF(G256&lt;&gt;"",SUBTOTAL(3,$G$5:G256),"")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502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503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IF(G258&lt;&gt;"",SUBTOTAL(3,$G$5:G258),"")</f>
        <v/>
      </c>
      <c r="C258" s="75"/>
      <c r="D258" s="75"/>
      <c r="E258" s="76"/>
      <c r="F258" s="76"/>
      <c r="G258" s="74"/>
      <c r="H258" s="61"/>
      <c r="I258" s="70">
        <v>1</v>
      </c>
      <c r="J258" s="77" t="s">
        <v>496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497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495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498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500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501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499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IF(G266&lt;&gt;"",SUBTOTAL(3,$G$6:G266),"")</f>
        <v>69</v>
      </c>
      <c r="C266" s="75"/>
      <c r="D266" s="75"/>
      <c r="E266" s="76" t="s">
        <v>139</v>
      </c>
      <c r="F266" s="76" t="s">
        <v>135</v>
      </c>
      <c r="G266" s="74" t="s">
        <v>192</v>
      </c>
      <c r="H266" s="61">
        <v>43975</v>
      </c>
      <c r="I266" s="62">
        <v>1</v>
      </c>
      <c r="J266" s="77" t="s">
        <v>424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425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75">
        <f>IF(G269&lt;&gt;"",SUBTOTAL(3,$G$6:G269),"")</f>
        <v>70</v>
      </c>
      <c r="C269" s="75"/>
      <c r="D269" s="75"/>
      <c r="E269" s="76" t="s">
        <v>139</v>
      </c>
      <c r="F269" s="76" t="s">
        <v>135</v>
      </c>
      <c r="G269" s="74" t="s">
        <v>193</v>
      </c>
      <c r="H269" s="61">
        <v>43977</v>
      </c>
      <c r="I269" s="62">
        <v>1</v>
      </c>
      <c r="J269" s="77" t="s">
        <v>426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IF(G270&lt;&gt;"",SUBTOTAL(3,$G$6:G270),"")</f>
        <v/>
      </c>
      <c r="C270" s="75"/>
      <c r="D270" s="75"/>
      <c r="E270" s="76"/>
      <c r="F270" s="76"/>
      <c r="G270" s="74"/>
      <c r="H270" s="61"/>
      <c r="I270" s="70">
        <v>1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IF(G271&lt;&gt;"",SUBTOTAL(3,$G$6:G271),"")</f>
        <v>71</v>
      </c>
      <c r="C271" s="75"/>
      <c r="D271" s="75"/>
      <c r="E271" s="76" t="s">
        <v>139</v>
      </c>
      <c r="F271" s="76" t="s">
        <v>135</v>
      </c>
      <c r="G271" s="74" t="s">
        <v>194</v>
      </c>
      <c r="H271" s="61">
        <v>43977</v>
      </c>
      <c r="I271" s="62">
        <v>1</v>
      </c>
      <c r="J271" s="77" t="s">
        <v>427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75">
        <f>IF(G273&lt;&gt;"",SUBTOTAL(3,$G$6:G273),"")</f>
        <v>72</v>
      </c>
      <c r="C273" s="75"/>
      <c r="D273" s="75"/>
      <c r="E273" s="76" t="s">
        <v>139</v>
      </c>
      <c r="F273" s="76" t="s">
        <v>135</v>
      </c>
      <c r="G273" s="74" t="s">
        <v>195</v>
      </c>
      <c r="H273" s="61">
        <v>43977</v>
      </c>
      <c r="I273" s="62">
        <v>1</v>
      </c>
      <c r="J273" s="77" t="s">
        <v>459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IF(G275&lt;&gt;"",SUBTOTAL(3,$G$6:G275),"")</f>
        <v>73</v>
      </c>
      <c r="C275" s="75"/>
      <c r="D275" s="75"/>
      <c r="E275" s="76" t="s">
        <v>139</v>
      </c>
      <c r="F275" s="76" t="s">
        <v>135</v>
      </c>
      <c r="G275" s="74" t="s">
        <v>196</v>
      </c>
      <c r="H275" s="61">
        <v>43995</v>
      </c>
      <c r="I275" s="62">
        <v>1</v>
      </c>
      <c r="J275" s="77" t="s">
        <v>431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70">
        <v>1</v>
      </c>
      <c r="J276" s="77" t="s">
        <v>432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433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75">
        <f>IF(G279&lt;&gt;"",SUBTOTAL(3,$G$6:G279),"")</f>
        <v>74</v>
      </c>
      <c r="C279" s="75"/>
      <c r="D279" s="75"/>
      <c r="E279" s="76" t="s">
        <v>139</v>
      </c>
      <c r="F279" s="76" t="s">
        <v>135</v>
      </c>
      <c r="G279" s="74" t="s">
        <v>197</v>
      </c>
      <c r="H279" s="61">
        <v>43982</v>
      </c>
      <c r="I279" s="62">
        <v>1</v>
      </c>
      <c r="J279" s="77" t="s">
        <v>434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IF(G281&lt;&gt;"",SUBTOTAL(3,$G$6:G281),"")</f>
        <v>75</v>
      </c>
      <c r="C281" s="75"/>
      <c r="D281" s="75"/>
      <c r="E281" s="76" t="s">
        <v>139</v>
      </c>
      <c r="F281" s="76" t="s">
        <v>135</v>
      </c>
      <c r="G281" s="74" t="s">
        <v>198</v>
      </c>
      <c r="H281" s="61">
        <v>43989</v>
      </c>
      <c r="I281" s="62">
        <v>1</v>
      </c>
      <c r="J281" s="77" t="s">
        <v>435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75">
        <f>IF(G283&lt;&gt;"",SUBTOTAL(3,$G$6:G283),"")</f>
        <v>76</v>
      </c>
      <c r="C283" s="75"/>
      <c r="D283" s="75"/>
      <c r="E283" s="76" t="s">
        <v>139</v>
      </c>
      <c r="F283" s="76" t="s">
        <v>135</v>
      </c>
      <c r="G283" s="74" t="s">
        <v>199</v>
      </c>
      <c r="H283" s="61">
        <v>43989</v>
      </c>
      <c r="I283" s="62">
        <v>0.5</v>
      </c>
      <c r="J283" s="77" t="s">
        <v>437</v>
      </c>
      <c r="K283" s="101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 t="s">
        <v>436</v>
      </c>
      <c r="K284" s="101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0.5</v>
      </c>
      <c r="J285" s="77" t="s">
        <v>438</v>
      </c>
      <c r="K285" s="101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0.5</v>
      </c>
      <c r="J286" s="77" t="s">
        <v>439</v>
      </c>
      <c r="K286" s="101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0.5</v>
      </c>
      <c r="J287" s="77"/>
      <c r="K287" s="101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75">
        <f>IF(G288&lt;&gt;"",SUBTOTAL(3,$G$6:G288),"")</f>
        <v>77</v>
      </c>
      <c r="C288" s="75"/>
      <c r="D288" s="75"/>
      <c r="E288" s="76" t="s">
        <v>139</v>
      </c>
      <c r="F288" s="76" t="s">
        <v>135</v>
      </c>
      <c r="G288" s="74" t="s">
        <v>200</v>
      </c>
      <c r="H288" s="61">
        <v>43991</v>
      </c>
      <c r="I288" s="62">
        <v>1</v>
      </c>
      <c r="J288" s="77" t="s">
        <v>440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70">
        <v>1</v>
      </c>
      <c r="J289" s="77" t="s">
        <v>441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70">
        <v>1</v>
      </c>
      <c r="J290" s="77" t="s">
        <v>442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70">
        <v>1</v>
      </c>
      <c r="J291" s="77" t="s">
        <v>443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75">
        <f>IF(G293&lt;&gt;"",SUBTOTAL(3,$G$6:G293),"")</f>
        <v>78</v>
      </c>
      <c r="C293" s="75"/>
      <c r="D293" s="75"/>
      <c r="E293" s="76" t="s">
        <v>139</v>
      </c>
      <c r="F293" s="76" t="s">
        <v>135</v>
      </c>
      <c r="G293" s="74" t="s">
        <v>201</v>
      </c>
      <c r="H293" s="61">
        <v>43991</v>
      </c>
      <c r="I293" s="62">
        <v>1</v>
      </c>
      <c r="J293" s="77" t="s">
        <v>491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IF(G294&lt;&gt;"",SUBTOTAL(3,$G$5:G294),"")</f>
        <v/>
      </c>
      <c r="C294" s="75"/>
      <c r="D294" s="75"/>
      <c r="E294" s="76"/>
      <c r="F294" s="76"/>
      <c r="G294" s="74"/>
      <c r="H294" s="61"/>
      <c r="I294" s="70">
        <v>1</v>
      </c>
      <c r="J294" s="77" t="s">
        <v>492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IF(G295&lt;&gt;"",SUBTOTAL(3,$G$5:G295),"")</f>
        <v/>
      </c>
      <c r="C295" s="75"/>
      <c r="D295" s="75"/>
      <c r="E295" s="76"/>
      <c r="F295" s="76"/>
      <c r="G295" s="74"/>
      <c r="H295" s="61"/>
      <c r="I295" s="70">
        <v>1</v>
      </c>
      <c r="J295" s="77" t="s">
        <v>493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IF(G296&lt;&gt;"",SUBTOTAL(3,$G$5:G296),"")</f>
        <v/>
      </c>
      <c r="C296" s="75"/>
      <c r="D296" s="75"/>
      <c r="E296" s="76"/>
      <c r="F296" s="76"/>
      <c r="G296" s="74"/>
      <c r="H296" s="61"/>
      <c r="I296" s="70">
        <v>1</v>
      </c>
      <c r="J296" s="77" t="s">
        <v>490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IF(G297&lt;&gt;"",SUBTOTAL(3,$G$5:G297),"")</f>
        <v/>
      </c>
      <c r="C297" s="75"/>
      <c r="D297" s="75"/>
      <c r="E297" s="76"/>
      <c r="F297" s="76"/>
      <c r="G297" s="74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75">
        <f>IF(G298&lt;&gt;"",SUBTOTAL(3,$G$6:G298),"")</f>
        <v>79</v>
      </c>
      <c r="C298" s="75"/>
      <c r="D298" s="75"/>
      <c r="E298" s="76" t="s">
        <v>139</v>
      </c>
      <c r="F298" s="76" t="s">
        <v>135</v>
      </c>
      <c r="G298" s="74" t="s">
        <v>444</v>
      </c>
      <c r="H298" s="61">
        <v>43992</v>
      </c>
      <c r="I298" s="62">
        <v>0.8</v>
      </c>
      <c r="J298" s="77" t="s">
        <v>446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IF(G299&lt;&gt;"",SUBTOTAL(3,$G$6:G299),"")</f>
        <v/>
      </c>
      <c r="C299" s="75"/>
      <c r="D299" s="75"/>
      <c r="E299" s="76"/>
      <c r="F299" s="76"/>
      <c r="G299" s="74"/>
      <c r="H299" s="61"/>
      <c r="I299" s="68">
        <v>0.8</v>
      </c>
      <c r="J299" s="77" t="s">
        <v>445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0.8</v>
      </c>
      <c r="J300" s="77" t="s">
        <v>447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0.8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>
        <f>IF(G302&lt;&gt;"",SUBTOTAL(3,$G$6:G302),"")</f>
        <v>80</v>
      </c>
      <c r="C302" s="75"/>
      <c r="D302" s="75"/>
      <c r="E302" s="76" t="s">
        <v>139</v>
      </c>
      <c r="F302" s="76" t="s">
        <v>135</v>
      </c>
      <c r="G302" s="74" t="s">
        <v>202</v>
      </c>
      <c r="H302" s="61">
        <v>43994</v>
      </c>
      <c r="I302" s="62">
        <v>0.8</v>
      </c>
      <c r="J302" s="77" t="s">
        <v>312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0.8</v>
      </c>
      <c r="J303" s="77" t="s">
        <v>313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0.8</v>
      </c>
      <c r="J304" s="77" t="s">
        <v>314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0.8</v>
      </c>
      <c r="J305" s="77" t="s">
        <v>315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0.8</v>
      </c>
      <c r="J306" s="77" t="s">
        <v>316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0.8</v>
      </c>
      <c r="J307" s="77" t="s">
        <v>317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0.8</v>
      </c>
      <c r="J308" s="77" t="s">
        <v>318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0.8</v>
      </c>
      <c r="J309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0.8</v>
      </c>
      <c r="J310" s="37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9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75">
        <f>IF(G311&lt;&gt;"",SUBTOTAL(3,$G$6:G311),"")</f>
        <v>81</v>
      </c>
      <c r="C311" s="75"/>
      <c r="D311" s="75"/>
      <c r="E311" s="76" t="s">
        <v>139</v>
      </c>
      <c r="F311" s="76" t="s">
        <v>135</v>
      </c>
      <c r="G311" s="74" t="s">
        <v>203</v>
      </c>
      <c r="H311" s="61">
        <v>43995</v>
      </c>
      <c r="I311" s="62">
        <v>1</v>
      </c>
      <c r="J311" s="77" t="s">
        <v>487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3.5" customHeight="1" x14ac:dyDescent="0.15">
      <c r="B312" s="99" t="str">
        <f>IF(G312&lt;&gt;"",SUBTOTAL(3,$G$5:G312),"")</f>
        <v/>
      </c>
      <c r="C312" s="75"/>
      <c r="D312" s="75"/>
      <c r="E312" s="76"/>
      <c r="F312" s="76"/>
      <c r="G312" s="74"/>
      <c r="H312" s="61"/>
      <c r="I312" s="70">
        <v>1</v>
      </c>
      <c r="J312" s="77" t="s">
        <v>488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3.5" customHeight="1" x14ac:dyDescent="0.15">
      <c r="B313" s="99" t="str">
        <f>IF(G313&lt;&gt;"",SUBTOTAL(3,$G$6:G313),"")</f>
        <v/>
      </c>
      <c r="C313" s="75"/>
      <c r="D313" s="75"/>
      <c r="E313" s="76"/>
      <c r="F313" s="76"/>
      <c r="G313" s="74"/>
      <c r="H313" s="61"/>
      <c r="I313" s="70">
        <v>1</v>
      </c>
      <c r="J313" s="77" t="s">
        <v>489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99" t="str">
        <f>IF(G314&lt;&gt;"",SUBTOTAL(3,$G$6:G314),"")</f>
        <v/>
      </c>
      <c r="C314" s="75"/>
      <c r="D314" s="75"/>
      <c r="E314" s="76"/>
      <c r="F314" s="76"/>
      <c r="G314" s="74"/>
      <c r="H314" s="61"/>
      <c r="I314" s="70">
        <v>1</v>
      </c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>
        <f>IF(G315&lt;&gt;"",SUBTOTAL(3,$G$6:G315),"")</f>
        <v>82</v>
      </c>
      <c r="C315" s="75"/>
      <c r="D315" s="75"/>
      <c r="E315" s="76" t="s">
        <v>139</v>
      </c>
      <c r="F315" s="76" t="s">
        <v>135</v>
      </c>
      <c r="G315" s="74" t="s">
        <v>204</v>
      </c>
      <c r="H315" s="61">
        <v>43997</v>
      </c>
      <c r="I315" s="62">
        <v>1</v>
      </c>
      <c r="J315" s="77" t="s">
        <v>384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 t="s">
        <v>320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4"/>
      <c r="H316" s="61"/>
      <c r="I316" s="70">
        <v>1</v>
      </c>
      <c r="J316" s="77" t="s">
        <v>383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 t="s">
        <v>385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4"/>
      <c r="H317" s="61"/>
      <c r="I317" s="70">
        <v>1</v>
      </c>
      <c r="J317" s="77" t="s">
        <v>319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 t="s">
        <v>386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75">
        <f>IF(G318&lt;&gt;"",SUBTOTAL(3,$G$6:G318),"")</f>
        <v>83</v>
      </c>
      <c r="C318" s="75"/>
      <c r="D318" s="75"/>
      <c r="E318" s="76" t="s">
        <v>139</v>
      </c>
      <c r="F318" s="76" t="s">
        <v>135</v>
      </c>
      <c r="G318" s="74" t="s">
        <v>205</v>
      </c>
      <c r="H318" s="61">
        <v>44004</v>
      </c>
      <c r="I318" s="62">
        <v>0.5</v>
      </c>
      <c r="J318" s="77" t="s">
        <v>476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4"/>
      <c r="H319" s="61"/>
      <c r="I319" s="68">
        <v>0.5</v>
      </c>
      <c r="J319" s="77" t="s">
        <v>477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99" t="str">
        <f>IF(G320&lt;&gt;"",SUBTOTAL(3,$G$6:G320),"")</f>
        <v/>
      </c>
      <c r="C320" s="75"/>
      <c r="D320" s="75"/>
      <c r="E320" s="76"/>
      <c r="F320" s="76"/>
      <c r="G320" s="74"/>
      <c r="H320" s="61"/>
      <c r="I320" s="68">
        <v>0.5</v>
      </c>
      <c r="J320" s="77" t="s">
        <v>474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3.5" customHeight="1" x14ac:dyDescent="0.15">
      <c r="B321" s="99" t="str">
        <f>IF(G321&lt;&gt;"",SUBTOTAL(3,$G$6:G321),"")</f>
        <v/>
      </c>
      <c r="C321" s="75"/>
      <c r="D321" s="75"/>
      <c r="E321" s="76"/>
      <c r="F321" s="76"/>
      <c r="G321" s="74"/>
      <c r="H321" s="61"/>
      <c r="I321" s="68">
        <v>0.5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ht="13.5" customHeight="1" x14ac:dyDescent="0.15">
      <c r="B322" s="99" t="str">
        <f>IF(G322&lt;&gt;"",SUBTOTAL(3,$G$6:G322),"")</f>
        <v/>
      </c>
      <c r="C322" s="75"/>
      <c r="D322" s="75"/>
      <c r="E322" s="76"/>
      <c r="F322" s="76"/>
      <c r="G322" s="74"/>
      <c r="H322" s="61"/>
      <c r="I322" s="68">
        <v>0.5</v>
      </c>
      <c r="J322" s="77" t="s">
        <v>483</v>
      </c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ht="13.5" customHeight="1" x14ac:dyDescent="0.15">
      <c r="B323" s="99" t="str">
        <f>IF(G323&lt;&gt;"",SUBTOTAL(3,$G$6:G323),"")</f>
        <v/>
      </c>
      <c r="C323" s="75"/>
      <c r="D323" s="75"/>
      <c r="E323" s="76"/>
      <c r="F323" s="76"/>
      <c r="G323" s="74"/>
      <c r="H323" s="61"/>
      <c r="I323" s="68">
        <v>0.5</v>
      </c>
      <c r="J323" s="77" t="s">
        <v>484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3.5" customHeight="1" x14ac:dyDescent="0.15">
      <c r="B324" s="99" t="str">
        <f>IF(G324&lt;&gt;"",SUBTOTAL(3,$G$6:G324),"")</f>
        <v/>
      </c>
      <c r="C324" s="75"/>
      <c r="D324" s="75"/>
      <c r="E324" s="76"/>
      <c r="F324" s="76"/>
      <c r="G324" s="74"/>
      <c r="H324" s="61"/>
      <c r="I324" s="68">
        <v>0.5</v>
      </c>
      <c r="J324" s="77" t="s">
        <v>480</v>
      </c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99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0.5</v>
      </c>
      <c r="J325" s="77"/>
      <c r="K325" s="43" t="s">
        <v>481</v>
      </c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4"/>
      <c r="H326" s="61"/>
      <c r="I326" s="68">
        <v>0.5</v>
      </c>
      <c r="J326" s="77"/>
      <c r="K326" s="43" t="s">
        <v>482</v>
      </c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4"/>
      <c r="H327" s="61"/>
      <c r="I327" s="68">
        <v>0.5</v>
      </c>
      <c r="J327" s="77"/>
      <c r="K327" s="43" t="s">
        <v>475</v>
      </c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68">
        <v>0.5</v>
      </c>
      <c r="J328" s="77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4"/>
      <c r="H329" s="61"/>
      <c r="I329" s="68">
        <v>0.5</v>
      </c>
      <c r="J329" s="77"/>
      <c r="K329" s="43" t="s">
        <v>478</v>
      </c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4"/>
      <c r="H330" s="61"/>
      <c r="I330" s="68">
        <v>0.5</v>
      </c>
      <c r="J330" s="77"/>
      <c r="K330" s="43" t="s">
        <v>479</v>
      </c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4"/>
      <c r="H331" s="61"/>
      <c r="I331" s="68">
        <v>0.5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>
        <f>IF(G332&lt;&gt;"",SUBTOTAL(3,$G$6:G332),"")</f>
        <v>84</v>
      </c>
      <c r="C332" s="75"/>
      <c r="D332" s="75"/>
      <c r="E332" s="76" t="s">
        <v>139</v>
      </c>
      <c r="F332" s="76" t="s">
        <v>142</v>
      </c>
      <c r="G332" s="76" t="s">
        <v>206</v>
      </c>
      <c r="H332" s="61">
        <v>44030</v>
      </c>
      <c r="I332" s="62">
        <v>1</v>
      </c>
      <c r="J332" s="77" t="s">
        <v>321</v>
      </c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387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77" t="s">
        <v>322</v>
      </c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 t="s">
        <v>388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77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 t="s">
        <v>323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5.75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77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 t="s">
        <v>350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 t="s">
        <v>389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77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 t="s">
        <v>390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>
        <f>IF(G340&lt;&gt;"",SUBTOTAL(3,$G$6:G340),"")</f>
        <v>85</v>
      </c>
      <c r="C340" s="75"/>
      <c r="D340" s="75"/>
      <c r="E340" s="76" t="s">
        <v>139</v>
      </c>
      <c r="F340" s="76" t="s">
        <v>142</v>
      </c>
      <c r="G340" s="76" t="s">
        <v>213</v>
      </c>
      <c r="H340" s="61">
        <v>44052</v>
      </c>
      <c r="I340" s="62">
        <v>0.5</v>
      </c>
      <c r="J340" s="77" t="s">
        <v>324</v>
      </c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 t="s">
        <v>392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99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77" t="s">
        <v>351</v>
      </c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 t="s">
        <v>391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99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393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99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394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99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 t="s">
        <v>396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68">
        <v>0.5</v>
      </c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 t="s">
        <v>395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68">
        <v>0.5</v>
      </c>
      <c r="J346" s="77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 t="s">
        <v>397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68">
        <v>0.5</v>
      </c>
      <c r="J347" s="77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68">
        <v>0.5</v>
      </c>
      <c r="J348" s="77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ht="13.5" customHeight="1" x14ac:dyDescent="0.15">
      <c r="B349" s="75">
        <f>IF(G349&lt;&gt;"",SUBTOTAL(3,$G$6:G349),"")</f>
        <v>86</v>
      </c>
      <c r="C349" s="75"/>
      <c r="D349" s="75"/>
      <c r="E349" s="76" t="s">
        <v>139</v>
      </c>
      <c r="F349" s="76" t="s">
        <v>142</v>
      </c>
      <c r="G349" s="76" t="s">
        <v>220</v>
      </c>
      <c r="H349" s="61">
        <v>44062</v>
      </c>
      <c r="I349" s="62">
        <v>1</v>
      </c>
      <c r="J349" s="77" t="s">
        <v>468</v>
      </c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ht="13.5" customHeight="1" x14ac:dyDescent="0.15">
      <c r="B350" s="99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 t="s">
        <v>469</v>
      </c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ht="13.5" customHeight="1" x14ac:dyDescent="0.15">
      <c r="B351" s="99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77" t="s">
        <v>470</v>
      </c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ht="13.5" customHeight="1" x14ac:dyDescent="0.15">
      <c r="B352" s="99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77" t="s">
        <v>471</v>
      </c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ht="13.5" customHeight="1" x14ac:dyDescent="0.15">
      <c r="B353" s="99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 t="s">
        <v>472</v>
      </c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ht="13.5" customHeight="1" x14ac:dyDescent="0.15">
      <c r="B354" s="99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3.5" customHeight="1" x14ac:dyDescent="0.15">
      <c r="B355" s="75">
        <f>IF(G355&lt;&gt;"",SUBTOTAL(3,$G$6:G355),"")</f>
        <v>87</v>
      </c>
      <c r="C355" s="75"/>
      <c r="D355" s="75"/>
      <c r="E355" s="76" t="s">
        <v>139</v>
      </c>
      <c r="F355" s="76" t="s">
        <v>142</v>
      </c>
      <c r="G355" s="76" t="s">
        <v>221</v>
      </c>
      <c r="H355" s="61">
        <v>44071</v>
      </c>
      <c r="I355" s="62">
        <v>1</v>
      </c>
      <c r="J355" s="77" t="s">
        <v>467</v>
      </c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3.5" customHeight="1" x14ac:dyDescent="0.15">
      <c r="B356" s="99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77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>
        <f>IF(G357&lt;&gt;"",SUBTOTAL(3,$G$6:G357),"")</f>
        <v>88</v>
      </c>
      <c r="C357" s="75"/>
      <c r="D357" s="75"/>
      <c r="E357" s="76" t="s">
        <v>139</v>
      </c>
      <c r="F357" s="76" t="s">
        <v>142</v>
      </c>
      <c r="G357" s="76" t="s">
        <v>225</v>
      </c>
      <c r="H357" s="61">
        <v>44073</v>
      </c>
      <c r="I357" s="62">
        <v>1</v>
      </c>
      <c r="J357" s="95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5" t="s">
        <v>335</v>
      </c>
      <c r="AT357" s="43" t="s">
        <v>336</v>
      </c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325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326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327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328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6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6" t="s">
        <v>340</v>
      </c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96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6" t="s">
        <v>329</v>
      </c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330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5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5" t="s">
        <v>335</v>
      </c>
      <c r="AT365" s="43" t="s">
        <v>337</v>
      </c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77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77" t="s">
        <v>341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77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77" t="s">
        <v>342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6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6" t="s">
        <v>325</v>
      </c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96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96" t="s">
        <v>326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96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96" t="s">
        <v>327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6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6" t="s">
        <v>328</v>
      </c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96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96" t="s">
        <v>343</v>
      </c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96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96" t="s">
        <v>331</v>
      </c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96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96" t="s">
        <v>329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330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5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5" t="s">
        <v>338</v>
      </c>
      <c r="AT376" s="43" t="s">
        <v>339</v>
      </c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77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77" t="s">
        <v>344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325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6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6" t="s">
        <v>326</v>
      </c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96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96" t="s">
        <v>327</v>
      </c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96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96" t="s">
        <v>328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96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96" t="s">
        <v>332</v>
      </c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x14ac:dyDescent="0.15">
      <c r="B383" s="75" t="str">
        <f>IF(G383&lt;&gt;"",SUBTOTAL(3,$G$6:G383),"")</f>
        <v/>
      </c>
      <c r="C383" s="75"/>
      <c r="D383" s="75"/>
      <c r="E383" s="76"/>
      <c r="F383" s="76"/>
      <c r="G383" s="76"/>
      <c r="H383" s="61"/>
      <c r="I383" s="70">
        <v>1</v>
      </c>
      <c r="J383" s="96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96" t="s">
        <v>329</v>
      </c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70">
        <v>1</v>
      </c>
      <c r="J384" s="96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78"/>
      <c r="AS384" s="96" t="s">
        <v>330</v>
      </c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70">
        <v>1</v>
      </c>
      <c r="J385" s="77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78"/>
      <c r="AS385" s="77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ht="14.25" customHeight="1" x14ac:dyDescent="0.15">
      <c r="B386" s="75">
        <f>IF(G386&lt;&gt;"",SUBTOTAL(3,$G$6:G386),"")</f>
        <v>89</v>
      </c>
      <c r="C386" s="75"/>
      <c r="D386" s="75"/>
      <c r="E386" s="76" t="s">
        <v>139</v>
      </c>
      <c r="F386" s="76" t="s">
        <v>142</v>
      </c>
      <c r="G386" s="76" t="s">
        <v>236</v>
      </c>
      <c r="H386" s="61">
        <v>44108</v>
      </c>
      <c r="I386" s="62">
        <v>0.5</v>
      </c>
      <c r="J386" s="77" t="s">
        <v>1</v>
      </c>
      <c r="K386" s="43" t="s">
        <v>334</v>
      </c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78"/>
      <c r="AS386" s="77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ht="14.25" customHeigh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68">
        <v>0.5</v>
      </c>
      <c r="J387" s="80"/>
      <c r="K387" s="81"/>
      <c r="L387" s="81"/>
      <c r="M387" s="81"/>
      <c r="N387" s="81"/>
      <c r="O387" s="81"/>
      <c r="P387" s="81"/>
      <c r="Q387" s="81"/>
      <c r="R387" s="82" t="s">
        <v>333</v>
      </c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3"/>
      <c r="AS387" s="77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ht="14.25" customHeigh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68">
        <v>0.5</v>
      </c>
      <c r="J388" s="84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3"/>
      <c r="AS388" s="77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ht="14.25" customHeight="1" x14ac:dyDescent="0.15">
      <c r="B389" s="75" t="str">
        <f>IF(G389&lt;&gt;"",SUBTOTAL(3,$G$6:G389),"")</f>
        <v/>
      </c>
      <c r="C389" s="75"/>
      <c r="D389" s="75"/>
      <c r="E389" s="76"/>
      <c r="F389" s="76"/>
      <c r="G389" s="76"/>
      <c r="H389" s="61"/>
      <c r="I389" s="68">
        <v>0.5</v>
      </c>
      <c r="J389" s="80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3"/>
      <c r="AS389" s="77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s="46" customFormat="1" ht="14.25" customHeight="1" x14ac:dyDescent="0.15">
      <c r="B390" s="75" t="str">
        <f>IF(G390&lt;&gt;"",SUBTOTAL(3,$G$6:G390),"")</f>
        <v/>
      </c>
      <c r="C390" s="75"/>
      <c r="D390" s="75"/>
      <c r="E390" s="76"/>
      <c r="F390" s="76"/>
      <c r="G390" s="76"/>
      <c r="H390" s="61"/>
      <c r="I390" s="68">
        <v>0.5</v>
      </c>
      <c r="J390" s="80" t="s">
        <v>237</v>
      </c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3"/>
      <c r="AS390" s="77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78"/>
      <c r="CB390" s="74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</row>
    <row r="391" spans="2:130" s="46" customFormat="1" ht="14.25" customHeight="1" x14ac:dyDescent="0.15">
      <c r="B391" s="75" t="str">
        <f>IF(G391&lt;&gt;"",SUBTOTAL(3,$G$6:G391),"")</f>
        <v/>
      </c>
      <c r="C391" s="75"/>
      <c r="D391" s="75"/>
      <c r="E391" s="76"/>
      <c r="F391" s="76"/>
      <c r="G391" s="76"/>
      <c r="H391" s="61"/>
      <c r="I391" s="68">
        <v>0.5</v>
      </c>
      <c r="J391" s="80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3"/>
      <c r="AS391" s="77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78"/>
      <c r="CB391" s="74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</row>
    <row r="392" spans="2:130" s="46" customFormat="1" ht="13.5" customHeight="1" x14ac:dyDescent="0.15">
      <c r="B392" s="75" t="str">
        <f>IF(G392&lt;&gt;"",SUBTOTAL(3,$G$6:G392),"")</f>
        <v/>
      </c>
      <c r="C392" s="75"/>
      <c r="D392" s="75"/>
      <c r="E392" s="76"/>
      <c r="F392" s="76"/>
      <c r="G392" s="76"/>
      <c r="H392" s="61"/>
      <c r="I392" s="62"/>
      <c r="J392" s="77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78"/>
      <c r="AS392" s="77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78"/>
      <c r="CB392" s="74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</row>
    <row r="393" spans="2:130" ht="13.5" customHeight="1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40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2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ht="13.5" customHeight="1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ht="15.75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40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2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9"/>
      <c r="CJ399" s="69"/>
      <c r="CK399" s="69"/>
      <c r="CL399" s="69"/>
      <c r="CM399" s="69"/>
      <c r="CN399" s="69"/>
      <c r="CO399" s="69"/>
      <c r="CP399" s="69"/>
      <c r="CQ399" s="69"/>
      <c r="CR399" s="69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9"/>
      <c r="DH399" s="69"/>
      <c r="DI399" s="69"/>
      <c r="DJ399" s="69"/>
      <c r="DK399" s="69"/>
      <c r="DL399" s="69"/>
      <c r="DM399" s="69"/>
      <c r="DN399" s="69"/>
      <c r="DO399" s="69"/>
      <c r="DP399" s="69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63"/>
      <c r="K405" s="64"/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/>
      <c r="AD405" s="64"/>
      <c r="AE405" s="64"/>
      <c r="AF405" s="64"/>
      <c r="AG405" s="64"/>
      <c r="AH405" s="64"/>
      <c r="AI405" s="64"/>
      <c r="AJ405" s="64"/>
      <c r="AK405" s="64"/>
      <c r="AL405" s="64"/>
      <c r="AM405" s="64"/>
      <c r="AN405" s="64"/>
      <c r="AO405" s="64"/>
      <c r="AP405" s="64"/>
      <c r="AQ405" s="64"/>
      <c r="AR405" s="65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4"/>
      <c r="CJ405" s="64"/>
      <c r="CK405" s="64"/>
      <c r="CL405" s="64"/>
      <c r="CM405" s="64"/>
      <c r="CN405" s="64"/>
      <c r="CO405" s="64"/>
      <c r="CP405" s="64"/>
      <c r="CQ405" s="64"/>
      <c r="CR405" s="64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4"/>
      <c r="DH405" s="64"/>
      <c r="DI405" s="64"/>
      <c r="DJ405" s="64"/>
      <c r="DK405" s="64"/>
      <c r="DL405" s="64"/>
      <c r="DM405" s="64"/>
      <c r="DN405" s="64"/>
      <c r="DO405" s="64"/>
      <c r="DP405" s="64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ht="15.75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40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2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63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5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63"/>
      <c r="K413" s="64"/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/>
      <c r="AD413" s="64"/>
      <c r="AE413" s="64"/>
      <c r="AF413" s="64"/>
      <c r="AG413" s="64"/>
      <c r="AH413" s="64"/>
      <c r="AI413" s="64"/>
      <c r="AJ413" s="64"/>
      <c r="AK413" s="64"/>
      <c r="AL413" s="64"/>
      <c r="AM413" s="64"/>
      <c r="AN413" s="64"/>
      <c r="AO413" s="64"/>
      <c r="AP413" s="64"/>
      <c r="AQ413" s="64"/>
      <c r="AR413" s="65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63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5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58" t="str">
        <f>IF(G419&lt;&gt;"",SUBTOTAL(3,$G$6:G419),"")</f>
        <v/>
      </c>
      <c r="C419" s="58"/>
      <c r="D419" s="58"/>
      <c r="E419" s="59"/>
      <c r="F419" s="59"/>
      <c r="G419" s="59"/>
      <c r="H419" s="61"/>
      <c r="I419" s="62"/>
      <c r="J419" s="63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5"/>
      <c r="AS419" s="63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5"/>
      <c r="CB419" s="60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  <row r="420" spans="2:130" x14ac:dyDescent="0.15">
      <c r="B420" s="58" t="str">
        <f>IF(G420&lt;&gt;"",SUBTOTAL(3,$G$6:G420),"")</f>
        <v/>
      </c>
      <c r="C420" s="58"/>
      <c r="D420" s="58"/>
      <c r="E420" s="59"/>
      <c r="F420" s="59"/>
      <c r="G420" s="59"/>
      <c r="H420" s="61"/>
      <c r="I420" s="62"/>
      <c r="J420" s="63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5"/>
      <c r="AS420" s="63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5"/>
      <c r="CB420" s="60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</row>
    <row r="421" spans="2:130" x14ac:dyDescent="0.15">
      <c r="B421" s="58" t="str">
        <f>IF(G421&lt;&gt;"",SUBTOTAL(3,$G$6:G421),"")</f>
        <v/>
      </c>
      <c r="C421" s="58"/>
      <c r="D421" s="58"/>
      <c r="E421" s="59"/>
      <c r="F421" s="59"/>
      <c r="G421" s="59"/>
      <c r="H421" s="61"/>
      <c r="I421" s="62"/>
      <c r="J421" s="63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5"/>
      <c r="AS421" s="63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5"/>
      <c r="CB421" s="60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</row>
    <row r="422" spans="2:130" x14ac:dyDescent="0.15">
      <c r="B422" s="85" t="str">
        <f>IF(G422&lt;&gt;"",SUBTOTAL(3,$G$6:G422),"")</f>
        <v/>
      </c>
      <c r="C422" s="85"/>
      <c r="D422" s="85"/>
      <c r="E422" s="86"/>
      <c r="F422" s="86"/>
      <c r="G422" s="86"/>
      <c r="H422" s="87"/>
      <c r="I422" s="88"/>
      <c r="J422" s="89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1"/>
      <c r="AS422" s="89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1"/>
      <c r="CB422" s="92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</row>
  </sheetData>
  <autoFilter ref="B5:CB422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93:I393 B407:I407 B399:I399 B45:D45 B52:H52 B61:H61 B394:AR398 B408:AR422 B400:AR406 F45:CB45 B46:CB50 J51:CB52 B62:CB62 K43:CB43 B44:CB44 K63:CB63 K309:CB309 B389:CB389 K388:CB388 K390:CB390 I197:CA197 K104:CB104 J60:CB61 B53:CB59 J64:CB66 B67:CB103 B105:CB146 I200:I207 B200:H208 J200:CB208 B391:AR392 AS391:CB422 J208:J210 B198:CB199 J197:J199 B310:CB387 B6:CB42 B254:CB308 B253:I253 K253:CB253 B209:CB252 I147:I196 B147:H197 CB147:CB197 AS147:CA196 J147:AR197">
    <cfRule type="expression" dxfId="28" priority="100">
      <formula>AND($I6&lt;&gt;1,$I6&lt;&gt;"")</formula>
    </cfRule>
  </conditionalFormatting>
  <conditionalFormatting sqref="I208:AR208">
    <cfRule type="expression" dxfId="27" priority="86">
      <formula>AND($I208&lt;&gt;1,$I208&lt;&gt;"")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309:I309">
    <cfRule type="expression" dxfId="11" priority="22">
      <formula>AND($I309&lt;&gt;1,$I309&lt;&gt;"")</formula>
    </cfRule>
  </conditionalFormatting>
  <conditionalFormatting sqref="B388:I388 B390:I390">
    <cfRule type="expression" dxfId="10" priority="14">
      <formula>AND($I388&lt;&gt;1,$I388&lt;&gt;"")</formula>
    </cfRule>
  </conditionalFormatting>
  <conditionalFormatting sqref="J390">
    <cfRule type="expression" dxfId="9" priority="13">
      <formula>AND($I390&lt;&gt;1,$I390&lt;&gt;"")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209">
    <cfRule type="expression" dxfId="3" priority="4">
      <formula>AND($I209&lt;&gt;1,$I209&lt;&gt;"")</formula>
    </cfRule>
  </conditionalFormatting>
  <conditionalFormatting sqref="J208">
    <cfRule type="expression" dxfId="2" priority="3">
      <formula>AND($I208&lt;&gt;1,$I208&lt;&gt;"")</formula>
    </cfRule>
  </conditionalFormatting>
  <conditionalFormatting sqref="J253">
    <cfRule type="expression" dxfId="1" priority="2">
      <formula>AND($I253&lt;&gt;1,$I253&lt;&gt;"")</formula>
    </cfRule>
  </conditionalFormatting>
  <conditionalFormatting sqref="J309">
    <cfRule type="expression" dxfId="0" priority="1">
      <formula>AND($I309&lt;&gt;1,$I309&lt;&gt;"")</formula>
    </cfRule>
  </conditionalFormatting>
  <dataValidations count="1">
    <dataValidation type="list" allowBlank="1" showInputMessage="1" showErrorMessage="1" sqref="I6:I422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11" location="toABC143_C_Slimes" display="(→)" xr:uid="{D0A14FDC-339D-483C-A7FB-42784F1DB2F9}"/>
    <hyperlink ref="CB223" location="toABC147_C_Honest_or_Unkind2" display="(→)" xr:uid="{5E89EE6B-F278-4D19-9890-D06616736879}"/>
    <hyperlink ref="CB229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90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2020-11-03T09:57:46Z</dcterms:modified>
</cp:coreProperties>
</file>
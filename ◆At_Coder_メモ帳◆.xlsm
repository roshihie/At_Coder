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584" documentId="13_ncr:1_{C6853D52-42A5-4BF2-BD6B-A58D634F1162}" xr6:coauthVersionLast="47" xr6:coauthVersionMax="47" xr10:uidLastSave="{978D5A9E-5D9A-401C-B5AB-963BDD5CCE4F}"/>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C問題!$B$4:$CC$851</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22" i="3" l="1"/>
  <c r="B535" i="3"/>
  <c r="B534" i="3"/>
  <c r="B533" i="3"/>
  <c r="B532" i="3"/>
  <c r="B531" i="3"/>
  <c r="B530" i="3"/>
  <c r="B529" i="3"/>
  <c r="B528" i="3"/>
  <c r="B527" i="3"/>
  <c r="B526" i="3"/>
  <c r="B525" i="3"/>
  <c r="B524" i="3"/>
  <c r="B521" i="3"/>
  <c r="B519" i="3"/>
  <c r="B518" i="3"/>
  <c r="B517" i="3"/>
  <c r="B516" i="3"/>
  <c r="B515" i="3"/>
  <c r="B514" i="3"/>
  <c r="B513" i="3"/>
  <c r="B512" i="3"/>
  <c r="B511" i="3"/>
  <c r="B510" i="3"/>
  <c r="B509" i="3"/>
  <c r="B612" i="3"/>
  <c r="B611" i="3"/>
  <c r="B610" i="3"/>
  <c r="B609" i="3"/>
  <c r="B608" i="3"/>
  <c r="B607" i="3"/>
  <c r="B642" i="3"/>
  <c r="B594" i="3"/>
  <c r="B635" i="3"/>
  <c r="B632" i="3"/>
  <c r="B627" i="3"/>
  <c r="B639"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49" i="3"/>
  <c r="B849" i="3"/>
  <c r="B848" i="3"/>
  <c r="B847" i="3"/>
  <c r="B846" i="3"/>
  <c r="B845" i="3"/>
  <c r="B844" i="3"/>
  <c r="B843" i="3"/>
  <c r="B842" i="3"/>
  <c r="B841" i="3"/>
  <c r="B840" i="3"/>
  <c r="B839" i="3"/>
  <c r="B838" i="3"/>
  <c r="B837"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85" i="3"/>
  <c r="B84" i="3"/>
  <c r="B83" i="3"/>
  <c r="B82" i="3"/>
  <c r="B851" i="3"/>
  <c r="B850" i="3"/>
  <c r="B81" i="3"/>
  <c r="B80" i="3"/>
  <c r="B79" i="3"/>
  <c r="B78" i="3"/>
  <c r="B89" i="3"/>
  <c r="B648" i="3"/>
  <c r="B647" i="3"/>
  <c r="B646" i="3"/>
  <c r="B645" i="3"/>
  <c r="B644" i="3"/>
  <c r="B643" i="3"/>
  <c r="B641" i="3"/>
  <c r="B640" i="3"/>
  <c r="B638" i="3"/>
  <c r="B637" i="3"/>
  <c r="B636" i="3"/>
  <c r="B626" i="3"/>
  <c r="B625" i="3"/>
  <c r="B624" i="3"/>
  <c r="B623" i="3"/>
  <c r="B621" i="3"/>
  <c r="B620" i="3"/>
  <c r="B619" i="3"/>
  <c r="B616" i="3"/>
  <c r="B613" i="3"/>
  <c r="B606" i="3"/>
  <c r="B605" i="3"/>
  <c r="B604" i="3"/>
  <c r="B603" i="3"/>
  <c r="B602" i="3"/>
  <c r="B601" i="3"/>
  <c r="B600" i="3"/>
  <c r="B599" i="3"/>
  <c r="B598" i="3"/>
  <c r="B597" i="3"/>
  <c r="B595" i="3"/>
  <c r="B593" i="3"/>
  <c r="B592" i="3"/>
  <c r="B591" i="3"/>
  <c r="B590" i="3"/>
  <c r="B589" i="3"/>
  <c r="B588" i="3"/>
  <c r="B587" i="3"/>
  <c r="B586" i="3"/>
  <c r="B585" i="3"/>
  <c r="B584" i="3"/>
  <c r="B583" i="3"/>
  <c r="B582" i="3"/>
  <c r="B581" i="3"/>
  <c r="B580" i="3"/>
  <c r="B579" i="3"/>
  <c r="B578" i="3"/>
  <c r="B577" i="3"/>
  <c r="B576" i="3"/>
  <c r="B575" i="3"/>
  <c r="B574" i="3"/>
  <c r="B553" i="3"/>
  <c r="B552" i="3"/>
  <c r="B551" i="3"/>
  <c r="B550" i="3"/>
  <c r="B549" i="3"/>
  <c r="B548" i="3"/>
  <c r="B547" i="3"/>
  <c r="B546" i="3"/>
  <c r="B545" i="3"/>
  <c r="B544" i="3"/>
  <c r="B543" i="3"/>
  <c r="B542" i="3"/>
  <c r="B541" i="3"/>
  <c r="B540" i="3"/>
  <c r="B539" i="3"/>
  <c r="B538" i="3"/>
  <c r="B537" i="3"/>
  <c r="B536"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<sst xmlns="http://schemas.openxmlformats.org/spreadsheetml/2006/main" count="1309" uniqueCount="894">
  <si>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</si>
  <si>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</si>
  <si>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</si>
  <si>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</si>
  <si>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</si>
  <si>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</si>
  <si>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</si>
  <si>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</si>
  <si>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</si>
  <si>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</si>
  <si>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</si>
  <si>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</si>
  <si>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</si>
  <si>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</si>
  <si>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</si>
  <si>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</si>
  <si>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</si>
  <si>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</si>
  <si>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</si>
  <si>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</si>
  <si>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</si>
  <si>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</si>
  <si>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</si>
  <si>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</si>
  <si>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</si>
  <si>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</si>
  <si>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</si>
  <si>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</si>
  <si>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</si>
  <si>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</si>
  <si>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</si>
  <si>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</si>
  <si>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</si>
  <si>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</si>
  <si>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</si>
  <si>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</si>
  <si>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</si>
  <si>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</si>
  <si>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</si>
  <si>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</si>
  <si>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</si>
  <si>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</si>
  <si>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</si>
  <si>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</si>
  <si>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</si>
  <si>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</si>
  <si>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</si>
  <si>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</si>
  <si>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</si>
  <si>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</si>
  <si>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</si>
  <si>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</si>
  <si>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</si>
  <si>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</si>
  <si>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</si>
  <si>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</si>
  <si>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</si>
  <si>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</si>
  <si>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</si>
  <si>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</si>
  <si>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</si>
  <si>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</si>
  <si>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</si>
  <si>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</si>
  <si>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</si>
  <si>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</si>
  <si>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</si>
  <si>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</si>
  <si>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</si>
  <si>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</si>
  <si>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</si>
  <si>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</si>
  <si>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</si>
  <si>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</si>
  <si>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</si>
  <si>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</si>
  <si>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</si>
  <si>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</si>
  <si>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</si>
  <si>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</si>
  <si>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</si>
  <si>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</si>
  <si>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</si>
  <si>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</si>
  <si>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</si>
  <si>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</si>
  <si>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</si>
  <si>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</si>
  <si>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</si>
  <si>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</si>
  <si>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</si>
  <si>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</si>
  <si>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</si>
  <si>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</si>
  <si>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</si>
  <si>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</si>
  <si>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</si>
  <si>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</si>
  <si>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</si>
  <si>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</si>
  <si>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</si>
  <si>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</si>
  <si>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</si>
  <si>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</si>
  <si>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</si>
  <si>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</si>
  <si>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</si>
  <si>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</si>
  <si>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</si>
  <si>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</si>
  <si>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</si>
  <si>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</si>
  <si>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</si>
  <si>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</si>
  <si>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</si>
  <si>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</si>
  <si>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</si>
  <si>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</si>
  <si>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</si>
  <si>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</si>
  <si>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</si>
  <si>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</si>
  <si>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</si>
  <si>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</si>
  <si>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</si>
  <si>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</si>
  <si>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</si>
  <si>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</si>
  <si>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</si>
  <si>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</si>
  <si>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</si>
  <si>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</si>
  <si>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</si>
  <si>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</si>
  <si>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</si>
  <si>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</si>
  <si>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</si>
  <si>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</si>
  <si>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</si>
  <si>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</si>
  <si>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</si>
  <si>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</si>
  <si>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</si>
  <si>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</si>
  <si>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</si>
  <si>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</si>
  <si>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</si>
  <si>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</si>
  <si>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</si>
  <si>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</si>
  <si>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</si>
  <si>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</si>
  <si>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</si>
  <si>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</si>
  <si>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</si>
  <si>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</si>
  <si>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</si>
  <si>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</si>
  <si>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</si>
  <si>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</si>
  <si>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</si>
  <si>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</si>
  <si>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</si>
  <si>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</si>
  <si>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</si>
  <si>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</si>
  <si>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</si>
  <si>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</si>
  <si>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</si>
  <si>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</si>
  <si>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</si>
  <si>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</si>
  <si>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</si>
  <si>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</si>
  <si>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</si>
  <si>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</si>
  <si>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</si>
  <si>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</si>
  <si>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</si>
  <si>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</si>
  <si>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</si>
  <si>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</si>
  <si>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</si>
  <si>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</si>
  <si>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</si>
  <si>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</si>
  <si>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</si>
  <si>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</si>
  <si>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</si>
  <si>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</si>
  <si>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</si>
  <si>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</si>
  <si>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</si>
  <si>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</si>
  <si>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</si>
  <si>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</si>
  <si>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</si>
  <si>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</si>
  <si>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</si>
  <si>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</si>
  <si>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</si>
  <si>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</si>
  <si>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</si>
  <si>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</si>
  <si>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</si>
  <si>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</si>
  <si>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</si>
  <si>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</si>
  <si>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</si>
  <si>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</si>
  <si>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</si>
  <si>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</si>
  <si>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</si>
  <si>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</si>
  <si>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</si>
  <si>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</si>
  <si>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</si>
  <si>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</si>
  <si>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</si>
  <si>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</si>
  <si>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</si>
  <si>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</si>
  <si>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</si>
  <si>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</si>
  <si>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</si>
  <si>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</si>
  <si>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</si>
  <si>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</si>
  <si>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</si>
  <si>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</si>
  <si>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</si>
  <si>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</si>
  <si>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</si>
  <si>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</si>
  <si>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</si>
  <si>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</si>
  <si>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</si>
  <si>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</si>
  <si>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</si>
  <si>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</si>
  <si>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</si>
  <si>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</si>
  <si>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</si>
  <si>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</si>
  <si>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</si>
  <si>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</si>
  <si>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</si>
  <si>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</si>
  <si>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</si>
  <si>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</si>
  <si>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</si>
  <si>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</si>
  <si>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</si>
  <si>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</si>
  <si>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</si>
  <si>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</si>
  <si>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</si>
  <si>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</si>
  <si>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</si>
  <si>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</si>
  <si>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</si>
  <si>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</si>
  <si>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</si>
  <si>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</si>
  <si>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</si>
  <si>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</si>
  <si>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</si>
  <si>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</si>
  <si>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</si>
  <si>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</si>
  <si>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</si>
  <si>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</si>
  <si>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</si>
  <si>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</si>
  <si>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</si>
  <si>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</si>
  <si>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</si>
  <si>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</si>
  <si>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</si>
  <si>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</si>
  <si>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</si>
  <si>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</si>
  <si>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</si>
  <si>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</si>
  <si>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</si>
  <si>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</si>
  <si>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</si>
  <si>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</si>
  <si>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</si>
  <si>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</si>
  <si>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</si>
  <si>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</si>
  <si>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</si>
  <si>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</si>
  <si>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</si>
  <si>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</si>
  <si>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</si>
  <si>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</si>
  <si>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</si>
  <si>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</si>
  <si>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</si>
  <si>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</si>
  <si>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</si>
  <si>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</si>
  <si>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</si>
  <si>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</si>
  <si>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</si>
  <si>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</si>
  <si>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</si>
  <si>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</si>
  <si>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</si>
  <si>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</si>
  <si>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</si>
  <si>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</si>
  <si>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</si>
  <si>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</si>
  <si>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</si>
  <si>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</si>
  <si>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</si>
  <si>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</si>
  <si>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</si>
  <si>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</si>
  <si>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</si>
  <si>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</si>
  <si>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</si>
  <si>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</si>
  <si>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</si>
  <si>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</si>
  <si>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</si>
  <si>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</si>
  <si>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</si>
  <si>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</si>
  <si>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</si>
  <si>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</si>
  <si>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</si>
  <si>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</si>
  <si>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</si>
  <si>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</si>
  <si>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</si>
  <si>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</si>
  <si>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</si>
  <si>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</si>
  <si>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</si>
  <si>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</si>
  <si>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</si>
  <si>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</si>
  <si>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</si>
  <si>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</si>
  <si>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</si>
  <si>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</si>
  <si>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</si>
  <si>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</si>
  <si>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</si>
  <si>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</si>
  <si>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</si>
  <si>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</si>
  <si>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</si>
  <si>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</si>
  <si>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</si>
  <si>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</si>
  <si>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</si>
  <si>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</si>
  <si>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</si>
  <si>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</si>
  <si>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</si>
  <si>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</si>
  <si>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</si>
  <si>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</si>
  <si>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</si>
  <si>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</si>
  <si>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</si>
  <si>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</si>
  <si>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</si>
  <si>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</si>
  <si>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</si>
  <si>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</si>
  <si>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</si>
  <si>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</si>
  <si>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</si>
  <si>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</si>
  <si>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</si>
  <si>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</si>
  <si>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</si>
  <si>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</si>
  <si>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</si>
  <si>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</si>
  <si>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</si>
  <si>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</si>
  <si>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</si>
  <si>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</si>
  <si>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</si>
  <si>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</si>
  <si>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</si>
  <si>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</si>
  <si>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</si>
  <si>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</si>
  <si>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</si>
  <si>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</si>
  <si>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</si>
  <si>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</si>
  <si>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</si>
  <si>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</si>
  <si>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</si>
  <si>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</si>
  <si>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</si>
  <si>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</si>
  <si>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</si>
  <si>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</si>
  <si>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</si>
  <si>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</si>
  <si>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</si>
  <si>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</si>
  <si>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</si>
  <si>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</si>
  <si>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</si>
  <si>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</si>
  <si>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</si>
  <si>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</si>
  <si>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</si>
  <si>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</si>
  <si>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</si>
  <si>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</si>
  <si>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</si>
  <si>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</si>
  <si>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</si>
  <si>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</si>
  <si>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</si>
  <si>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</si>
  <si>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</si>
  <si>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</si>
  <si>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</si>
  <si>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</si>
  <si>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</si>
  <si>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</si>
  <si>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</si>
  <si>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</si>
  <si>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</si>
  <si>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</si>
  <si>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</si>
  <si>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</si>
  <si>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</si>
  <si>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</si>
  <si>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</si>
  <si>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</si>
  <si>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</si>
  <si>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</si>
  <si>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</si>
  <si>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</si>
  <si>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</si>
  <si>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</si>
  <si>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</si>
  <si>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</si>
  <si>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</si>
  <si>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</si>
  <si>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</si>
  <si>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</si>
  <si>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</si>
  <si>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</si>
  <si>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</si>
  <si>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</si>
  <si>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</si>
  <si>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</si>
  <si>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</si>
  <si>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</si>
  <si>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</si>
  <si>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</si>
  <si>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</si>
  <si>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</si>
  <si>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</si>
  <si>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</si>
  <si>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</si>
  <si>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</si>
  <si>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</si>
  <si>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</si>
  <si>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</si>
  <si>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</si>
  <si>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</si>
  <si>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</si>
  <si>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</si>
  <si>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</si>
  <si>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</si>
  <si>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</si>
  <si>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</si>
  <si>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</si>
  <si>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</si>
  <si>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</si>
  <si>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</si>
  <si>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</si>
  <si>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</si>
  <si>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</si>
  <si>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</si>
  <si>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</si>
  <si>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</si>
  <si>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</si>
  <si>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</si>
  <si>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</si>
  <si>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</si>
  <si>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</si>
  <si>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</si>
  <si>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</si>
  <si>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</si>
  <si>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</si>
  <si>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</si>
  <si>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</si>
  <si>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</si>
  <si>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</si>
  <si>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</si>
  <si>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</si>
  <si>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</si>
  <si>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</si>
  <si>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</si>
  <si>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</si>
  <si>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</si>
  <si>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</si>
  <si>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</si>
  <si>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</si>
  <si>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</si>
  <si>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</si>
  <si>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</si>
  <si>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</si>
  <si>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</si>
  <si>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</si>
  <si>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</si>
  <si>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</si>
  <si>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</si>
  <si>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</si>
  <si>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</si>
  <si>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</si>
  <si>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</si>
  <si>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</si>
  <si>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</si>
  <si>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</si>
  <si>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</si>
  <si>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</si>
  <si>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</si>
  <si>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</si>
  <si>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</si>
  <si>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</si>
  <si>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</si>
  <si>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</si>
  <si>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</si>
  <si>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</si>
  <si>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</si>
  <si>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</si>
  <si>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</si>
  <si>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</si>
  <si>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</si>
  <si>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</si>
  <si>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</si>
  <si>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</si>
  <si>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</si>
  <si>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</si>
  <si>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</si>
  <si>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</si>
  <si>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</si>
  <si>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</si>
  <si>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</si>
  <si>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</si>
  <si>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</si>
  <si>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</si>
  <si>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</si>
  <si>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</si>
  <si>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</si>
  <si>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</si>
  <si>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</si>
  <si>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</si>
  <si>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</si>
  <si>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</si>
  <si>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</si>
  <si>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</si>
  <si>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</si>
  <si>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</si>
  <si>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</si>
  <si>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</si>
  <si>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</si>
  <si>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</si>
  <si>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</si>
  <si>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</si>
  <si>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</si>
  <si>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</si>
  <si>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</si>
  <si>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</si>
  <si>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</si>
  <si>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</si>
  <si>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</si>
  <si>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</si>
  <si>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</si>
  <si>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</si>
  <si>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</si>
  <si>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</si>
  <si>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</si>
  <si>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</si>
  <si>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上記1.～4. 以外の場合、移動ステップ＝３となる</t>
    <rPh sb="0" eb="2">
      <t>ジョウキ</t>
    </rPh>
    <rPh sb="8" eb="10">
      <t>イガイ</t>
    </rPh>
    <rPh sb="11" eb="13">
      <t>バアイ</t>
    </rPh>
    <rPh sb="14" eb="16">
      <t>イドウ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</si>
  <si>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</si>
  <si>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</si>
  <si>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</si>
  <si>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</si>
  <si>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</si>
  <si>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</si>
  <si>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</si>
  <si>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</si>
  <si>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</si>
  <si>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</si>
  <si>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</si>
  <si>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</si>
  <si>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</si>
  <si>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</si>
  <si>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</si>
  <si>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</si>
  <si>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</si>
  <si>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</si>
  <si>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</si>
  <si>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</si>
  <si>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</si>
  <si>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</si>
  <si>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</si>
  <si>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</si>
  <si>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</si>
  <si>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</si>
  <si>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</si>
  <si>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</si>
  <si>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</si>
  <si>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</si>
  <si>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</si>
  <si>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</si>
  <si>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</si>
  <si>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</si>
  <si>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</si>
  <si>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</si>
  <si>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</si>
  <si>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</si>
  <si>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</si>
  <si>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</si>
  <si>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</si>
  <si>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</si>
  <si>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</si>
  <si>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</si>
  <si>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</si>
  <si>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</si>
  <si>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</si>
  <si>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</si>
  <si>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</si>
  <si>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</si>
  <si>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</si>
  <si>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t>ABC186_C_Unlucky7</t>
    <phoneticPr fontId="2"/>
  </si>
  <si>
    <t>ABC187_C_1-SAT</t>
  </si>
  <si>
    <t>ABC188_C_Tournament</t>
  </si>
  <si>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</si>
  <si>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</si>
  <si>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</si>
  <si>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</si>
  <si>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</si>
  <si>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</si>
  <si>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</si>
  <si>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</si>
  <si>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</si>
  <si>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</si>
  <si>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</si>
  <si>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</si>
  <si>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</si>
  <si>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</si>
  <si>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</si>
  <si>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</si>
  <si>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</si>
  <si>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</si>
  <si>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</si>
  <si>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</si>
  <si>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</si>
  <si>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</si>
  <si>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</si>
  <si>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</si>
  <si>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</si>
  <si>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</si>
  <si>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</si>
  <si>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</si>
  <si>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</si>
  <si>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</si>
  <si>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</si>
  <si>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</si>
  <si>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</si>
  <si>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</si>
  <si>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</si>
  <si>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</si>
  <si>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</si>
  <si>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</si>
  <si>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</si>
  <si>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</si>
  <si>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</si>
  <si>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</si>
  <si>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</si>
  <si>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</si>
  <si>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</si>
  <si>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</si>
  <si>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</si>
  <si>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</si>
  <si>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</si>
  <si>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</si>
  <si>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</si>
  <si>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</si>
  <si>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</si>
  <si>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</si>
  <si>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</si>
  <si>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</si>
  <si>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</si>
  <si>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</si>
  <si>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</si>
  <si>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</si>
  <si>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</si>
  <si>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</si>
  <si>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</si>
  <si>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</si>
  <si>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</si>
  <si>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</si>
  <si>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</si>
  <si>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</si>
  <si>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</si>
  <si>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</si>
  <si>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</si>
  <si>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</si>
  <si>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</si>
  <si>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</si>
  <si>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</si>
  <si>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</si>
  <si>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</si>
  <si>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</si>
  <si>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</si>
  <si>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</si>
  <si>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</si>
  <si>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</si>
  <si>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</si>
  <si>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</si>
  <si>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</si>
  <si>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</si>
  <si>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</si>
  <si>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</si>
  <si>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</si>
  <si>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</si>
  <si>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</si>
  <si>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</si>
  <si>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</si>
  <si>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</si>
  <si>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</si>
  <si>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</si>
  <si>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</si>
  <si>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</si>
  <si>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</si>
  <si>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</si>
  <si>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</si>
  <si>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</si>
  <si>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</si>
  <si>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</si>
  <si>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</si>
  <si>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</si>
  <si>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</si>
  <si>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</si>
  <si>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</si>
  <si>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</si>
  <si>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</si>
  <si>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</si>
  <si>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</si>
  <si>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</si>
  <si>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</si>
  <si>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</si>
  <si>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</si>
  <si>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</si>
  <si>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</si>
  <si>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</si>
  <si>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</si>
  <si>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</si>
  <si>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</si>
  <si>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</si>
  <si>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</si>
  <si>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</si>
  <si>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</si>
  <si>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</si>
  <si>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</si>
  <si>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</si>
  <si>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</si>
  <si>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</si>
  <si>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</si>
  <si>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</si>
  <si>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</si>
  <si>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</si>
  <si>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</si>
  <si>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</si>
  <si>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</si>
  <si>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</si>
  <si>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</si>
  <si>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</si>
  <si>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</si>
  <si>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</si>
  <si>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</si>
  <si>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</si>
  <si>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</si>
  <si>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</si>
  <si>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</si>
  <si>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</si>
  <si>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</si>
  <si>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</si>
  <si>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</si>
  <si>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</si>
  <si>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</si>
  <si>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</si>
  <si>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</si>
  <si>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</si>
  <si>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</si>
  <si>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</si>
  <si>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</si>
  <si>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</si>
  <si>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</si>
  <si>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</si>
  <si>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</si>
  <si>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</si>
  <si>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</si>
  <si>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</si>
  <si>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</si>
  <si>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</si>
  <si>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</si>
  <si>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</si>
  <si>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</si>
  <si>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</si>
  <si>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</si>
  <si>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</si>
  <si>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</si>
  <si>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</si>
  <si>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</si>
  <si>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</si>
  <si>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</si>
  <si>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</si>
  <si>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</si>
  <si>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</si>
  <si>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</si>
  <si>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</si>
  <si>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</si>
  <si>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</si>
  <si>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</si>
  <si>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</si>
  <si>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</si>
  <si>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</si>
  <si>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</si>
  <si>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</si>
  <si>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</si>
  <si>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</si>
  <si>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5" eb="8">
      <t>モジレツ</t>
    </rPh>
    <rPh sb="9" eb="10">
      <t>クミ</t>
    </rPh>
    <phoneticPr fontId="2"/>
  </si>
  <si>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</si>
  <si>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</si>
  <si>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</si>
  <si>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 xml:space="preserve">   第２に８進数に変換しなばら、各桁を取り出し、７が含まれるか判定する</t>
    <rPh sb="3" eb="4">
      <t>ダイ</t>
    </rPh>
    <rPh sb="7" eb="9">
      <t>シンスウ</t>
    </rPh>
    <rPh sb="10" eb="12">
      <t>ヘンカン</t>
    </rPh>
    <rPh sb="17" eb="19">
      <t>カクケタ</t>
    </rPh>
    <rPh sb="20" eb="21">
      <t>ト</t>
    </rPh>
    <rPh sb="22" eb="23">
      <t>ダ</t>
    </rPh>
    <rPh sb="27" eb="28">
      <t>フク</t>
    </rPh>
    <rPh sb="32" eb="34">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</si>
  <si>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</si>
  <si>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r>
      <t>●</t>
    </r>
    <r>
      <rPr>
        <vertAlign val="subscript"/>
        <sz val="10"/>
        <color theme="1"/>
        <rFont val="Meiryo UI"/>
        <family val="3"/>
        <charset val="128"/>
      </rPr>
      <t>n-1</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 (分割箇所は n－1 個あり、その中から 11 個とる組み合わせになる)</t>
    </r>
    <rPh sb="20" eb="22">
      <t>ケイサン</t>
    </rPh>
    <rPh sb="25" eb="27">
      <t>モンダイ</t>
    </rPh>
    <rPh sb="29" eb="31">
      <t>ブンカツ</t>
    </rPh>
    <rPh sb="31" eb="33">
      <t>カショ</t>
    </rPh>
    <rPh sb="39" eb="40">
      <t>コ</t>
    </rPh>
    <rPh sb="45" eb="46">
      <t>ナカ</t>
    </rPh>
    <rPh sb="52" eb="53">
      <t>コ</t>
    </rPh>
    <rPh sb="55" eb="56">
      <t>ク</t>
    </rPh>
    <rPh sb="57" eb="58">
      <t>ア</t>
    </rPh>
    <phoneticPr fontId="2"/>
  </si>
  <si>
    <t>●計算の際、分子の数を分母の数で約分しながら計算していく。そうしなければ オーバーフローする</t>
    <rPh sb="1" eb="3">
      <t>ケイサン</t>
    </rPh>
    <rPh sb="4" eb="5">
      <t>サイ</t>
    </rPh>
    <rPh sb="6" eb="8">
      <t>ブンシ</t>
    </rPh>
    <rPh sb="9" eb="10">
      <t>スウ</t>
    </rPh>
    <rPh sb="11" eb="13">
      <t>ブンボ</t>
    </rPh>
    <rPh sb="14" eb="15">
      <t>スウ</t>
    </rPh>
    <rPh sb="16" eb="18">
      <t>ヤクブン</t>
    </rPh>
    <rPh sb="22" eb="24">
      <t>ケイサン</t>
    </rPh>
    <phoneticPr fontId="2"/>
  </si>
  <si>
    <t>4. 移動規則②で移動したマスから移動規則①で移動したマスの場合、移動ステップ＝２</t>
    <rPh sb="3" eb="5">
      <t>イドウ</t>
    </rPh>
    <rPh sb="5" eb="7">
      <t>キソク</t>
    </rPh>
    <rPh sb="9" eb="11">
      <t>イドウ</t>
    </rPh>
    <rPh sb="17" eb="19">
      <t>イドウ</t>
    </rPh>
    <rPh sb="19" eb="21">
      <t>キソク</t>
    </rPh>
    <rPh sb="23" eb="25">
      <t>イドウ</t>
    </rPh>
    <rPh sb="30" eb="32">
      <t>バアイ</t>
    </rPh>
    <rPh sb="33" eb="35">
      <t>イドウ</t>
    </rPh>
    <phoneticPr fontId="2"/>
  </si>
  <si>
    <t>●マス(a, b)から マス(x, y) の移動について、</t>
    <rPh sb="22" eb="24">
      <t>イドウ</t>
    </rPh>
    <phoneticPr fontId="2"/>
  </si>
  <si>
    <t xml:space="preserve">   移動規則①：a+b=x+y、a－b＝xーy  は abs(x－a)=abs(y－b) と同値である</t>
    <rPh sb="3" eb="5">
      <t>イドウ</t>
    </rPh>
    <rPh sb="5" eb="7">
      <t>キソク</t>
    </rPh>
    <rPh sb="47" eb="49">
      <t>ドウチ</t>
    </rPh>
    <phoneticPr fontId="2"/>
  </si>
  <si>
    <t xml:space="preserve">   移動規則②：|aーx|＋|bーy|≦3 より abs(x－a)+abs(y－b) &lt;= 3 である</t>
    <rPh sb="3" eb="5">
      <t>イドウ</t>
    </rPh>
    <rPh sb="5" eb="7">
      <t>キソク</t>
    </rPh>
    <phoneticPr fontId="2"/>
  </si>
  <si>
    <t>1. マス(a, b)と マス(x, y) が等しい場合、移動ステップ＝０</t>
    <rPh sb="23" eb="24">
      <t>ヒト</t>
    </rPh>
    <rPh sb="26" eb="28">
      <t>バアイ</t>
    </rPh>
    <rPh sb="29" eb="31">
      <t>イドウ</t>
    </rPh>
    <phoneticPr fontId="2"/>
  </si>
  <si>
    <t>2. マス(a, b)から マス(x, y) の移動について、移動規則①または②で移動可能な場合、移動ステップ＝１</t>
    <rPh sb="24" eb="26">
      <t>イドウ</t>
    </rPh>
    <rPh sb="31" eb="33">
      <t>イドウ</t>
    </rPh>
    <rPh sb="33" eb="35">
      <t>キソク</t>
    </rPh>
    <rPh sb="41" eb="43">
      <t>イドウ</t>
    </rPh>
    <rPh sb="43" eb="45">
      <t>カノウ</t>
    </rPh>
    <rPh sb="46" eb="48">
      <t>バアイ</t>
    </rPh>
    <rPh sb="49" eb="51">
      <t>イドウ</t>
    </rPh>
    <phoneticPr fontId="2"/>
  </si>
  <si>
    <t>3. 移動規則①を複合して使用した場合、abs(xーa)+abs(yーb) の偶奇は偶数となる</t>
    <rPh sb="3" eb="5">
      <t>イドウ</t>
    </rPh>
    <rPh sb="5" eb="7">
      <t>キソク</t>
    </rPh>
    <rPh sb="9" eb="11">
      <t>フクゴウ</t>
    </rPh>
    <rPh sb="13" eb="15">
      <t>シヨウ</t>
    </rPh>
    <rPh sb="17" eb="19">
      <t>バアイ</t>
    </rPh>
    <rPh sb="39" eb="41">
      <t>グウキ</t>
    </rPh>
    <rPh sb="42" eb="44">
      <t>グウスウ</t>
    </rPh>
    <phoneticPr fontId="2"/>
  </si>
  <si>
    <t xml:space="preserve">    よって、abs(xーa)+abs(yーb) % 2 = 0 または abs(xーa)+abs(yーb) &lt;= 6 の場合、移動ステップ＝２</t>
    <rPh sb="62" eb="64">
      <t>バアイ</t>
    </rPh>
    <rPh sb="65" eb="67">
      <t>イドウ</t>
    </rPh>
    <phoneticPr fontId="2"/>
  </si>
  <si>
    <t>●超竜馬が１回で動ける場所</t>
    <phoneticPr fontId="2"/>
  </si>
  <si>
    <t>は以下の通りとなる</t>
    <rPh sb="1" eb="3">
      <t>イカ</t>
    </rPh>
    <rPh sb="4" eb="5">
      <t>トオ</t>
    </rPh>
    <phoneticPr fontId="2"/>
  </si>
  <si>
    <t>⇔</t>
  </si>
  <si>
    <t>①</t>
    <phoneticPr fontId="2"/>
  </si>
  <si>
    <t>②</t>
    <phoneticPr fontId="2"/>
  </si>
  <si>
    <t>③</t>
    <phoneticPr fontId="2"/>
  </si>
  <si>
    <t>●趙竜馬が２回で動ける場所</t>
    <rPh sb="1" eb="2">
      <t>チョウ</t>
    </rPh>
    <rPh sb="2" eb="4">
      <t>リュウマ</t>
    </rPh>
    <rPh sb="6" eb="7">
      <t>カイ</t>
    </rPh>
    <rPh sb="8" eb="9">
      <t>ウゴ</t>
    </rPh>
    <rPh sb="11" eb="13">
      <t>バショ</t>
    </rPh>
    <phoneticPr fontId="2"/>
  </si>
  <si>
    <t>①＋②</t>
    <phoneticPr fontId="2"/>
  </si>
  <si>
    <t>③＋③</t>
    <phoneticPr fontId="2"/>
  </si>
  <si>
    <t>|a-x|+|b-y|\leqq 6</t>
  </si>
  <si>
    <t>|a-x|+|b-y|\leqq 3</t>
    <phoneticPr fontId="2"/>
  </si>
  <si>
    <t>\begin{array}{l}</t>
  </si>
  <si>
    <t>y\geqq -(x-a)+(b-3)\\</t>
  </si>
  <si>
    <t>y\geqq (x-a)+(b-3)\\</t>
  </si>
  <si>
    <t>y\leqq -(x-a)+(b+3)\\</t>
  </si>
  <si>
    <t>y\leqq (x-a)+(b+3)\\</t>
  </si>
  <si>
    <t>\end{array}</t>
  </si>
  <si>
    <t>(a\geqq x,\hspace{1mm} b\geqq y)\\</t>
  </si>
  <si>
    <t>(a&lt;x,\hspace{1mm} b\geqq y)\\</t>
  </si>
  <si>
    <t>(a&lt;x,\hspace{1mm} b&lt;y)\\</t>
  </si>
  <si>
    <t>(a\geqq x,\hspace{1mm} b&lt;y)\\</t>
  </si>
  <si>
    <t>|(x-a)+(y-b)|\leqq 3</t>
  </si>
  <si>
    <t>…(a)</t>
    <phoneticPr fontId="2"/>
  </si>
  <si>
    <t>…(b)</t>
    <phoneticPr fontId="2"/>
  </si>
  <si>
    <t>…(c)</t>
    <phoneticPr fontId="2"/>
  </si>
  <si>
    <t>…(d)</t>
    <phoneticPr fontId="2"/>
  </si>
  <si>
    <t>|(x-a)-(y-b)|\leqq 3</t>
    <phoneticPr fontId="2"/>
  </si>
  <si>
    <t>ABC184_C_SuperRyuma</t>
  </si>
  <si>
    <t>(自分の解法)</t>
    <rPh sb="1" eb="3">
      <t>ジブン</t>
    </rPh>
    <rPh sb="4" eb="6">
      <t>カイホウ</t>
    </rPh>
    <phoneticPr fontId="2"/>
  </si>
  <si>
    <t>●上記 １回、２回 以外の場所</t>
    <rPh sb="1" eb="3">
      <t>ジョウキ</t>
    </rPh>
    <rPh sb="5" eb="6">
      <t>カイ</t>
    </rPh>
    <rPh sb="8" eb="9">
      <t>カイ</t>
    </rPh>
    <rPh sb="10" eb="12">
      <t>イガイ</t>
    </rPh>
    <rPh sb="13" eb="15">
      <t>バショ</t>
    </rPh>
    <phoneticPr fontId="2"/>
  </si>
  <si>
    <t>は３回で動ける場所となる</t>
    <rPh sb="2" eb="3">
      <t>カイ</t>
    </rPh>
    <rPh sb="4" eb="5">
      <t>ウゴ</t>
    </rPh>
    <rPh sb="7" eb="9">
      <t>バショ</t>
    </rPh>
    <phoneticPr fontId="2"/>
  </si>
  <si>
    <t>(x, y)</t>
    <phoneticPr fontId="2"/>
  </si>
  <si>
    <t>①＋③    上記 (a), (c) の        の範囲制限なしの式になるため</t>
    <rPh sb="7" eb="9">
      <t>ジョウキ</t>
    </rPh>
    <rPh sb="29" eb="31">
      <t>ハンイ</t>
    </rPh>
    <rPh sb="31" eb="33">
      <t>セイゲン</t>
    </rPh>
    <rPh sb="36" eb="37">
      <t>シキ</t>
    </rPh>
    <phoneticPr fontId="2"/>
  </si>
  <si>
    <t>②＋③    上記 (b), (d) の        の範囲制限なしの式になるため</t>
    <rPh sb="7" eb="9">
      <t>ジョウキ</t>
    </rPh>
    <rPh sb="29" eb="31">
      <t>ハンイ</t>
    </rPh>
    <rPh sb="31" eb="33">
      <t>セイゲン</t>
    </rPh>
    <rPh sb="36" eb="37">
      <t>シキ</t>
    </rPh>
    <phoneticPr fontId="2"/>
  </si>
  <si>
    <t>(x-a)+(y-b)\equiv 0\hspace{2mm}(mod\hspace{1mm}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</si>
</sst>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4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651</xdr:row>
      <xdr:rowOff>8284</xdr:rowOff>
    </xdr:from>
    <xdr:to>
      <xdr:col>25</xdr:col>
      <xdr:colOff>106639</xdr:colOff>
      <xdr:row>653</xdr:row>
      <xdr:rowOff>27231</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650</xdr:row>
      <xdr:rowOff>41415</xdr:rowOff>
    </xdr:from>
    <xdr:to>
      <xdr:col>12</xdr:col>
      <xdr:colOff>62846</xdr:colOff>
      <xdr:row>650</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650</xdr:row>
      <xdr:rowOff>41415</xdr:rowOff>
    </xdr:from>
    <xdr:to>
      <xdr:col>19</xdr:col>
      <xdr:colOff>87693</xdr:colOff>
      <xdr:row>650</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510</xdr:row>
      <xdr:rowOff>24849</xdr:rowOff>
    </xdr:from>
    <xdr:to>
      <xdr:col>16</xdr:col>
      <xdr:colOff>141260</xdr:colOff>
      <xdr:row>510</xdr:row>
      <xdr:rowOff>170582</xdr:rowOff>
    </xdr:to>
    <xdr:pic>
      <xdr:nvPicPr>
        <xdr:cNvPr id="18" name="図 17" descr="[res=400]{%5C%5B%20%20%20%61%2B%62%3D%78%2B%79%20%20%20%20%5C%5D%20}&#10;">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398565" y="93982762"/>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74544</xdr:colOff>
      <xdr:row>510</xdr:row>
      <xdr:rowOff>24849</xdr:rowOff>
    </xdr:from>
    <xdr:to>
      <xdr:col>26</xdr:col>
      <xdr:colOff>44851</xdr:colOff>
      <xdr:row>511</xdr:row>
      <xdr:rowOff>2652</xdr:rowOff>
    </xdr:to>
    <xdr:pic>
      <xdr:nvPicPr>
        <xdr:cNvPr id="19" name="図 18" descr="[res=400]{%5C%5B%20%20%20%79%3D%2D%28%78%2D%61%29%2B%62%20%20%20%20%5C%5D%20}&#10;">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038522" y="93982762"/>
          <a:ext cx="11630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511</xdr:row>
      <xdr:rowOff>24850</xdr:rowOff>
    </xdr:from>
    <xdr:to>
      <xdr:col>16</xdr:col>
      <xdr:colOff>141260</xdr:colOff>
      <xdr:row>511</xdr:row>
      <xdr:rowOff>170583</xdr:rowOff>
    </xdr:to>
    <xdr:pic>
      <xdr:nvPicPr>
        <xdr:cNvPr id="20" name="図 19" descr="[res=400]{%5C%5B%20%20%20%61%2D%62%3D%78%2D%79%20%20%20%5C%5D%20}&#10;">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398565" y="94164980"/>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74543</xdr:colOff>
      <xdr:row>511</xdr:row>
      <xdr:rowOff>24849</xdr:rowOff>
    </xdr:from>
    <xdr:to>
      <xdr:col>25</xdr:col>
      <xdr:colOff>120760</xdr:colOff>
      <xdr:row>512</xdr:row>
      <xdr:rowOff>2651</xdr:rowOff>
    </xdr:to>
    <xdr:pic>
      <xdr:nvPicPr>
        <xdr:cNvPr id="21" name="図 20" descr="[res=400]{%5C%5B%20%20%20%79%3D%28%78%2D%61%29%2B%62%20%20%20%5C%5D%20}&#1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038521" y="94164979"/>
          <a:ext cx="104013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512</xdr:row>
      <xdr:rowOff>16566</xdr:rowOff>
    </xdr:from>
    <xdr:to>
      <xdr:col>18</xdr:col>
      <xdr:colOff>180892</xdr:colOff>
      <xdr:row>512</xdr:row>
      <xdr:rowOff>176586</xdr:rowOff>
    </xdr:to>
    <xdr:pic>
      <xdr:nvPicPr>
        <xdr:cNvPr id="22" name="図 21" descr="[res=400]{%5C%5B%20%20%20%7C%61%2D%78%7C%2B%7C%62%2D%79%7C%5C%6C%65%71%71%33%20%20%20%5C%5D%20}&#10;">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398565" y="94338914"/>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509</xdr:row>
      <xdr:rowOff>16566</xdr:rowOff>
    </xdr:from>
    <xdr:to>
      <xdr:col>19</xdr:col>
      <xdr:colOff>180678</xdr:colOff>
      <xdr:row>509</xdr:row>
      <xdr:rowOff>176586</xdr:rowOff>
    </xdr:to>
    <xdr:pic>
      <xdr:nvPicPr>
        <xdr:cNvPr id="23" name="図 22" descr="[res=400]{%5C%5B%20%20%20%28%78%2C%5C%2C%79%29%20%20%20%5C%5D%20}&#10;">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3792262"/>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516</xdr:row>
      <xdr:rowOff>24850</xdr:rowOff>
    </xdr:from>
    <xdr:to>
      <xdr:col>19</xdr:col>
      <xdr:colOff>180678</xdr:colOff>
      <xdr:row>517</xdr:row>
      <xdr:rowOff>2653</xdr:rowOff>
    </xdr:to>
    <xdr:pic>
      <xdr:nvPicPr>
        <xdr:cNvPr id="3" name="図 2" descr="[res=400]{%5C%5B%20%20%20%28%78%2C%5C%2C%79%29%20%20%20%5C%5D%20}&#1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5076067"/>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518</xdr:row>
      <xdr:rowOff>16566</xdr:rowOff>
    </xdr:from>
    <xdr:to>
      <xdr:col>20</xdr:col>
      <xdr:colOff>156045</xdr:colOff>
      <xdr:row>518</xdr:row>
      <xdr:rowOff>176586</xdr:rowOff>
    </xdr:to>
    <xdr:pic>
      <xdr:nvPicPr>
        <xdr:cNvPr id="11" name="図 10" descr="[res=400]{%5C%5B%20%20%20%7C%61%2D%78%7C%2B%7C%62%2D%79%7C%5C%6C%65%71%71%20%36%20%20%5C%5D%20}&#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771283" y="95432218"/>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74547</xdr:colOff>
      <xdr:row>512</xdr:row>
      <xdr:rowOff>1</xdr:rowOff>
    </xdr:from>
    <xdr:to>
      <xdr:col>28</xdr:col>
      <xdr:colOff>30194</xdr:colOff>
      <xdr:row>515</xdr:row>
      <xdr:rowOff>182012</xdr:rowOff>
    </xdr:to>
    <xdr:pic>
      <xdr:nvPicPr>
        <xdr:cNvPr id="13" name="図 12" descr="[res=400]{%5C%5B%20%20%20%5C%62%65%67%69%6E%7B%61%72%72%61%79%7D%7B%6C%7D%20%79%5C%67%65%71%71%20%2D%28%78%2D%61%29%2B%28%62%2D%33%29%5C%5C%20%79%5C%67%65%71%71%20%28%78%2D%61%29%2B%28%62%2D%33%29%5C%5C%20%79%5C%6C%65%71%71%20%2D%28%78%2D%61%29%2B%28%62%2B%33%29%5C%5C%20%79%5C%6C%65%71%71%20%28%78%2D%61%29%2B%28%62%2B%33%29%5C%5C%20%5C%65%6E%64%7B%61%72%72%61%79%7D%20%20%20%5C%5D%20}&#10;">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038525" y="94322349"/>
          <a:ext cx="1545908"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xdr:colOff>
      <xdr:row>512</xdr:row>
      <xdr:rowOff>1</xdr:rowOff>
    </xdr:from>
    <xdr:to>
      <xdr:col>33</xdr:col>
      <xdr:colOff>159276</xdr:colOff>
      <xdr:row>515</xdr:row>
      <xdr:rowOff>182012</xdr:rowOff>
    </xdr:to>
    <xdr:pic>
      <xdr:nvPicPr>
        <xdr:cNvPr id="15" name="図 14" descr="[res=400]{%5C%5B%20%20%5C%62%65%67%69%6E%7B%61%72%72%61%79%7D%7B%6C%7D%20%28%61%5C%67%65%71%71%20%78%2C%5C%68%73%70%61%63%65%7B%31%6D%6D%7D%20%62%5C%67%65%71%71%20%79%29%5C%5C%20%28%61%3C%78%2C%5C%68%73%70%61%63%65%7B%31%6D%6D%7D%20%62%5C%67%65%71%71%20%79%29%5C%5C%20%28%61%3C%78%2C%5C%68%73%70%61%63%65%7B%31%6D%6D%7D%20%62%3C%79%29%5C%5C%20%28%61%5C%67%65%71%71%20%78%2C%5C%68%73%70%61%63%65%7B%31%6D%6D%7D%20%62%3C%79%29%5C%5C%20%20%5C%65%6E%64%7B%61%72%72%61%79%7D%20%20%20%20%5C%5D%20}&#10;">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1753023" y="94322349"/>
          <a:ext cx="954405"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16567</xdr:colOff>
      <xdr:row>519</xdr:row>
      <xdr:rowOff>8285</xdr:rowOff>
    </xdr:from>
    <xdr:to>
      <xdr:col>35</xdr:col>
      <xdr:colOff>133849</xdr:colOff>
      <xdr:row>519</xdr:row>
      <xdr:rowOff>168305</xdr:rowOff>
    </xdr:to>
    <xdr:pic>
      <xdr:nvPicPr>
        <xdr:cNvPr id="24" name="図 23" descr="[res=400]{%5C%5B%20%20%7C%28%78%2D%61%29%2B%28%79%2D%62%29%7C%5C%6C%65%71%71%20%33%20%20%20%20%5C%5D%20}&#10;">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1570806" y="93601763"/>
          <a:ext cx="150876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16564</xdr:colOff>
      <xdr:row>520</xdr:row>
      <xdr:rowOff>16565</xdr:rowOff>
    </xdr:from>
    <xdr:to>
      <xdr:col>35</xdr:col>
      <xdr:colOff>133846</xdr:colOff>
      <xdr:row>520</xdr:row>
      <xdr:rowOff>176585</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6"/>
        <a:stretch>
          <a:fillRect/>
        </a:stretch>
      </xdr:blipFill>
      <xdr:spPr>
        <a:xfrm>
          <a:off x="11570803" y="93792261"/>
          <a:ext cx="1508760" cy="160020"/>
        </a:xfrm>
        <a:prstGeom prst="rect">
          <a:avLst/>
        </a:prstGeom>
      </xdr:spPr>
    </xdr:pic>
    <xdr:clientData/>
  </xdr:twoCellAnchor>
  <xdr:twoCellAnchor editAs="oneCell">
    <xdr:from>
      <xdr:col>18</xdr:col>
      <xdr:colOff>132520</xdr:colOff>
      <xdr:row>522</xdr:row>
      <xdr:rowOff>16566</xdr:rowOff>
    </xdr:from>
    <xdr:to>
      <xdr:col>20</xdr:col>
      <xdr:colOff>97858</xdr:colOff>
      <xdr:row>522</xdr:row>
      <xdr:rowOff>176586</xdr:rowOff>
    </xdr:to>
    <xdr:pic>
      <xdr:nvPicPr>
        <xdr:cNvPr id="5" name="図 4" descr="[res=400]{%5C%5B%20%20%20%28%78%2C%5C%2C%79%29%20%20%20%5C%5D%20}&#10;">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698933" y="93974479"/>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124238</xdr:colOff>
      <xdr:row>519</xdr:row>
      <xdr:rowOff>57977</xdr:rowOff>
    </xdr:from>
    <xdr:to>
      <xdr:col>19</xdr:col>
      <xdr:colOff>165485</xdr:colOff>
      <xdr:row>519</xdr:row>
      <xdr:rowOff>163705</xdr:rowOff>
    </xdr:to>
    <xdr:pic>
      <xdr:nvPicPr>
        <xdr:cNvPr id="6" name="図 5" descr="[res=400]{%5C%5B%20%20%20%78%2C%20%79%20%20%5C%5D%20}&#10;">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690651" y="93651455"/>
          <a:ext cx="240030" cy="105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124238</xdr:colOff>
      <xdr:row>520</xdr:row>
      <xdr:rowOff>57977</xdr:rowOff>
    </xdr:from>
    <xdr:to>
      <xdr:col>19</xdr:col>
      <xdr:colOff>165485</xdr:colOff>
      <xdr:row>520</xdr:row>
      <xdr:rowOff>163705</xdr:rowOff>
    </xdr:to>
    <xdr:pic>
      <xdr:nvPicPr>
        <xdr:cNvPr id="14" name="図 13" descr="[res=400]{%5C%5B%20%20%20%78%2C%20%79%20%20%5C%5D%20}&#10;">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690651" y="93833673"/>
          <a:ext cx="240030" cy="105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190500</xdr:colOff>
      <xdr:row>517</xdr:row>
      <xdr:rowOff>16565</xdr:rowOff>
    </xdr:from>
    <xdr:to>
      <xdr:col>24</xdr:col>
      <xdr:colOff>49861</xdr:colOff>
      <xdr:row>517</xdr:row>
      <xdr:rowOff>176585</xdr:rowOff>
    </xdr:to>
    <xdr:pic>
      <xdr:nvPicPr>
        <xdr:cNvPr id="17" name="図 16" descr="[res=400]{%5C%5B%20%20%20%28%78%2D%61%29%2B%28%79%2D%62%29%5C%65%71%75%69%76%20%30%5C%68%73%70%61%63%65%7B%32%6D%6D%7D%28%6D%6F%64%5C%68%73%70%61%63%65%7B%31%6D%6D%7D%20%32%29%20%20%20%20%5C%5D%20}&#10;">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8763000" y="93245608"/>
          <a:ext cx="204597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51"/>
  <sheetViews>
    <sheetView tabSelected="1" zoomScale="115" zoomScaleNormal="115" workbookViewId="0">
      <pane ySplit="4" topLeftCell="A602" activePane="bottomLeft" state="frozen"/>
      <selection activeCell="N42" sqref="N42"/>
      <selection pane="bottomLeft" activeCell="A602" sqref="A602"/>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664</v>
      </c>
      <c r="AS6" s="56"/>
      <c r="AT6" s="55"/>
      <c r="CB6" s="56"/>
      <c r="CC6" s="54"/>
    </row>
    <row r="7" spans="2:81">
      <c r="B7" s="52" t="str">
        <f>IF(F7&lt;&gt;"",SUBTOTAL(3,$F$5:F7),"")</f>
        <v/>
      </c>
      <c r="C7" s="52"/>
      <c r="D7" s="53"/>
      <c r="E7" s="53"/>
      <c r="F7" s="54"/>
      <c r="G7" s="106"/>
      <c r="H7" s="100"/>
      <c r="I7" s="106"/>
      <c r="J7" s="101"/>
      <c r="K7" s="55" t="s">
        <v>665</v>
      </c>
      <c r="AS7" s="56"/>
      <c r="AT7" s="55"/>
      <c r="CB7" s="56"/>
      <c r="CC7" s="54"/>
    </row>
    <row r="8" spans="2:81">
      <c r="B8" s="52" t="str">
        <f>IF(F8&lt;&gt;"",SUBTOTAL(3,$F$5:F8),"")</f>
        <v/>
      </c>
      <c r="C8" s="52"/>
      <c r="D8" s="53"/>
      <c r="E8" s="53"/>
      <c r="F8" s="54"/>
      <c r="G8" s="106"/>
      <c r="H8" s="100"/>
      <c r="I8" s="106"/>
      <c r="J8" s="101"/>
      <c r="K8" s="55" t="s">
        <v>666</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764</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603</v>
      </c>
      <c r="AS29" s="56"/>
      <c r="AT29" s="55"/>
      <c r="CB29" s="56"/>
      <c r="CC29" s="54"/>
    </row>
    <row r="30" spans="2:121">
      <c r="B30" s="52" t="str">
        <f>IF(F30&lt;&gt;"",SUBTOTAL(3,$F$5:F30),"")</f>
        <v/>
      </c>
      <c r="C30" s="52"/>
      <c r="D30" s="53"/>
      <c r="E30" s="53"/>
      <c r="F30" s="54"/>
      <c r="G30" s="106"/>
      <c r="H30" s="100"/>
      <c r="I30" s="106"/>
      <c r="J30" s="101"/>
      <c r="K30" s="55" t="s">
        <v>604</v>
      </c>
      <c r="AS30" s="56"/>
      <c r="AT30" s="55"/>
      <c r="CB30" s="56"/>
      <c r="CC30" s="54"/>
    </row>
    <row r="31" spans="2:121">
      <c r="B31" s="52" t="str">
        <f>IF(F31&lt;&gt;"",SUBTOTAL(3,$F$5:F31),"")</f>
        <v/>
      </c>
      <c r="C31" s="52"/>
      <c r="D31" s="53"/>
      <c r="E31" s="53"/>
      <c r="F31" s="54"/>
      <c r="G31" s="106"/>
      <c r="H31" s="100"/>
      <c r="I31" s="106"/>
      <c r="J31" s="101"/>
      <c r="K31" s="55" t="s">
        <v>605</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674</v>
      </c>
      <c r="G64" s="118">
        <v>44523</v>
      </c>
      <c r="H64" s="117">
        <v>0.5</v>
      </c>
      <c r="I64" s="120"/>
      <c r="J64" s="102"/>
      <c r="K64" s="55" t="s">
        <v>681</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676</v>
      </c>
      <c r="G70" s="106">
        <v>44409</v>
      </c>
      <c r="H70" s="100">
        <v>1</v>
      </c>
      <c r="I70" s="108"/>
      <c r="J70" s="102"/>
      <c r="K70" s="55" t="s">
        <v>671</v>
      </c>
      <c r="AS70" s="56"/>
      <c r="AT70" s="55"/>
      <c r="CB70" s="56"/>
      <c r="CC70" s="54"/>
    </row>
    <row r="71" spans="2:81">
      <c r="B71" s="52" t="str">
        <f>IF(G71&lt;&gt;"",SUBTOTAL(3,$G$5:G71),"")</f>
        <v/>
      </c>
      <c r="C71" s="52"/>
      <c r="D71" s="53"/>
      <c r="E71" s="53"/>
      <c r="F71" s="54"/>
      <c r="G71" s="106"/>
      <c r="H71" s="100"/>
      <c r="I71" s="108"/>
      <c r="J71" s="102"/>
      <c r="K71" s="55" t="s">
        <v>672</v>
      </c>
      <c r="AS71" s="56"/>
      <c r="AT71" s="55"/>
      <c r="CB71" s="56"/>
      <c r="CC71" s="54"/>
    </row>
    <row r="72" spans="2:81">
      <c r="B72" s="52" t="str">
        <f>IF(G72&lt;&gt;"",SUBTOTAL(3,$G$5:G72),"")</f>
        <v/>
      </c>
      <c r="C72" s="52"/>
      <c r="D72" s="53"/>
      <c r="E72" s="53"/>
      <c r="F72" s="54"/>
      <c r="G72" s="106"/>
      <c r="H72" s="100"/>
      <c r="I72" s="108"/>
      <c r="J72" s="102"/>
      <c r="K72" s="55" t="s">
        <v>673</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675</v>
      </c>
      <c r="G74" s="106">
        <v>44409</v>
      </c>
      <c r="H74" s="100">
        <v>1</v>
      </c>
      <c r="I74" s="108"/>
      <c r="J74" s="102"/>
      <c r="K74" s="81" t="s">
        <v>668</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670</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669</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660</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661</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IF(F85&lt;&gt;"",SUBTOTAL(3,$F$5:F649),"")</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662</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IF(F89&lt;&gt;"",SUBTOTAL(3,$F$5:F649),"")</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639</v>
      </c>
      <c r="AS113" s="56"/>
      <c r="AT113" s="55" t="s">
        <v>335</v>
      </c>
      <c r="CB113" s="56"/>
      <c r="CC113" s="54"/>
    </row>
    <row r="114" spans="2:81">
      <c r="B114" s="113" t="str">
        <f>IF(F114&lt;&gt;"",SUBTOTAL(3,$F$5:F114),"")</f>
        <v/>
      </c>
      <c r="C114" s="113"/>
      <c r="D114" s="114"/>
      <c r="E114" s="114"/>
      <c r="F114" s="119"/>
      <c r="G114" s="118"/>
      <c r="H114" s="117"/>
      <c r="I114" s="118"/>
      <c r="J114" s="111"/>
      <c r="K114" s="55" t="s">
        <v>640</v>
      </c>
      <c r="AS114" s="56"/>
      <c r="AT114" s="55"/>
      <c r="CB114" s="56"/>
      <c r="CC114" s="54"/>
    </row>
    <row r="115" spans="2:81">
      <c r="B115" s="113" t="str">
        <f>IF(F115&lt;&gt;"",SUBTOTAL(3,$F$5:F115),"")</f>
        <v/>
      </c>
      <c r="C115" s="113"/>
      <c r="D115" s="114"/>
      <c r="E115" s="114"/>
      <c r="F115" s="119"/>
      <c r="G115" s="118"/>
      <c r="H115" s="117"/>
      <c r="I115" s="118"/>
      <c r="J115" s="111"/>
      <c r="K115" s="55" t="s">
        <v>641</v>
      </c>
      <c r="AS115" s="56"/>
      <c r="AT115" s="55"/>
      <c r="CB115" s="56"/>
      <c r="CC115" s="54"/>
    </row>
    <row r="116" spans="2:81">
      <c r="B116" s="113" t="str">
        <f>IF(F116&lt;&gt;"",SUBTOTAL(3,$F$5:F116),"")</f>
        <v/>
      </c>
      <c r="C116" s="113"/>
      <c r="D116" s="114"/>
      <c r="E116" s="114"/>
      <c r="F116" s="119"/>
      <c r="G116" s="118"/>
      <c r="H116" s="117"/>
      <c r="I116" s="118"/>
      <c r="J116" s="111"/>
      <c r="K116" s="55" t="s">
        <v>642</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600</v>
      </c>
      <c r="AS228" s="56"/>
      <c r="AT228" s="55"/>
      <c r="CB228" s="56"/>
      <c r="CC228" s="54"/>
    </row>
    <row r="229" spans="2:81">
      <c r="B229" s="52" t="str">
        <f>IF(F229&lt;&gt;"",SUBTOTAL(3,$F$5:F229),"")</f>
        <v/>
      </c>
      <c r="C229" s="52"/>
      <c r="D229" s="53"/>
      <c r="E229" s="53"/>
      <c r="F229" s="54"/>
      <c r="G229" s="106"/>
      <c r="H229" s="100"/>
      <c r="I229" s="106"/>
      <c r="J229" s="101"/>
      <c r="K229" s="55" t="s">
        <v>601</v>
      </c>
      <c r="AS229" s="56"/>
      <c r="AT229" s="55"/>
      <c r="CB229" s="56"/>
      <c r="CC229" s="54"/>
    </row>
    <row r="230" spans="2:81">
      <c r="B230" s="52" t="str">
        <f>IF(F230&lt;&gt;"",SUBTOTAL(3,$F$5:F230),"")</f>
        <v/>
      </c>
      <c r="C230" s="52"/>
      <c r="D230" s="53"/>
      <c r="E230" s="53"/>
      <c r="F230" s="54"/>
      <c r="G230" s="106"/>
      <c r="H230" s="100"/>
      <c r="I230" s="106"/>
      <c r="J230" s="101"/>
      <c r="K230" s="55" t="s">
        <v>602</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612</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613</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615</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616</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614</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606</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609</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607</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610</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608</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617</v>
      </c>
      <c r="AS419" s="66"/>
      <c r="AT419" s="65" t="s">
        <v>358</v>
      </c>
      <c r="CB419" s="66"/>
      <c r="CC419" s="62"/>
    </row>
    <row r="420" spans="2:81" s="41" customFormat="1">
      <c r="B420" s="63" t="str">
        <f>IF(F420&lt;&gt;"",SUBTOTAL(3,$F$5:F420),"")</f>
        <v/>
      </c>
      <c r="C420" s="63"/>
      <c r="D420" s="64"/>
      <c r="E420" s="64"/>
      <c r="F420" s="64"/>
      <c r="G420" s="106"/>
      <c r="H420" s="100"/>
      <c r="I420" s="106"/>
      <c r="J420" s="101"/>
      <c r="K420" s="65" t="s">
        <v>618</v>
      </c>
      <c r="AS420" s="66"/>
      <c r="AT420" s="65" t="s">
        <v>359</v>
      </c>
      <c r="CB420" s="66"/>
      <c r="CC420" s="62"/>
    </row>
    <row r="421" spans="2:81" s="41" customFormat="1">
      <c r="B421" s="63" t="str">
        <f>IF(F421&lt;&gt;"",SUBTOTAL(3,$F$5:F421),"")</f>
        <v/>
      </c>
      <c r="C421" s="63"/>
      <c r="D421" s="64"/>
      <c r="E421" s="64"/>
      <c r="F421" s="64"/>
      <c r="G421" s="106"/>
      <c r="H421" s="100"/>
      <c r="I421" s="106"/>
      <c r="J421" s="101"/>
      <c r="K421" s="65" t="s">
        <v>619</v>
      </c>
      <c r="AS421" s="66"/>
      <c r="AT421" s="65" t="s">
        <v>621</v>
      </c>
      <c r="CB421" s="66"/>
      <c r="CC421" s="62"/>
    </row>
    <row r="422" spans="2:81" s="41" customFormat="1">
      <c r="B422" s="63" t="str">
        <f>IF(F422&lt;&gt;"",SUBTOTAL(3,$F$5:F422),"")</f>
        <v/>
      </c>
      <c r="C422" s="63"/>
      <c r="D422" s="64"/>
      <c r="E422" s="64"/>
      <c r="F422" s="64"/>
      <c r="G422" s="106"/>
      <c r="H422" s="100"/>
      <c r="I422" s="106"/>
      <c r="J422" s="101"/>
      <c r="K422" s="65" t="s">
        <v>620</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634</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636</v>
      </c>
      <c r="AS442" s="66"/>
      <c r="AT442" s="80" t="s">
        <v>307</v>
      </c>
      <c r="CB442" s="66"/>
      <c r="CC442" s="62"/>
    </row>
    <row r="443" spans="2:81" s="41" customFormat="1">
      <c r="B443" s="63" t="str">
        <f>IF(F443&lt;&gt;"",SUBTOTAL(3,$F$5:F443),"")</f>
        <v/>
      </c>
      <c r="C443" s="63"/>
      <c r="D443" s="64"/>
      <c r="E443" s="64"/>
      <c r="F443" s="64"/>
      <c r="G443" s="106"/>
      <c r="H443" s="100"/>
      <c r="I443" s="106"/>
      <c r="J443" s="101"/>
      <c r="K443" s="80" t="s">
        <v>635</v>
      </c>
      <c r="AC443" s="129" t="s">
        <v>638</v>
      </c>
      <c r="AD443" s="130"/>
      <c r="AE443" s="130"/>
      <c r="AF443" s="130"/>
      <c r="AG443" s="130"/>
      <c r="AH443" s="130"/>
      <c r="AI443" s="130"/>
      <c r="AJ443" s="130"/>
      <c r="AS443" s="66"/>
      <c r="AT443" s="80" t="s">
        <v>622</v>
      </c>
      <c r="CB443" s="66"/>
      <c r="CC443" s="62"/>
    </row>
    <row r="444" spans="2:81" s="41" customFormat="1">
      <c r="B444" s="63" t="str">
        <f>IF(F444&lt;&gt;"",SUBTOTAL(3,$F$5:F444),"")</f>
        <v/>
      </c>
      <c r="C444" s="63"/>
      <c r="D444" s="64"/>
      <c r="E444" s="64"/>
      <c r="F444" s="64"/>
      <c r="G444" s="106"/>
      <c r="H444" s="100"/>
      <c r="I444" s="106"/>
      <c r="J444" s="101"/>
      <c r="K444" s="80" t="s">
        <v>633</v>
      </c>
      <c r="AC444" s="130"/>
      <c r="AD444" s="130"/>
      <c r="AE444" s="130"/>
      <c r="AF444" s="130"/>
      <c r="AG444" s="130"/>
      <c r="AH444" s="130"/>
      <c r="AI444" s="130"/>
      <c r="AJ444" s="130"/>
      <c r="AS444" s="66"/>
      <c r="AT444" s="80" t="s">
        <v>308</v>
      </c>
      <c r="CB444" s="66"/>
      <c r="CC444" s="62"/>
    </row>
    <row r="445" spans="2:81" s="41" customFormat="1">
      <c r="B445" s="63" t="str">
        <f>IF(F445&lt;&gt;"",SUBTOTAL(3,$F$5:F445),"")</f>
        <v/>
      </c>
      <c r="C445" s="63"/>
      <c r="D445" s="64"/>
      <c r="E445" s="64"/>
      <c r="F445" s="64"/>
      <c r="G445" s="106"/>
      <c r="H445" s="100"/>
      <c r="I445" s="106"/>
      <c r="J445" s="101"/>
      <c r="K445" s="80" t="s">
        <v>637</v>
      </c>
      <c r="AS445" s="66"/>
      <c r="AT445" s="80" t="s">
        <v>623</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624</v>
      </c>
      <c r="CB452" s="66"/>
      <c r="CC452" s="62"/>
    </row>
    <row r="453" spans="2:81" s="41" customFormat="1">
      <c r="B453" s="52" t="str">
        <f>IF(F453&lt;&gt;"",SUBTOTAL(3,$F$5:F453),"")</f>
        <v/>
      </c>
      <c r="C453" s="63"/>
      <c r="D453" s="64"/>
      <c r="E453" s="64"/>
      <c r="F453" s="64"/>
      <c r="G453" s="106"/>
      <c r="H453" s="100"/>
      <c r="I453" s="106"/>
      <c r="J453" s="101"/>
      <c r="K453" s="80"/>
      <c r="AS453" s="66"/>
      <c r="AT453" s="65"/>
      <c r="AU453" s="93" t="s">
        <v>631</v>
      </c>
      <c r="CB453" s="66"/>
      <c r="CC453" s="62"/>
    </row>
    <row r="454" spans="2:81" s="41" customFormat="1">
      <c r="B454" s="63" t="str">
        <f>IF(F454&lt;&gt;"",SUBTOTAL(3,$F$5:F454),"")</f>
        <v/>
      </c>
      <c r="C454" s="63"/>
      <c r="D454" s="64"/>
      <c r="E454" s="64"/>
      <c r="F454" s="64"/>
      <c r="G454" s="106"/>
      <c r="H454" s="100"/>
      <c r="I454" s="106"/>
      <c r="J454" s="101"/>
      <c r="K454" s="80"/>
      <c r="AS454" s="66"/>
      <c r="AT454" s="65"/>
      <c r="AU454" s="93" t="s">
        <v>625</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626</v>
      </c>
      <c r="CB456" s="66"/>
      <c r="CC456" s="62"/>
    </row>
    <row r="457" spans="2:81" s="41" customFormat="1">
      <c r="B457" s="63" t="str">
        <f>IF(F457&lt;&gt;"",SUBTOTAL(3,$F$5:F457),"")</f>
        <v/>
      </c>
      <c r="C457" s="63"/>
      <c r="D457" s="64"/>
      <c r="E457" s="64"/>
      <c r="F457" s="64"/>
      <c r="G457" s="106"/>
      <c r="H457" s="100"/>
      <c r="I457" s="106"/>
      <c r="J457" s="101"/>
      <c r="K457" s="80"/>
      <c r="AS457" s="66"/>
      <c r="AT457" s="65"/>
      <c r="AU457" s="93" t="s">
        <v>632</v>
      </c>
      <c r="CB457" s="66"/>
      <c r="CC457" s="62"/>
    </row>
    <row r="458" spans="2:81" s="41" customFormat="1">
      <c r="B458" s="63" t="str">
        <f>IF(F458&lt;&gt;"",SUBTOTAL(3,$F$5:F458),"")</f>
        <v/>
      </c>
      <c r="C458" s="63"/>
      <c r="D458" s="64"/>
      <c r="E458" s="64"/>
      <c r="F458" s="64"/>
      <c r="G458" s="106"/>
      <c r="H458" s="100"/>
      <c r="I458" s="106"/>
      <c r="J458" s="101"/>
      <c r="K458" s="80"/>
      <c r="AS458" s="66"/>
      <c r="AT458" s="65"/>
      <c r="AU458" s="93" t="s">
        <v>627</v>
      </c>
      <c r="CB458" s="66"/>
      <c r="CC458" s="62"/>
    </row>
    <row r="459" spans="2:81" s="41" customFormat="1">
      <c r="B459" s="63" t="str">
        <f>IF(F459&lt;&gt;"",SUBTOTAL(3,$F$5:F459),"")</f>
        <v/>
      </c>
      <c r="C459" s="63"/>
      <c r="D459" s="64"/>
      <c r="E459" s="64"/>
      <c r="F459" s="64"/>
      <c r="G459" s="106"/>
      <c r="H459" s="100"/>
      <c r="I459" s="106"/>
      <c r="J459" s="101"/>
      <c r="K459" s="80"/>
      <c r="AS459" s="66"/>
      <c r="AT459" s="65"/>
      <c r="AU459" s="93" t="s">
        <v>628</v>
      </c>
      <c r="CB459" s="66"/>
      <c r="CC459" s="62"/>
    </row>
    <row r="460" spans="2:81" s="41" customFormat="1">
      <c r="B460" s="63" t="str">
        <f>IF(F460&lt;&gt;"",SUBTOTAL(3,$F$5:F460),"")</f>
        <v/>
      </c>
      <c r="C460" s="63"/>
      <c r="D460" s="64"/>
      <c r="E460" s="64"/>
      <c r="F460" s="64"/>
      <c r="G460" s="106"/>
      <c r="H460" s="100"/>
      <c r="I460" s="106"/>
      <c r="J460" s="101"/>
      <c r="K460" s="80"/>
      <c r="AS460" s="66"/>
      <c r="AT460" s="65"/>
      <c r="AU460" s="93" t="s">
        <v>629</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624</v>
      </c>
      <c r="CB463" s="66"/>
      <c r="CC463" s="62"/>
    </row>
    <row r="464" spans="2:81" s="41" customFormat="1">
      <c r="B464" s="52" t="str">
        <f>IF(F464&lt;&gt;"",SUBTOTAL(3,$F$5:F464),"")</f>
        <v/>
      </c>
      <c r="C464" s="63"/>
      <c r="D464" s="64"/>
      <c r="E464" s="64"/>
      <c r="F464" s="64"/>
      <c r="G464" s="106"/>
      <c r="H464" s="100"/>
      <c r="I464" s="106"/>
      <c r="J464" s="101"/>
      <c r="K464" s="80"/>
      <c r="AT464" s="65"/>
      <c r="AU464" s="93" t="s">
        <v>631</v>
      </c>
      <c r="CB464" s="66"/>
      <c r="CC464" s="62"/>
    </row>
    <row r="465" spans="2:81" s="41" customFormat="1">
      <c r="B465" s="63" t="str">
        <f>IF(F465&lt;&gt;"",SUBTOTAL(3,$F$5:F465),"")</f>
        <v/>
      </c>
      <c r="C465" s="63"/>
      <c r="D465" s="64"/>
      <c r="E465" s="64"/>
      <c r="F465" s="64"/>
      <c r="G465" s="106"/>
      <c r="H465" s="100"/>
      <c r="I465" s="106"/>
      <c r="J465" s="101"/>
      <c r="K465" s="80"/>
      <c r="AT465" s="65"/>
      <c r="AU465" s="93" t="s">
        <v>625</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626</v>
      </c>
      <c r="CB467" s="66"/>
      <c r="CC467" s="62"/>
    </row>
    <row r="468" spans="2:81" s="41" customFormat="1">
      <c r="B468" s="63" t="str">
        <f>IF(F468&lt;&gt;"",SUBTOTAL(3,$F$5:F468),"")</f>
        <v/>
      </c>
      <c r="C468" s="63"/>
      <c r="D468" s="64"/>
      <c r="E468" s="64"/>
      <c r="F468" s="64"/>
      <c r="G468" s="106"/>
      <c r="H468" s="100"/>
      <c r="I468" s="106"/>
      <c r="J468" s="101"/>
      <c r="K468" s="80"/>
      <c r="AT468" s="65"/>
      <c r="AU468" s="93" t="s">
        <v>630</v>
      </c>
      <c r="CB468" s="66"/>
      <c r="CC468" s="62"/>
    </row>
    <row r="469" spans="2:81" s="41" customFormat="1">
      <c r="B469" s="63" t="str">
        <f>IF(F469&lt;&gt;"",SUBTOTAL(3,$F$5:F469),"")</f>
        <v/>
      </c>
      <c r="C469" s="63"/>
      <c r="D469" s="64"/>
      <c r="E469" s="64"/>
      <c r="F469" s="64"/>
      <c r="G469" s="106"/>
      <c r="H469" s="100"/>
      <c r="I469" s="106"/>
      <c r="J469" s="101"/>
      <c r="K469" s="80"/>
      <c r="AT469" s="65"/>
      <c r="AU469" s="93" t="s">
        <v>628</v>
      </c>
      <c r="CB469" s="66"/>
      <c r="CC469" s="62"/>
    </row>
    <row r="470" spans="2:81" s="41" customFormat="1">
      <c r="B470" s="63" t="str">
        <f>IF(F470&lt;&gt;"",SUBTOTAL(3,$F$5:F470),"")</f>
        <v/>
      </c>
      <c r="C470" s="63"/>
      <c r="D470" s="64"/>
      <c r="E470" s="64"/>
      <c r="F470" s="64"/>
      <c r="G470" s="106"/>
      <c r="H470" s="100"/>
      <c r="I470" s="106"/>
      <c r="J470" s="101"/>
      <c r="K470" s="80"/>
      <c r="AT470" s="65"/>
      <c r="AU470" s="93" t="s">
        <v>629</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99">
      <c r="B497" s="52" t="str">
        <f>IF(F497&lt;&gt;"",SUBTOTAL(3,$F$5:F497),"")</f>
        <v/>
      </c>
      <c r="C497" s="52"/>
      <c r="D497" s="53"/>
      <c r="E497" s="53"/>
      <c r="F497" s="53"/>
      <c r="G497" s="106"/>
      <c r="H497" s="100"/>
      <c r="I497" s="106"/>
      <c r="J497" s="100"/>
      <c r="K497" s="55" t="s">
        <v>578</v>
      </c>
      <c r="AS497" s="56"/>
      <c r="AT497" s="55"/>
      <c r="CB497" s="56"/>
      <c r="CC497" s="54"/>
    </row>
    <row r="498" spans="2:99">
      <c r="B498" s="52" t="str">
        <f>IF(F498&lt;&gt;"",SUBTOTAL(3,$F$5:F498),"")</f>
        <v/>
      </c>
      <c r="C498" s="52"/>
      <c r="D498" s="53"/>
      <c r="E498" s="53"/>
      <c r="F498" s="53"/>
      <c r="G498" s="106"/>
      <c r="H498" s="100"/>
      <c r="I498" s="106"/>
      <c r="J498" s="100"/>
      <c r="K498" s="55" t="s">
        <v>580</v>
      </c>
      <c r="AS498" s="56"/>
      <c r="AT498" s="55"/>
      <c r="CB498" s="56"/>
      <c r="CC498" s="54"/>
    </row>
    <row r="499" spans="2:99">
      <c r="B499" s="52" t="str">
        <f>IF(F499&lt;&gt;"",SUBTOTAL(3,$F$5:F499),"")</f>
        <v/>
      </c>
      <c r="C499" s="52"/>
      <c r="D499" s="53"/>
      <c r="E499" s="53"/>
      <c r="F499" s="53"/>
      <c r="G499" s="106"/>
      <c r="H499" s="100"/>
      <c r="I499" s="106"/>
      <c r="J499" s="100"/>
      <c r="K499" s="55"/>
      <c r="AS499" s="56"/>
      <c r="AT499" s="55"/>
      <c r="CB499" s="56"/>
      <c r="CC499" s="54"/>
    </row>
    <row r="500" spans="2:99">
      <c r="B500" s="52">
        <f>IF(F500&lt;&gt;"",SUBTOTAL(3,$F$5:F500),"")</f>
        <v>101</v>
      </c>
      <c r="C500" s="52"/>
      <c r="D500" s="53" t="s">
        <v>138</v>
      </c>
      <c r="E500" s="53" t="s">
        <v>141</v>
      </c>
      <c r="F500" s="53" t="s">
        <v>590</v>
      </c>
      <c r="G500" s="106">
        <v>44199</v>
      </c>
      <c r="H500" s="100">
        <v>1</v>
      </c>
      <c r="I500" s="106"/>
      <c r="J500" s="100"/>
      <c r="K500" s="55" t="s">
        <v>611</v>
      </c>
      <c r="AS500" s="56"/>
      <c r="AT500" s="55"/>
      <c r="CB500" s="56"/>
      <c r="CC500" s="54"/>
    </row>
    <row r="501" spans="2:99">
      <c r="B501" s="52" t="str">
        <f>IF(F501&lt;&gt;"",SUBTOTAL(3,$F$5:F501),"")</f>
        <v/>
      </c>
      <c r="C501" s="52"/>
      <c r="D501" s="53"/>
      <c r="E501" s="53"/>
      <c r="F501" s="53"/>
      <c r="G501" s="106"/>
      <c r="H501" s="100"/>
      <c r="I501" s="106"/>
      <c r="J501" s="101"/>
      <c r="K501" s="55" t="s">
        <v>598</v>
      </c>
      <c r="AS501" s="56"/>
      <c r="AT501" s="55"/>
      <c r="CB501" s="56"/>
      <c r="CC501" s="54"/>
    </row>
    <row r="502" spans="2:99">
      <c r="B502" s="52" t="str">
        <f>IF(F502&lt;&gt;"",SUBTOTAL(3,$F$5:F502),"")</f>
        <v/>
      </c>
      <c r="C502" s="52"/>
      <c r="D502" s="53"/>
      <c r="E502" s="53"/>
      <c r="F502" s="53"/>
      <c r="G502" s="106"/>
      <c r="H502" s="100"/>
      <c r="I502" s="106"/>
      <c r="J502" s="101"/>
      <c r="K502" s="55" t="s">
        <v>599</v>
      </c>
      <c r="AS502" s="56"/>
      <c r="AT502" s="55"/>
      <c r="CB502" s="56"/>
      <c r="CC502" s="54"/>
    </row>
    <row r="503" spans="2:99">
      <c r="B503" s="52" t="str">
        <f>IF(F503&lt;&gt;"",SUBTOTAL(3,$F$5:F503),"")</f>
        <v/>
      </c>
      <c r="C503" s="52"/>
      <c r="D503" s="53"/>
      <c r="E503" s="53"/>
      <c r="F503" s="53"/>
      <c r="G503" s="106"/>
      <c r="H503" s="100"/>
      <c r="I503" s="106"/>
      <c r="J503" s="100"/>
      <c r="K503" s="55"/>
      <c r="AS503" s="56"/>
      <c r="AT503" s="55"/>
      <c r="CB503" s="56"/>
      <c r="CC503" s="54"/>
    </row>
    <row r="504" spans="2:99">
      <c r="B504" s="52">
        <f>IF(F504&lt;&gt;"",SUBTOTAL(3,$F$5:F504),"")</f>
        <v>102</v>
      </c>
      <c r="C504" s="52"/>
      <c r="D504" s="53" t="s">
        <v>138</v>
      </c>
      <c r="E504" s="53" t="s">
        <v>141</v>
      </c>
      <c r="F504" s="53" t="s">
        <v>591</v>
      </c>
      <c r="G504" s="106">
        <v>44199</v>
      </c>
      <c r="H504" s="100">
        <v>1</v>
      </c>
      <c r="I504" s="106"/>
      <c r="J504" s="100"/>
      <c r="K504" s="55" t="s">
        <v>593</v>
      </c>
      <c r="AS504" s="56"/>
      <c r="AT504" s="55"/>
      <c r="CB504" s="56"/>
      <c r="CC504" s="54"/>
    </row>
    <row r="505" spans="2:99">
      <c r="B505" s="52" t="str">
        <f>IF(F505&lt;&gt;"",SUBTOTAL(3,$F$5:F505),"")</f>
        <v/>
      </c>
      <c r="C505" s="52"/>
      <c r="D505" s="53"/>
      <c r="E505" s="53"/>
      <c r="F505" s="53"/>
      <c r="G505" s="106"/>
      <c r="H505" s="100"/>
      <c r="I505" s="106"/>
      <c r="J505" s="102"/>
      <c r="K505" s="55" t="s">
        <v>594</v>
      </c>
      <c r="AS505" s="56"/>
      <c r="AT505" s="55"/>
      <c r="CB505" s="56"/>
      <c r="CC505" s="54"/>
    </row>
    <row r="506" spans="2:99">
      <c r="B506" s="52" t="str">
        <f>IF(F506&lt;&gt;"",SUBTOTAL(3,$F$5:F506),"")</f>
        <v/>
      </c>
      <c r="C506" s="52"/>
      <c r="D506" s="53"/>
      <c r="E506" s="53"/>
      <c r="F506" s="53"/>
      <c r="G506" s="106"/>
      <c r="H506" s="100"/>
      <c r="I506" s="106"/>
      <c r="J506" s="102"/>
      <c r="K506" s="55" t="s">
        <v>595</v>
      </c>
      <c r="AS506" s="56"/>
      <c r="AT506" s="55"/>
      <c r="CB506" s="56"/>
      <c r="CC506" s="54"/>
    </row>
    <row r="507" spans="2:99">
      <c r="B507" s="52" t="str">
        <f>IF(F507&lt;&gt;"",SUBTOTAL(3,$F$5:F507),"")</f>
        <v/>
      </c>
      <c r="C507" s="52"/>
      <c r="D507" s="53"/>
      <c r="E507" s="53"/>
      <c r="F507" s="53"/>
      <c r="G507" s="106"/>
      <c r="H507" s="100"/>
      <c r="I507" s="106"/>
      <c r="J507" s="102"/>
      <c r="K507" s="55" t="s">
        <v>596</v>
      </c>
      <c r="AS507" s="56"/>
      <c r="AT507" s="55"/>
      <c r="CB507" s="56"/>
      <c r="CC507" s="54"/>
    </row>
    <row r="508" spans="2:99">
      <c r="B508" s="52" t="str">
        <f>IF(F508&lt;&gt;"",SUBTOTAL(3,$F$5:F508),"")</f>
        <v/>
      </c>
      <c r="C508" s="52"/>
      <c r="D508" s="53"/>
      <c r="E508" s="53"/>
      <c r="F508" s="53"/>
      <c r="G508" s="106"/>
      <c r="H508" s="100"/>
      <c r="I508" s="106"/>
      <c r="J508" s="102"/>
      <c r="K508" s="55" t="s">
        <v>597</v>
      </c>
      <c r="AS508" s="56"/>
      <c r="AT508" s="55"/>
      <c r="CB508" s="56"/>
      <c r="CC508" s="54"/>
    </row>
    <row r="509" spans="2:99">
      <c r="B509" s="52" t="str">
        <f>IF(F509&lt;&gt;"",SUBTOTAL(3,$F$5:F509),"")</f>
        <v/>
      </c>
      <c r="C509" s="52"/>
      <c r="D509" s="53"/>
      <c r="E509" s="53"/>
      <c r="F509" s="53"/>
      <c r="G509" s="106"/>
      <c r="H509" s="100"/>
      <c r="I509" s="106"/>
      <c r="J509" s="100"/>
      <c r="K509" s="55"/>
      <c r="AS509" s="56"/>
      <c r="AT509" s="55"/>
      <c r="CB509" s="56"/>
      <c r="CC509" s="54"/>
    </row>
    <row r="510" spans="2:99">
      <c r="B510" s="52">
        <f>IF(F510&lt;&gt;"",SUBTOTAL(3,$F$5:F510),"")</f>
        <v>103</v>
      </c>
      <c r="C510" s="52"/>
      <c r="D510" s="53" t="s">
        <v>138</v>
      </c>
      <c r="E510" s="53" t="s">
        <v>141</v>
      </c>
      <c r="F510" s="53" t="s">
        <v>886</v>
      </c>
      <c r="G510" s="106">
        <v>44285</v>
      </c>
      <c r="H510" s="100">
        <v>1</v>
      </c>
      <c r="I510" s="106">
        <v>44829</v>
      </c>
      <c r="J510" s="100" t="s">
        <v>684</v>
      </c>
      <c r="K510" s="55" t="s">
        <v>859</v>
      </c>
      <c r="T510"/>
      <c r="U510" s="51" t="s">
        <v>860</v>
      </c>
      <c r="AS510" s="56"/>
      <c r="AT510" s="55"/>
      <c r="CB510" s="56"/>
      <c r="CC510" s="54"/>
      <c r="CE510" s="51" t="s">
        <v>890</v>
      </c>
    </row>
    <row r="511" spans="2:99">
      <c r="B511" s="52" t="str">
        <f>IF(F511&lt;&gt;"",SUBTOTAL(3,$F$5:F511),"")</f>
        <v/>
      </c>
      <c r="C511" s="52"/>
      <c r="D511" s="53"/>
      <c r="E511" s="53"/>
      <c r="F511" s="53"/>
      <c r="G511" s="106"/>
      <c r="H511" s="100"/>
      <c r="I511" s="106"/>
      <c r="J511" s="100"/>
      <c r="K511" s="55"/>
      <c r="L511" s="51" t="s">
        <v>862</v>
      </c>
      <c r="T511" s="51" t="s">
        <v>861</v>
      </c>
      <c r="AS511" s="56"/>
      <c r="AT511" s="55"/>
      <c r="CB511" s="56"/>
      <c r="CC511" s="54"/>
    </row>
    <row r="512" spans="2:99">
      <c r="B512" s="52" t="str">
        <f>IF(F512&lt;&gt;"",SUBTOTAL(3,$F$5:F512),"")</f>
        <v/>
      </c>
      <c r="C512" s="52"/>
      <c r="D512" s="53"/>
      <c r="E512" s="53"/>
      <c r="F512" s="53"/>
      <c r="G512" s="106"/>
      <c r="H512" s="100"/>
      <c r="I512" s="106"/>
      <c r="J512" s="100"/>
      <c r="K512" s="55"/>
      <c r="L512" s="51" t="s">
        <v>863</v>
      </c>
      <c r="T512" s="51" t="s">
        <v>861</v>
      </c>
      <c r="AS512" s="56"/>
      <c r="AT512" s="55"/>
      <c r="CB512" s="56"/>
      <c r="CC512" s="54"/>
      <c r="CL512" s="51" t="s">
        <v>870</v>
      </c>
      <c r="CU512" s="51" t="s">
        <v>870</v>
      </c>
    </row>
    <row r="513" spans="2:99">
      <c r="B513" s="52" t="str">
        <f>IF(F513&lt;&gt;"",SUBTOTAL(3,$F$5:F513),"")</f>
        <v/>
      </c>
      <c r="C513" s="52"/>
      <c r="D513" s="53"/>
      <c r="E513" s="53"/>
      <c r="F513" s="53"/>
      <c r="G513" s="106"/>
      <c r="H513" s="100"/>
      <c r="I513" s="106"/>
      <c r="J513" s="100"/>
      <c r="K513" s="55"/>
      <c r="L513" s="51" t="s">
        <v>864</v>
      </c>
      <c r="T513" t="s">
        <v>861</v>
      </c>
      <c r="U513"/>
      <c r="AD513"/>
      <c r="AJ513" s="51" t="s">
        <v>881</v>
      </c>
      <c r="AS513" s="56"/>
      <c r="AT513" s="55"/>
      <c r="CB513" s="56"/>
      <c r="CC513" s="54"/>
      <c r="CE513" s="51" t="s">
        <v>869</v>
      </c>
      <c r="CL513" s="51" t="s">
        <v>871</v>
      </c>
      <c r="CU513" s="51" t="s">
        <v>876</v>
      </c>
    </row>
    <row r="514" spans="2:99">
      <c r="B514" s="52" t="str">
        <f>IF(F514&lt;&gt;"",SUBTOTAL(3,$F$5:F514),"")</f>
        <v/>
      </c>
      <c r="C514" s="52"/>
      <c r="D514" s="53"/>
      <c r="E514" s="53"/>
      <c r="F514" s="53"/>
      <c r="G514" s="106"/>
      <c r="H514" s="100"/>
      <c r="I514" s="106"/>
      <c r="J514" s="100"/>
      <c r="K514" s="55"/>
      <c r="AJ514" s="51" t="s">
        <v>882</v>
      </c>
      <c r="AS514" s="56"/>
      <c r="AT514" s="55"/>
      <c r="CB514" s="56"/>
      <c r="CC514" s="54"/>
      <c r="CL514" s="51" t="s">
        <v>872</v>
      </c>
      <c r="CU514" s="51" t="s">
        <v>877</v>
      </c>
    </row>
    <row r="515" spans="2:99">
      <c r="B515" s="52" t="str">
        <f>IF(F515&lt;&gt;"",SUBTOTAL(3,$F$5:F515),"")</f>
        <v/>
      </c>
      <c r="C515" s="52"/>
      <c r="D515" s="53"/>
      <c r="E515" s="53"/>
      <c r="F515" s="53"/>
      <c r="G515" s="106"/>
      <c r="H515" s="100"/>
      <c r="I515" s="106"/>
      <c r="J515" s="100"/>
      <c r="K515" s="55"/>
      <c r="AJ515" s="51" t="s">
        <v>883</v>
      </c>
      <c r="AS515" s="56"/>
      <c r="AT515" s="55"/>
      <c r="CB515" s="56"/>
      <c r="CC515" s="54"/>
      <c r="CL515" s="51" t="s">
        <v>873</v>
      </c>
      <c r="CU515" s="51" t="s">
        <v>878</v>
      </c>
    </row>
    <row r="516" spans="2:99">
      <c r="B516" s="52" t="str">
        <f>IF(F516&lt;&gt;"",SUBTOTAL(3,$F$5:F516),"")</f>
        <v/>
      </c>
      <c r="C516" s="52"/>
      <c r="D516" s="53"/>
      <c r="E516" s="53"/>
      <c r="F516" s="53"/>
      <c r="G516" s="106"/>
      <c r="H516" s="100"/>
      <c r="I516" s="106"/>
      <c r="J516" s="100"/>
      <c r="K516" s="55"/>
      <c r="AJ516" s="51" t="s">
        <v>884</v>
      </c>
      <c r="AS516" s="56"/>
      <c r="AT516" s="55"/>
      <c r="CB516" s="56"/>
      <c r="CC516" s="54"/>
      <c r="CL516" s="51" t="s">
        <v>874</v>
      </c>
      <c r="CU516" s="51" t="s">
        <v>879</v>
      </c>
    </row>
    <row r="517" spans="2:99">
      <c r="B517" s="52" t="str">
        <f>IF(F517&lt;&gt;"",SUBTOTAL(3,$F$5:F517),"")</f>
        <v/>
      </c>
      <c r="C517" s="52"/>
      <c r="D517" s="53"/>
      <c r="E517" s="53"/>
      <c r="F517" s="53"/>
      <c r="G517" s="106"/>
      <c r="H517" s="100"/>
      <c r="I517" s="106"/>
      <c r="J517" s="100"/>
      <c r="K517" s="55" t="s">
        <v>865</v>
      </c>
      <c r="U517" s="51" t="s">
        <v>860</v>
      </c>
      <c r="AS517" s="56"/>
      <c r="AT517" s="55"/>
      <c r="CB517" s="56"/>
      <c r="CC517" s="54"/>
      <c r="CL517" s="51" t="s">
        <v>875</v>
      </c>
      <c r="CU517" s="51" t="s">
        <v>875</v>
      </c>
    </row>
    <row r="518" spans="2:99">
      <c r="B518" s="52" t="str">
        <f>IF(F518&lt;&gt;"",SUBTOTAL(3,$F$5:F518),"")</f>
        <v/>
      </c>
      <c r="C518" s="52"/>
      <c r="D518" s="53"/>
      <c r="E518" s="53"/>
      <c r="F518" s="53"/>
      <c r="G518" s="106"/>
      <c r="H518" s="100"/>
      <c r="I518" s="106"/>
      <c r="J518" s="100"/>
      <c r="K518" s="55"/>
      <c r="L518" s="51" t="s">
        <v>866</v>
      </c>
      <c r="N518"/>
      <c r="Z518"/>
      <c r="AS518" s="56"/>
      <c r="AT518" s="55"/>
      <c r="CB518" s="56"/>
      <c r="CC518" s="54"/>
      <c r="CE518" s="51" t="s">
        <v>893</v>
      </c>
    </row>
    <row r="519" spans="2:99">
      <c r="B519" s="52" t="str">
        <f>IF(F519&lt;&gt;"",SUBTOTAL(3,$F$5:F519),"")</f>
        <v/>
      </c>
      <c r="C519" s="52"/>
      <c r="D519" s="53"/>
      <c r="E519" s="53"/>
      <c r="F519" s="53"/>
      <c r="G519" s="106"/>
      <c r="H519" s="100"/>
      <c r="I519" s="106"/>
      <c r="J519" s="100"/>
      <c r="K519" s="55"/>
      <c r="L519" s="51" t="s">
        <v>867</v>
      </c>
      <c r="O519"/>
      <c r="AC519"/>
      <c r="AS519" s="56"/>
      <c r="AT519" s="55"/>
      <c r="CB519" s="56"/>
      <c r="CC519" s="54"/>
      <c r="CE519" s="51" t="s">
        <v>868</v>
      </c>
    </row>
    <row r="520" spans="2:99">
      <c r="B520" s="52"/>
      <c r="C520" s="52"/>
      <c r="D520" s="53"/>
      <c r="E520" s="53"/>
      <c r="F520" s="53"/>
      <c r="G520" s="106"/>
      <c r="H520" s="100"/>
      <c r="I520" s="106"/>
      <c r="J520" s="100"/>
      <c r="K520" s="55"/>
      <c r="L520" s="51" t="s">
        <v>891</v>
      </c>
      <c r="O520"/>
      <c r="AS520" s="56"/>
      <c r="AT520" s="55"/>
      <c r="CB520" s="56"/>
      <c r="CC520" s="54"/>
      <c r="CE520" s="51" t="s">
        <v>880</v>
      </c>
    </row>
    <row r="521" spans="2:99">
      <c r="B521" s="52" t="str">
        <f>IF(F521&lt;&gt;"",SUBTOTAL(3,$F$5:F521),"")</f>
        <v/>
      </c>
      <c r="C521" s="52"/>
      <c r="D521" s="53"/>
      <c r="E521" s="53"/>
      <c r="F521" s="53"/>
      <c r="G521" s="106"/>
      <c r="H521" s="100"/>
      <c r="I521" s="106"/>
      <c r="J521" s="100"/>
      <c r="K521" s="55"/>
      <c r="L521" s="51" t="s">
        <v>892</v>
      </c>
      <c r="O521"/>
      <c r="AS521" s="56"/>
      <c r="AT521" s="55"/>
      <c r="CB521" s="56"/>
      <c r="CC521" s="54"/>
      <c r="CE521" s="51" t="s">
        <v>885</v>
      </c>
    </row>
    <row r="522" spans="2:99">
      <c r="B522" s="52" t="str">
        <f>IF(F522&lt;&gt;"",SUBTOTAL(3,$F$5:F522),"")</f>
        <v/>
      </c>
      <c r="C522" s="52"/>
      <c r="D522" s="53"/>
      <c r="E522" s="53"/>
      <c r="F522" s="53"/>
      <c r="G522" s="106"/>
      <c r="H522" s="100"/>
      <c r="I522" s="106"/>
      <c r="J522" s="100"/>
      <c r="K522" s="55"/>
      <c r="AS522" s="56"/>
      <c r="AT522" s="55"/>
      <c r="CB522" s="56"/>
      <c r="CC522" s="54"/>
    </row>
    <row r="523" spans="2:99">
      <c r="B523" s="52"/>
      <c r="C523" s="52"/>
      <c r="D523" s="53"/>
      <c r="E523" s="53"/>
      <c r="F523" s="53"/>
      <c r="G523" s="106"/>
      <c r="H523" s="100"/>
      <c r="I523" s="106"/>
      <c r="J523" s="100"/>
      <c r="K523" s="55" t="s">
        <v>888</v>
      </c>
      <c r="O523"/>
      <c r="V523" s="51" t="s">
        <v>889</v>
      </c>
      <c r="AS523" s="56"/>
      <c r="AT523" s="55"/>
      <c r="CB523" s="56"/>
      <c r="CC523" s="54"/>
    </row>
    <row r="524" spans="2:99">
      <c r="B524" s="52" t="str">
        <f>IF(F524&lt;&gt;"",SUBTOTAL(3,$F$5:F524),"")</f>
        <v/>
      </c>
      <c r="C524" s="52"/>
      <c r="D524" s="53"/>
      <c r="E524" s="53"/>
      <c r="F524" s="53"/>
      <c r="G524" s="106"/>
      <c r="H524" s="100"/>
      <c r="I524" s="106"/>
      <c r="J524" s="100"/>
      <c r="K524" s="55"/>
      <c r="AS524" s="56"/>
      <c r="AT524" s="55"/>
      <c r="CB524" s="56"/>
      <c r="CC524" s="54"/>
    </row>
    <row r="525" spans="2:99">
      <c r="B525" s="52" t="str">
        <f>IF(F525&lt;&gt;"",SUBTOTAL(3,$F$5:F525),"")</f>
        <v/>
      </c>
      <c r="C525" s="52"/>
      <c r="D525" s="53"/>
      <c r="E525" s="53"/>
      <c r="F525" s="53"/>
      <c r="G525" s="106"/>
      <c r="H525" s="100"/>
      <c r="I525" s="106"/>
      <c r="J525" s="100"/>
      <c r="K525" s="55" t="s">
        <v>887</v>
      </c>
      <c r="AS525" s="56"/>
      <c r="AT525" s="55"/>
      <c r="CB525" s="56"/>
      <c r="CC525" s="54"/>
    </row>
    <row r="526" spans="2:99">
      <c r="B526" s="52" t="str">
        <f>IF(F526&lt;&gt;"",SUBTOTAL(3,$F$5:F526),"")</f>
        <v/>
      </c>
      <c r="C526" s="52"/>
      <c r="D526" s="53"/>
      <c r="E526" s="53"/>
      <c r="F526" s="53"/>
      <c r="G526" s="106"/>
      <c r="H526" s="100"/>
      <c r="I526" s="106"/>
      <c r="J526" s="100"/>
      <c r="K526" s="55" t="s">
        <v>852</v>
      </c>
      <c r="AS526" s="56"/>
      <c r="AT526" s="55"/>
      <c r="CB526" s="56"/>
      <c r="CC526" s="54"/>
    </row>
    <row r="527" spans="2:99">
      <c r="B527" s="52" t="str">
        <f>IF(F527&lt;&gt;"",SUBTOTAL(3,$F$5:F527),"")</f>
        <v/>
      </c>
      <c r="C527" s="52"/>
      <c r="D527" s="53"/>
      <c r="E527" s="53"/>
      <c r="F527" s="53"/>
      <c r="G527" s="106"/>
      <c r="H527" s="100"/>
      <c r="I527" s="106"/>
      <c r="J527" s="100"/>
      <c r="K527" s="55" t="s">
        <v>853</v>
      </c>
      <c r="AS527" s="56"/>
      <c r="AT527" s="55"/>
      <c r="CB527" s="56"/>
      <c r="CC527" s="54"/>
    </row>
    <row r="528" spans="2:99">
      <c r="B528" s="52" t="str">
        <f>IF(F528&lt;&gt;"",SUBTOTAL(3,$F$5:F528),"")</f>
        <v/>
      </c>
      <c r="C528" s="52"/>
      <c r="D528" s="53"/>
      <c r="E528" s="53"/>
      <c r="F528" s="53"/>
      <c r="G528" s="106"/>
      <c r="H528" s="100"/>
      <c r="I528" s="106"/>
      <c r="J528" s="100"/>
      <c r="K528" s="55" t="s">
        <v>854</v>
      </c>
      <c r="AS528" s="56"/>
      <c r="AT528" s="55"/>
      <c r="CB528" s="56"/>
      <c r="CC528" s="54"/>
    </row>
    <row r="529" spans="2:81">
      <c r="B529" s="52" t="str">
        <f>IF(F529&lt;&gt;"",SUBTOTAL(3,$F$5:F529),"")</f>
        <v/>
      </c>
      <c r="C529" s="52"/>
      <c r="D529" s="53"/>
      <c r="E529" s="53"/>
      <c r="F529" s="53"/>
      <c r="G529" s="106"/>
      <c r="H529" s="100"/>
      <c r="I529" s="106"/>
      <c r="J529" s="100"/>
      <c r="K529" s="55" t="s">
        <v>855</v>
      </c>
      <c r="AS529" s="56"/>
      <c r="AT529" s="55"/>
      <c r="CB529" s="56"/>
      <c r="CC529" s="54"/>
    </row>
    <row r="530" spans="2:81">
      <c r="B530" s="52" t="str">
        <f>IF(F530&lt;&gt;"",SUBTOTAL(3,$F$5:F530),"")</f>
        <v/>
      </c>
      <c r="C530" s="52"/>
      <c r="D530" s="53"/>
      <c r="E530" s="53"/>
      <c r="F530" s="53"/>
      <c r="G530" s="106"/>
      <c r="H530" s="100"/>
      <c r="I530" s="106"/>
      <c r="J530" s="100"/>
      <c r="K530" s="55" t="s">
        <v>856</v>
      </c>
      <c r="AS530" s="56"/>
      <c r="AT530" s="55"/>
      <c r="CB530" s="56"/>
      <c r="CC530" s="54"/>
    </row>
    <row r="531" spans="2:81">
      <c r="B531" s="52" t="str">
        <f>IF(F531&lt;&gt;"",SUBTOTAL(3,$F$5:F531),"")</f>
        <v/>
      </c>
      <c r="C531" s="52"/>
      <c r="D531" s="53"/>
      <c r="E531"/>
      <c r="F531" s="53"/>
      <c r="G531" s="106"/>
      <c r="H531" s="100"/>
      <c r="I531" s="106"/>
      <c r="J531" s="100"/>
      <c r="K531" s="55" t="s">
        <v>857</v>
      </c>
      <c r="AS531" s="56"/>
      <c r="AT531" s="55"/>
      <c r="CB531" s="56"/>
      <c r="CC531" s="54"/>
    </row>
    <row r="532" spans="2:81">
      <c r="B532" s="52" t="str">
        <f>IF(F532&lt;&gt;"",SUBTOTAL(3,$F$5:F532),"")</f>
        <v/>
      </c>
      <c r="C532" s="52"/>
      <c r="D532" s="53"/>
      <c r="E532" s="53"/>
      <c r="F532" s="53"/>
      <c r="G532" s="106"/>
      <c r="H532" s="100"/>
      <c r="I532" s="106"/>
      <c r="J532" s="100"/>
      <c r="K532" s="55" t="s">
        <v>858</v>
      </c>
      <c r="AS532" s="56"/>
      <c r="AT532" s="55"/>
      <c r="CB532" s="56"/>
      <c r="CC532" s="54"/>
    </row>
    <row r="533" spans="2:81">
      <c r="B533" s="52" t="str">
        <f>IF(F533&lt;&gt;"",SUBTOTAL(3,$F$5:F533),"")</f>
        <v/>
      </c>
      <c r="C533" s="52"/>
      <c r="D533" s="53"/>
      <c r="E533" s="53"/>
      <c r="F533" s="53"/>
      <c r="G533" s="106"/>
      <c r="H533" s="100"/>
      <c r="I533" s="106"/>
      <c r="J533" s="100"/>
      <c r="K533" s="55" t="s">
        <v>851</v>
      </c>
      <c r="AS533" s="56"/>
      <c r="AT533" s="55"/>
      <c r="CB533" s="56"/>
      <c r="CC533" s="54"/>
    </row>
    <row r="534" spans="2:81">
      <c r="B534" s="52" t="str">
        <f>IF(F534&lt;&gt;"",SUBTOTAL(3,$F$5:F534),"")</f>
        <v/>
      </c>
      <c r="C534" s="52"/>
      <c r="D534" s="53"/>
      <c r="E534" s="53"/>
      <c r="F534" s="53"/>
      <c r="G534" s="106"/>
      <c r="H534" s="100"/>
      <c r="I534" s="106"/>
      <c r="J534" s="100"/>
      <c r="K534" s="55" t="s">
        <v>592</v>
      </c>
      <c r="AS534" s="56"/>
      <c r="AT534" s="55"/>
      <c r="CB534" s="56"/>
      <c r="CC534" s="54"/>
    </row>
    <row r="535" spans="2:81">
      <c r="B535" s="52" t="str">
        <f>IF(F535&lt;&gt;"",SUBTOTAL(3,$F$5:F535),"")</f>
        <v/>
      </c>
      <c r="C535" s="52"/>
      <c r="D535" s="53"/>
      <c r="E535" s="53"/>
      <c r="F535" s="53"/>
      <c r="G535" s="106"/>
      <c r="H535" s="100"/>
      <c r="I535" s="106"/>
      <c r="J535" s="100"/>
      <c r="K535" s="55"/>
      <c r="AS535" s="56"/>
      <c r="AT535" s="55"/>
      <c r="CB535" s="56"/>
      <c r="CC535" s="54"/>
    </row>
    <row r="536" spans="2:81">
      <c r="B536" s="52">
        <f>IF(F536&lt;&gt;"",SUBTOTAL(3,$F$5:F536),"")</f>
        <v>104</v>
      </c>
      <c r="C536" s="52"/>
      <c r="D536" s="53" t="s">
        <v>138</v>
      </c>
      <c r="E536" s="53" t="s">
        <v>141</v>
      </c>
      <c r="F536" s="53" t="s">
        <v>643</v>
      </c>
      <c r="G536" s="106">
        <v>44290</v>
      </c>
      <c r="H536" s="100">
        <v>1</v>
      </c>
      <c r="I536" s="106">
        <v>44829</v>
      </c>
      <c r="J536" s="100" t="s">
        <v>684</v>
      </c>
      <c r="K536" s="55" t="s">
        <v>849</v>
      </c>
      <c r="AS536" s="56"/>
      <c r="AT536" s="55"/>
      <c r="CB536" s="56"/>
      <c r="CC536" s="54"/>
    </row>
    <row r="537" spans="2:81">
      <c r="B537" s="52" t="str">
        <f>IF(F537&lt;&gt;"",SUBTOTAL(3,$F$5:F537),"")</f>
        <v/>
      </c>
      <c r="C537" s="52"/>
      <c r="D537" s="53"/>
      <c r="E537" s="53"/>
      <c r="F537" s="53"/>
      <c r="G537" s="106"/>
      <c r="H537" s="100"/>
      <c r="I537" s="106"/>
      <c r="J537" s="100"/>
      <c r="K537" s="55" t="s">
        <v>850</v>
      </c>
      <c r="AS537" s="56"/>
      <c r="AT537" s="55"/>
      <c r="CB537" s="56"/>
      <c r="CC537" s="54"/>
    </row>
    <row r="538" spans="2:81">
      <c r="B538" s="52" t="str">
        <f>IF(F538&lt;&gt;"",SUBTOTAL(3,$F$5:F538),"")</f>
        <v/>
      </c>
      <c r="C538" s="52"/>
      <c r="D538" s="53"/>
      <c r="E538" s="53"/>
      <c r="F538" s="53"/>
      <c r="G538" s="106"/>
      <c r="H538" s="100"/>
      <c r="I538" s="106"/>
      <c r="J538" s="100"/>
      <c r="K538" s="55"/>
      <c r="AS538" s="56"/>
      <c r="AT538" s="55"/>
      <c r="CB538" s="56"/>
      <c r="CC538" s="54"/>
    </row>
    <row r="539" spans="2:81">
      <c r="B539" s="52">
        <f>IF(F539&lt;&gt;"",SUBTOTAL(3,$F$5:F539),"")</f>
        <v>105</v>
      </c>
      <c r="C539" s="52"/>
      <c r="D539" s="53" t="s">
        <v>138</v>
      </c>
      <c r="E539" s="53" t="s">
        <v>141</v>
      </c>
      <c r="F539" s="53" t="s">
        <v>644</v>
      </c>
      <c r="G539" s="106">
        <v>44295</v>
      </c>
      <c r="H539" s="100">
        <v>1</v>
      </c>
      <c r="I539" s="106">
        <v>44829</v>
      </c>
      <c r="J539" s="100" t="s">
        <v>684</v>
      </c>
      <c r="K539" s="55" t="s">
        <v>846</v>
      </c>
      <c r="AS539" s="56"/>
      <c r="AT539" s="55"/>
      <c r="CB539" s="56"/>
      <c r="CC539" s="54"/>
    </row>
    <row r="540" spans="2:81">
      <c r="B540" s="52" t="str">
        <f>IF(F540&lt;&gt;"",SUBTOTAL(3,$F$5:F540),"")</f>
        <v/>
      </c>
      <c r="C540" s="52"/>
      <c r="D540" s="53"/>
      <c r="E540" s="53"/>
      <c r="F540" s="53"/>
      <c r="G540" s="106"/>
      <c r="H540" s="100"/>
      <c r="I540" s="106"/>
      <c r="J540" s="100"/>
      <c r="K540" s="55" t="s">
        <v>847</v>
      </c>
      <c r="AS540" s="56"/>
      <c r="AT540" s="55"/>
      <c r="CB540" s="56"/>
      <c r="CC540" s="54"/>
    </row>
    <row r="541" spans="2:81">
      <c r="B541" s="52" t="str">
        <f>IF(F541&lt;&gt;"",SUBTOTAL(3,$F$5:F541),"")</f>
        <v/>
      </c>
      <c r="C541" s="52"/>
      <c r="D541" s="53"/>
      <c r="E541" s="53"/>
      <c r="F541" s="53"/>
      <c r="G541" s="106"/>
      <c r="H541" s="100"/>
      <c r="I541" s="106"/>
      <c r="J541" s="100"/>
      <c r="K541" s="55" t="s">
        <v>848</v>
      </c>
      <c r="AS541" s="56"/>
      <c r="AT541" s="55"/>
      <c r="CB541" s="56"/>
      <c r="CC541" s="54"/>
    </row>
    <row r="542" spans="2:81">
      <c r="B542" s="52" t="str">
        <f>IF(F542&lt;&gt;"",SUBTOTAL(3,$F$5:F542),"")</f>
        <v/>
      </c>
      <c r="C542" s="52"/>
      <c r="D542" s="53"/>
      <c r="E542" s="53"/>
      <c r="F542" s="53"/>
      <c r="G542" s="106"/>
      <c r="H542" s="100"/>
      <c r="I542" s="106"/>
      <c r="J542" s="100"/>
      <c r="K542" s="55"/>
      <c r="AS542" s="56"/>
      <c r="AT542" s="55"/>
      <c r="CB542" s="56"/>
      <c r="CC542" s="54"/>
    </row>
    <row r="543" spans="2:81">
      <c r="B543" s="52">
        <f>IF(F543&lt;&gt;"",SUBTOTAL(3,$F$5:F543),"")</f>
        <v>106</v>
      </c>
      <c r="C543" s="52"/>
      <c r="D543" s="53" t="s">
        <v>138</v>
      </c>
      <c r="E543" s="53" t="s">
        <v>141</v>
      </c>
      <c r="F543" s="53" t="s">
        <v>645</v>
      </c>
      <c r="G543" s="106">
        <v>44295</v>
      </c>
      <c r="H543" s="100">
        <v>1</v>
      </c>
      <c r="I543" s="106">
        <v>44829</v>
      </c>
      <c r="J543" s="100" t="s">
        <v>684</v>
      </c>
      <c r="K543" s="55" t="s">
        <v>839</v>
      </c>
      <c r="AS543" s="56"/>
      <c r="AT543" s="55"/>
      <c r="CB543" s="56"/>
      <c r="CC543" s="54"/>
    </row>
    <row r="544" spans="2:81">
      <c r="B544" s="52" t="str">
        <f>IF(F544&lt;&gt;"",SUBTOTAL(3,$F$5:F544),"")</f>
        <v/>
      </c>
      <c r="C544" s="52"/>
      <c r="D544" s="53"/>
      <c r="E544" s="53"/>
      <c r="F544" s="53"/>
      <c r="G544" s="106"/>
      <c r="H544" s="100"/>
      <c r="I544" s="106"/>
      <c r="J544" s="100"/>
      <c r="K544" s="55" t="s">
        <v>840</v>
      </c>
      <c r="AS544" s="56"/>
      <c r="AT544" s="55"/>
      <c r="CB544" s="56"/>
      <c r="CC544" s="54"/>
    </row>
    <row r="545" spans="2:81">
      <c r="B545" s="52" t="str">
        <f>IF(F545&lt;&gt;"",SUBTOTAL(3,$F$5:F545),"")</f>
        <v/>
      </c>
      <c r="C545" s="52"/>
      <c r="D545" s="53"/>
      <c r="E545" s="53"/>
      <c r="F545" s="53"/>
      <c r="G545" s="106"/>
      <c r="H545" s="100"/>
      <c r="I545" s="106"/>
      <c r="J545" s="100"/>
      <c r="K545" s="55" t="s">
        <v>841</v>
      </c>
      <c r="AS545" s="56"/>
      <c r="AT545" s="55"/>
      <c r="CB545" s="56"/>
      <c r="CC545" s="54"/>
    </row>
    <row r="546" spans="2:81">
      <c r="B546" s="52" t="str">
        <f>IF(F546&lt;&gt;"",SUBTOTAL(3,$F$5:F546),"")</f>
        <v/>
      </c>
      <c r="C546" s="52"/>
      <c r="D546" s="53"/>
      <c r="E546" s="53"/>
      <c r="F546" s="53"/>
      <c r="G546" s="106"/>
      <c r="H546" s="100"/>
      <c r="I546" s="106"/>
      <c r="J546" s="100"/>
      <c r="K546" s="55" t="s">
        <v>842</v>
      </c>
      <c r="AS546" s="56"/>
      <c r="AT546" s="55"/>
      <c r="CB546" s="56"/>
      <c r="CC546" s="54"/>
    </row>
    <row r="547" spans="2:81">
      <c r="B547" s="52" t="str">
        <f>IF(F547&lt;&gt;"",SUBTOTAL(3,$F$5:F547),"")</f>
        <v/>
      </c>
      <c r="C547" s="52"/>
      <c r="D547" s="53"/>
      <c r="E547" s="53"/>
      <c r="F547" s="53"/>
      <c r="G547" s="106"/>
      <c r="H547" s="100"/>
      <c r="I547" s="106"/>
      <c r="J547" s="100"/>
      <c r="K547" s="55" t="s">
        <v>843</v>
      </c>
      <c r="AS547" s="56"/>
      <c r="AT547" s="55"/>
      <c r="CB547" s="56"/>
      <c r="CC547" s="54"/>
    </row>
    <row r="548" spans="2:81">
      <c r="B548" s="52" t="str">
        <f>IF(F548&lt;&gt;"",SUBTOTAL(3,$F$5:F548),"")</f>
        <v/>
      </c>
      <c r="C548" s="52"/>
      <c r="D548" s="53"/>
      <c r="E548" s="53"/>
      <c r="F548" s="53"/>
      <c r="G548" s="106"/>
      <c r="H548" s="100"/>
      <c r="I548" s="106"/>
      <c r="J548" s="100"/>
      <c r="K548" s="55"/>
      <c r="AS548" s="56"/>
      <c r="AT548" s="55"/>
      <c r="CB548" s="56"/>
      <c r="CC548" s="54"/>
    </row>
    <row r="549" spans="2:81" ht="15.75">
      <c r="B549" s="52">
        <f>IF(F549&lt;&gt;"",SUBTOTAL(3,$F$5:F549),"")</f>
        <v>107</v>
      </c>
      <c r="C549" s="52"/>
      <c r="D549" s="53" t="s">
        <v>138</v>
      </c>
      <c r="E549" s="53" t="s">
        <v>141</v>
      </c>
      <c r="F549" s="53" t="s">
        <v>646</v>
      </c>
      <c r="G549" s="106">
        <v>44296</v>
      </c>
      <c r="H549" s="100">
        <v>1</v>
      </c>
      <c r="I549" s="106">
        <v>44828</v>
      </c>
      <c r="J549" s="100" t="s">
        <v>684</v>
      </c>
      <c r="K549" s="55" t="s">
        <v>844</v>
      </c>
      <c r="AS549" s="56"/>
      <c r="AT549" s="55"/>
      <c r="CB549" s="56"/>
      <c r="CC549" s="54"/>
    </row>
    <row r="550" spans="2:81">
      <c r="B550" s="52" t="str">
        <f>IF(F550&lt;&gt;"",SUBTOTAL(3,$F$5:F550),"")</f>
        <v/>
      </c>
      <c r="C550" s="52"/>
      <c r="D550" s="53"/>
      <c r="E550" s="53"/>
      <c r="F550" s="53"/>
      <c r="G550" s="106"/>
      <c r="H550" s="100"/>
      <c r="I550" s="106"/>
      <c r="J550" s="100"/>
      <c r="K550" s="55" t="s">
        <v>845</v>
      </c>
      <c r="AS550" s="56"/>
      <c r="AT550" s="55"/>
      <c r="CB550" s="56"/>
      <c r="CC550" s="54"/>
    </row>
    <row r="551" spans="2:81">
      <c r="B551" s="52" t="str">
        <f>IF(F551&lt;&gt;"",SUBTOTAL(3,$F$5:F551),"")</f>
        <v/>
      </c>
      <c r="C551" s="52"/>
      <c r="D551" s="53"/>
      <c r="E551" s="53"/>
      <c r="F551" s="53"/>
      <c r="G551" s="106"/>
      <c r="H551" s="100"/>
      <c r="I551" s="106"/>
      <c r="J551" s="100"/>
      <c r="K551" s="55"/>
      <c r="AS551" s="56"/>
      <c r="AT551" s="55"/>
      <c r="CB551" s="56"/>
      <c r="CC551" s="54"/>
    </row>
    <row r="552" spans="2:81">
      <c r="B552" s="52">
        <f>IF(F552&lt;&gt;"",SUBTOTAL(3,$F$5:F552),"")</f>
        <v>108</v>
      </c>
      <c r="C552" s="52"/>
      <c r="D552" s="53" t="s">
        <v>138</v>
      </c>
      <c r="E552" s="53" t="s">
        <v>141</v>
      </c>
      <c r="F552" s="53" t="s">
        <v>647</v>
      </c>
      <c r="G552" s="106">
        <v>44296</v>
      </c>
      <c r="H552" s="100">
        <v>1</v>
      </c>
      <c r="I552" s="106">
        <v>44828</v>
      </c>
      <c r="J552" s="100" t="s">
        <v>684</v>
      </c>
      <c r="K552" s="55" t="s">
        <v>815</v>
      </c>
      <c r="AS552" s="56"/>
      <c r="AT552" s="55"/>
      <c r="CB552" s="56"/>
      <c r="CC552" s="54"/>
    </row>
    <row r="553" spans="2:81">
      <c r="B553" s="52" t="str">
        <f>IF(F553&lt;&gt;"",SUBTOTAL(3,$F$5:F553),"")</f>
        <v/>
      </c>
      <c r="C553" s="52"/>
      <c r="D553" s="53"/>
      <c r="E553" s="53"/>
      <c r="F553" s="53"/>
      <c r="G553" s="106"/>
      <c r="H553" s="100"/>
      <c r="I553" s="106"/>
      <c r="J553" s="100"/>
      <c r="K553" s="55" t="s">
        <v>816</v>
      </c>
      <c r="AS553" s="56"/>
      <c r="AT553" s="55"/>
      <c r="CB553" s="56"/>
      <c r="CC553" s="54"/>
    </row>
    <row r="554" spans="2:81">
      <c r="B554" s="52"/>
      <c r="C554" s="52"/>
      <c r="D554" s="53"/>
      <c r="E554" s="53"/>
      <c r="F554" s="53"/>
      <c r="G554" s="106"/>
      <c r="H554" s="100"/>
      <c r="I554" s="106"/>
      <c r="J554" s="100"/>
      <c r="K554" s="55" t="s">
        <v>817</v>
      </c>
      <c r="AS554" s="56"/>
      <c r="AT554" s="55"/>
      <c r="CB554" s="56"/>
      <c r="CC554" s="54"/>
    </row>
    <row r="555" spans="2:81">
      <c r="B555" s="52"/>
      <c r="C555" s="52"/>
      <c r="D555" s="53"/>
      <c r="E555" s="53"/>
      <c r="F555" s="53"/>
      <c r="G555" s="106"/>
      <c r="H555" s="100"/>
      <c r="I555" s="106"/>
      <c r="J555" s="100"/>
      <c r="K555" s="55" t="s">
        <v>818</v>
      </c>
      <c r="AS555" s="56"/>
      <c r="AT555" s="55"/>
      <c r="CB555" s="56"/>
      <c r="CC555" s="54"/>
    </row>
    <row r="556" spans="2:81">
      <c r="B556" s="52"/>
      <c r="C556" s="52"/>
      <c r="D556" s="53"/>
      <c r="E556" s="53"/>
      <c r="F556" s="53"/>
      <c r="G556" s="106"/>
      <c r="H556" s="100"/>
      <c r="I556" s="106"/>
      <c r="J556" s="100"/>
      <c r="K556" s="127" t="s">
        <v>819</v>
      </c>
      <c r="AS556" s="56"/>
      <c r="AT556" s="55"/>
      <c r="CB556" s="56"/>
      <c r="CC556" s="54"/>
    </row>
    <row r="557" spans="2:81" ht="15.75">
      <c r="B557" s="52"/>
      <c r="C557" s="52"/>
      <c r="D557" s="53"/>
      <c r="E557" s="53"/>
      <c r="F557" s="53"/>
      <c r="G557" s="106"/>
      <c r="H557" s="100"/>
      <c r="I557" s="106"/>
      <c r="J557" s="100"/>
      <c r="K557" s="55" t="s">
        <v>820</v>
      </c>
      <c r="AS557" s="56"/>
      <c r="AT557" s="55"/>
      <c r="CB557" s="56"/>
      <c r="CC557" s="54"/>
    </row>
    <row r="558" spans="2:81">
      <c r="B558" s="52"/>
      <c r="C558" s="52"/>
      <c r="D558" s="53"/>
      <c r="E558" s="53"/>
      <c r="F558" s="53"/>
      <c r="G558" s="106"/>
      <c r="H558" s="100"/>
      <c r="I558" s="106"/>
      <c r="J558" s="100"/>
      <c r="K558" s="55" t="s">
        <v>823</v>
      </c>
      <c r="AS558" s="56"/>
      <c r="AT558" s="55"/>
      <c r="CB558" s="56"/>
      <c r="CC558" s="54"/>
    </row>
    <row r="559" spans="2:81">
      <c r="B559" s="52"/>
      <c r="C559" s="52"/>
      <c r="D559" s="53"/>
      <c r="E559" s="53"/>
      <c r="F559" s="53"/>
      <c r="G559" s="106"/>
      <c r="H559" s="100"/>
      <c r="I559" s="106"/>
      <c r="J559" s="100"/>
      <c r="K559" s="55" t="s">
        <v>829</v>
      </c>
      <c r="AS559" s="56"/>
      <c r="AT559" s="55"/>
      <c r="CB559" s="56"/>
      <c r="CC559" s="54"/>
    </row>
    <row r="560" spans="2:81">
      <c r="B560" s="52"/>
      <c r="C560" s="52"/>
      <c r="D560" s="53"/>
      <c r="E560" s="53"/>
      <c r="F560" s="53"/>
      <c r="G560" s="106"/>
      <c r="H560" s="100"/>
      <c r="I560" s="106"/>
      <c r="J560" s="100"/>
      <c r="K560" s="55" t="s">
        <v>826</v>
      </c>
      <c r="AS560" s="56"/>
      <c r="AT560" s="55"/>
      <c r="CB560" s="56"/>
      <c r="CC560" s="54"/>
    </row>
    <row r="561" spans="2:81">
      <c r="B561" s="52"/>
      <c r="C561" s="52"/>
      <c r="D561" s="53"/>
      <c r="E561" s="53"/>
      <c r="F561" s="53"/>
      <c r="G561" s="106"/>
      <c r="H561" s="100"/>
      <c r="I561" s="106"/>
      <c r="J561" s="100"/>
      <c r="K561" s="55" t="s">
        <v>830</v>
      </c>
      <c r="AS561" s="56"/>
      <c r="AT561" s="55"/>
      <c r="CB561" s="56"/>
      <c r="CC561" s="54"/>
    </row>
    <row r="562" spans="2:81">
      <c r="B562" s="52"/>
      <c r="C562" s="52"/>
      <c r="D562" s="53"/>
      <c r="E562" s="53"/>
      <c r="F562" s="53"/>
      <c r="G562" s="106"/>
      <c r="H562" s="100"/>
      <c r="I562" s="106"/>
      <c r="J562" s="100"/>
      <c r="K562" s="55" t="s">
        <v>825</v>
      </c>
      <c r="AS562" s="56"/>
      <c r="AT562" s="55"/>
      <c r="CB562" s="56"/>
      <c r="CC562" s="54"/>
    </row>
    <row r="563" spans="2:81">
      <c r="B563" s="52"/>
      <c r="C563" s="52"/>
      <c r="D563" s="53"/>
      <c r="E563" s="53"/>
      <c r="F563" s="53"/>
      <c r="G563" s="106"/>
      <c r="H563" s="100"/>
      <c r="I563" s="106"/>
      <c r="J563" s="100"/>
      <c r="K563" s="55" t="s">
        <v>827</v>
      </c>
      <c r="AS563" s="56"/>
      <c r="AT563" s="55"/>
      <c r="CB563" s="56"/>
      <c r="CC563" s="54"/>
    </row>
    <row r="564" spans="2:81">
      <c r="B564" s="52"/>
      <c r="C564" s="52"/>
      <c r="D564" s="53"/>
      <c r="E564" s="53"/>
      <c r="F564" s="53"/>
      <c r="G564" s="106"/>
      <c r="H564" s="100"/>
      <c r="I564" s="106"/>
      <c r="J564" s="100"/>
      <c r="K564" s="55" t="s">
        <v>831</v>
      </c>
      <c r="AS564" s="56"/>
      <c r="AT564" s="55"/>
      <c r="CB564" s="56"/>
      <c r="CC564" s="54"/>
    </row>
    <row r="565" spans="2:81">
      <c r="B565" s="52"/>
      <c r="C565" s="52"/>
      <c r="D565" s="53"/>
      <c r="E565" s="53"/>
      <c r="F565" s="53"/>
      <c r="G565" s="106"/>
      <c r="H565" s="100"/>
      <c r="I565" s="106"/>
      <c r="J565" s="100"/>
      <c r="K565" s="55" t="s">
        <v>833</v>
      </c>
      <c r="AS565" s="56"/>
      <c r="AT565" s="55"/>
      <c r="CB565" s="56"/>
      <c r="CC565" s="54"/>
    </row>
    <row r="566" spans="2:81">
      <c r="B566" s="52"/>
      <c r="C566" s="52"/>
      <c r="D566" s="53"/>
      <c r="E566" s="53"/>
      <c r="F566" s="53"/>
      <c r="G566" s="106"/>
      <c r="H566" s="100"/>
      <c r="I566" s="106"/>
      <c r="J566" s="100"/>
      <c r="K566" s="55" t="s">
        <v>834</v>
      </c>
      <c r="AS566" s="56"/>
      <c r="AT566" s="55"/>
      <c r="CB566" s="56"/>
      <c r="CC566" s="54"/>
    </row>
    <row r="567" spans="2:81">
      <c r="B567" s="52"/>
      <c r="C567" s="52"/>
      <c r="D567" s="53"/>
      <c r="E567" s="53"/>
      <c r="F567" s="53"/>
      <c r="G567" s="106"/>
      <c r="H567" s="100"/>
      <c r="I567" s="106"/>
      <c r="J567" s="100"/>
      <c r="K567" s="55" t="s">
        <v>832</v>
      </c>
      <c r="AS567" s="56"/>
      <c r="AT567" s="55"/>
      <c r="CB567" s="56"/>
      <c r="CC567" s="54"/>
    </row>
    <row r="568" spans="2:81">
      <c r="B568" s="52"/>
      <c r="C568" s="52"/>
      <c r="D568" s="53"/>
      <c r="E568" s="53"/>
      <c r="F568" s="53"/>
      <c r="G568" s="106"/>
      <c r="H568" s="100"/>
      <c r="I568" s="106"/>
      <c r="J568" s="100"/>
      <c r="K568" s="55" t="s">
        <v>828</v>
      </c>
      <c r="AS568" s="56"/>
      <c r="AT568" s="55"/>
      <c r="CB568" s="56"/>
      <c r="CC568" s="54"/>
    </row>
    <row r="569" spans="2:81">
      <c r="B569" s="52"/>
      <c r="C569" s="52"/>
      <c r="D569" s="53"/>
      <c r="E569" s="53"/>
      <c r="F569" s="53"/>
      <c r="G569" s="106"/>
      <c r="H569" s="100"/>
      <c r="I569" s="106"/>
      <c r="J569" s="100"/>
      <c r="K569" s="126" t="s">
        <v>835</v>
      </c>
      <c r="N569" s="128" t="s">
        <v>836</v>
      </c>
      <c r="AS569" s="56"/>
      <c r="AT569" s="55"/>
      <c r="CB569" s="56"/>
      <c r="CC569" s="54"/>
    </row>
    <row r="570" spans="2:81">
      <c r="B570" s="52"/>
      <c r="C570" s="52"/>
      <c r="D570" s="53"/>
      <c r="E570" s="53"/>
      <c r="F570" s="53"/>
      <c r="G570" s="106"/>
      <c r="H570" s="100"/>
      <c r="I570" s="106"/>
      <c r="J570" s="100"/>
      <c r="K570" s="126"/>
      <c r="N570" s="128" t="s">
        <v>838</v>
      </c>
      <c r="AS570" s="56"/>
      <c r="AT570" s="55"/>
      <c r="CB570" s="56"/>
      <c r="CC570" s="54"/>
    </row>
    <row r="571" spans="2:81">
      <c r="B571" s="52"/>
      <c r="C571" s="52"/>
      <c r="D571" s="53"/>
      <c r="E571" s="53"/>
      <c r="F571" s="53"/>
      <c r="G571" s="106"/>
      <c r="H571" s="100"/>
      <c r="I571" s="106"/>
      <c r="J571" s="100"/>
      <c r="K571" s="126"/>
      <c r="N571" s="128" t="s">
        <v>837</v>
      </c>
      <c r="AS571" s="56"/>
      <c r="AT571" s="55"/>
      <c r="CB571" s="56"/>
      <c r="CC571" s="54"/>
    </row>
    <row r="572" spans="2:81">
      <c r="B572" s="52"/>
      <c r="C572" s="52"/>
      <c r="D572" s="53"/>
      <c r="E572" s="53"/>
      <c r="F572" s="53"/>
      <c r="G572" s="106"/>
      <c r="H572" s="100"/>
      <c r="I572" s="106"/>
      <c r="J572" s="100"/>
      <c r="K572" s="55" t="s">
        <v>821</v>
      </c>
      <c r="M572" s="34" t="s">
        <v>822</v>
      </c>
      <c r="AS572" s="56"/>
      <c r="AT572" s="55"/>
      <c r="CB572" s="56"/>
      <c r="CC572" s="54"/>
    </row>
    <row r="573" spans="2:81">
      <c r="B573" s="52"/>
      <c r="C573" s="52"/>
      <c r="D573" s="53"/>
      <c r="E573" s="53"/>
      <c r="F573" s="53"/>
      <c r="G573" s="106"/>
      <c r="H573" s="100"/>
      <c r="I573" s="106"/>
      <c r="J573" s="100"/>
      <c r="K573" s="55" t="s">
        <v>821</v>
      </c>
      <c r="M573" s="34" t="s">
        <v>824</v>
      </c>
      <c r="AS573" s="56"/>
      <c r="AT573" s="55"/>
      <c r="CB573" s="56"/>
      <c r="CC573" s="54"/>
    </row>
    <row r="574" spans="2:81">
      <c r="B574" s="52" t="str">
        <f>IF(F574&lt;&gt;"",SUBTOTAL(3,$F$5:F574),"")</f>
        <v/>
      </c>
      <c r="C574" s="52"/>
      <c r="D574" s="53"/>
      <c r="E574" s="53"/>
      <c r="F574" s="53"/>
      <c r="G574" s="106"/>
      <c r="H574" s="100"/>
      <c r="I574" s="106"/>
      <c r="J574" s="100"/>
      <c r="K574" s="55"/>
      <c r="AS574" s="56"/>
      <c r="AT574" s="55"/>
      <c r="CB574" s="56"/>
      <c r="CC574" s="54"/>
    </row>
    <row r="575" spans="2:81">
      <c r="B575" s="52">
        <f>IF(F575&lt;&gt;"",SUBTOTAL(3,$F$5:F575),"")</f>
        <v>109</v>
      </c>
      <c r="C575" s="52"/>
      <c r="D575" s="53" t="s">
        <v>138</v>
      </c>
      <c r="E575" s="53" t="s">
        <v>141</v>
      </c>
      <c r="F575" s="53" t="s">
        <v>648</v>
      </c>
      <c r="G575" s="106">
        <v>44297</v>
      </c>
      <c r="H575" s="100">
        <v>1</v>
      </c>
      <c r="I575" s="106">
        <v>44828</v>
      </c>
      <c r="J575" s="100" t="s">
        <v>684</v>
      </c>
      <c r="K575" s="55" t="s">
        <v>810</v>
      </c>
      <c r="AS575" s="56"/>
      <c r="AT575" s="55"/>
      <c r="CB575" s="56"/>
      <c r="CC575" s="54"/>
    </row>
    <row r="576" spans="2:81">
      <c r="B576" s="52" t="str">
        <f>IF(F576&lt;&gt;"",SUBTOTAL(3,$F$5:F576),"")</f>
        <v/>
      </c>
      <c r="C576" s="52"/>
      <c r="D576" s="53"/>
      <c r="E576" s="53"/>
      <c r="F576" s="53"/>
      <c r="G576" s="106"/>
      <c r="H576" s="100"/>
      <c r="I576" s="106"/>
      <c r="J576" s="100"/>
      <c r="K576" s="55" t="s">
        <v>811</v>
      </c>
      <c r="AS576" s="56"/>
      <c r="AT576" s="55"/>
      <c r="CB576" s="56"/>
      <c r="CC576" s="54"/>
    </row>
    <row r="577" spans="2:81">
      <c r="B577" s="52" t="str">
        <f>IF(F577&lt;&gt;"",SUBTOTAL(3,$F$5:F577),"")</f>
        <v/>
      </c>
      <c r="C577" s="52"/>
      <c r="D577" s="53"/>
      <c r="E577" s="53"/>
      <c r="F577" s="53"/>
      <c r="G577" s="106"/>
      <c r="H577" s="100"/>
      <c r="I577" s="106"/>
      <c r="J577" s="100"/>
      <c r="K577" s="55" t="s">
        <v>812</v>
      </c>
      <c r="AS577" s="56"/>
      <c r="AT577" s="55"/>
      <c r="CB577" s="56"/>
      <c r="CC577" s="54"/>
    </row>
    <row r="578" spans="2:81">
      <c r="B578" s="52" t="str">
        <f>IF(F578&lt;&gt;"",SUBTOTAL(3,$F$5:F578),"")</f>
        <v/>
      </c>
      <c r="C578" s="52"/>
      <c r="D578" s="53"/>
      <c r="E578" s="53"/>
      <c r="F578" s="53"/>
      <c r="G578" s="106"/>
      <c r="H578" s="100"/>
      <c r="I578" s="106"/>
      <c r="J578" s="100"/>
      <c r="K578" s="55" t="s">
        <v>813</v>
      </c>
      <c r="AS578" s="56"/>
      <c r="AT578" s="55"/>
      <c r="CB578" s="56"/>
      <c r="CC578" s="54"/>
    </row>
    <row r="579" spans="2:81">
      <c r="B579" s="52" t="str">
        <f>IF(F579&lt;&gt;"",SUBTOTAL(3,$F$5:F579),"")</f>
        <v/>
      </c>
      <c r="C579" s="52"/>
      <c r="D579" s="53"/>
      <c r="E579" s="53"/>
      <c r="F579" s="53"/>
      <c r="G579" s="106"/>
      <c r="H579" s="100"/>
      <c r="I579" s="106"/>
      <c r="J579" s="100"/>
      <c r="K579" s="55" t="s">
        <v>814</v>
      </c>
      <c r="AS579" s="56"/>
      <c r="AT579" s="55"/>
      <c r="CB579" s="56"/>
      <c r="CC579" s="54"/>
    </row>
    <row r="580" spans="2:81">
      <c r="B580" s="52" t="str">
        <f>IF(F580&lt;&gt;"",SUBTOTAL(3,$F$5:F580),"")</f>
        <v/>
      </c>
      <c r="C580" s="52"/>
      <c r="D580" s="53"/>
      <c r="E580" s="53"/>
      <c r="F580" s="53"/>
      <c r="G580" s="106"/>
      <c r="H580" s="100"/>
      <c r="I580" s="106"/>
      <c r="J580" s="100"/>
      <c r="K580" s="55"/>
      <c r="AS580" s="56"/>
      <c r="AT580" s="55"/>
      <c r="CB580" s="56"/>
      <c r="CC580" s="54"/>
    </row>
    <row r="581" spans="2:81">
      <c r="B581" s="113">
        <f>IF(F581&lt;&gt;"",SUBTOTAL(3,$F$5:F581),"")</f>
        <v>110</v>
      </c>
      <c r="C581" s="113"/>
      <c r="D581" s="114" t="s">
        <v>138</v>
      </c>
      <c r="E581" s="114" t="s">
        <v>141</v>
      </c>
      <c r="F581" s="114" t="s">
        <v>649</v>
      </c>
      <c r="G581" s="118">
        <v>44300</v>
      </c>
      <c r="H581" s="117">
        <v>0.3</v>
      </c>
      <c r="I581" s="118">
        <v>44828</v>
      </c>
      <c r="J581" s="117" t="s">
        <v>684</v>
      </c>
      <c r="K581" s="55" t="s">
        <v>808</v>
      </c>
      <c r="AS581" s="56"/>
      <c r="AT581" s="55" t="s">
        <v>650</v>
      </c>
      <c r="CB581" s="56"/>
      <c r="CC581" s="54"/>
    </row>
    <row r="582" spans="2:81">
      <c r="B582" s="113" t="str">
        <f>IF(F582&lt;&gt;"",SUBTOTAL(3,$F$5:F582),"")</f>
        <v/>
      </c>
      <c r="C582" s="113"/>
      <c r="D582" s="114"/>
      <c r="E582" s="114"/>
      <c r="F582" s="114"/>
      <c r="G582" s="118"/>
      <c r="H582" s="117"/>
      <c r="I582" s="118"/>
      <c r="J582" s="111"/>
      <c r="K582" s="55" t="s">
        <v>809</v>
      </c>
      <c r="AS582" s="56"/>
      <c r="AT582" s="55"/>
      <c r="CB582" s="56"/>
      <c r="CC582" s="54"/>
    </row>
    <row r="583" spans="2:81">
      <c r="B583" s="113" t="str">
        <f>IF(F583&lt;&gt;"",SUBTOTAL(3,$F$5:F583),"")</f>
        <v/>
      </c>
      <c r="C583" s="113"/>
      <c r="D583" s="114"/>
      <c r="E583" s="114"/>
      <c r="F583" s="114"/>
      <c r="G583" s="118"/>
      <c r="H583" s="117"/>
      <c r="I583" s="118"/>
      <c r="J583" s="111"/>
      <c r="K583" s="55"/>
      <c r="AS583" s="56"/>
      <c r="AT583" s="55"/>
      <c r="CB583" s="56"/>
      <c r="CC583" s="54"/>
    </row>
    <row r="584" spans="2:81">
      <c r="B584" s="52">
        <f>IF(F584&lt;&gt;"",SUBTOTAL(3,$F$5:F584),"")</f>
        <v>111</v>
      </c>
      <c r="C584" s="52"/>
      <c r="D584" s="53" t="s">
        <v>138</v>
      </c>
      <c r="E584" s="53" t="s">
        <v>141</v>
      </c>
      <c r="F584" s="53" t="s">
        <v>651</v>
      </c>
      <c r="G584" s="106">
        <v>44304</v>
      </c>
      <c r="H584" s="100">
        <v>1</v>
      </c>
      <c r="I584" s="106">
        <v>44828</v>
      </c>
      <c r="J584" s="100" t="s">
        <v>684</v>
      </c>
      <c r="K584" s="55" t="s">
        <v>797</v>
      </c>
      <c r="AS584" s="56"/>
      <c r="AT584" s="55"/>
      <c r="CB584" s="56"/>
      <c r="CC584" s="54"/>
    </row>
    <row r="585" spans="2:81">
      <c r="B585" s="52" t="str">
        <f>IF(F585&lt;&gt;"",SUBTOTAL(3,$F$5:F585),"")</f>
        <v/>
      </c>
      <c r="C585" s="52"/>
      <c r="D585" s="53"/>
      <c r="E585" s="53"/>
      <c r="F585" s="53"/>
      <c r="G585" s="106"/>
      <c r="H585" s="100"/>
      <c r="I585" s="106"/>
      <c r="J585" s="100"/>
      <c r="K585" s="55" t="s">
        <v>798</v>
      </c>
      <c r="AS585" s="56"/>
      <c r="AT585" s="55"/>
      <c r="CB585" s="56"/>
      <c r="CC585" s="54"/>
    </row>
    <row r="586" spans="2:81">
      <c r="B586" s="52" t="str">
        <f>IF(F586&lt;&gt;"",SUBTOTAL(3,$F$5:F586),"")</f>
        <v/>
      </c>
      <c r="C586" s="52"/>
      <c r="D586" s="53"/>
      <c r="E586" s="53"/>
      <c r="F586" s="53"/>
      <c r="G586" s="106"/>
      <c r="H586" s="100"/>
      <c r="I586" s="106"/>
      <c r="J586" s="102"/>
      <c r="K586" s="55" t="s">
        <v>799</v>
      </c>
      <c r="AS586" s="56"/>
      <c r="AT586" s="55"/>
      <c r="CB586" s="56"/>
      <c r="CC586" s="54"/>
    </row>
    <row r="587" spans="2:81">
      <c r="B587" s="52" t="str">
        <f>IF(F587&lt;&gt;"",SUBTOTAL(3,$F$5:F587),"")</f>
        <v/>
      </c>
      <c r="C587" s="52"/>
      <c r="D587" s="53"/>
      <c r="E587" s="53"/>
      <c r="F587" s="53"/>
      <c r="G587" s="106"/>
      <c r="H587" s="100"/>
      <c r="I587" s="106"/>
      <c r="J587" s="102"/>
      <c r="K587" s="55" t="s">
        <v>800</v>
      </c>
      <c r="AS587" s="56"/>
      <c r="AT587" s="55"/>
      <c r="CB587" s="56"/>
      <c r="CC587" s="54"/>
    </row>
    <row r="588" spans="2:81">
      <c r="B588" s="52" t="str">
        <f>IF(F588&lt;&gt;"",SUBTOTAL(3,$F$5:F588),"")</f>
        <v/>
      </c>
      <c r="C588" s="52"/>
      <c r="D588" s="53"/>
      <c r="E588" s="53"/>
      <c r="F588" s="53"/>
      <c r="G588" s="106"/>
      <c r="H588" s="100"/>
      <c r="I588" s="106"/>
      <c r="J588" s="102"/>
      <c r="K588" s="55" t="s">
        <v>801</v>
      </c>
      <c r="AS588" s="56"/>
      <c r="AT588" s="55"/>
      <c r="CB588" s="56"/>
      <c r="CC588" s="54"/>
    </row>
    <row r="589" spans="2:81">
      <c r="B589" s="52" t="str">
        <f>IF(F589&lt;&gt;"",SUBTOTAL(3,$F$5:F589),"")</f>
        <v/>
      </c>
      <c r="C589" s="52"/>
      <c r="D589" s="53"/>
      <c r="E589" s="53"/>
      <c r="F589" s="53"/>
      <c r="G589" s="106"/>
      <c r="H589" s="100"/>
      <c r="I589" s="106"/>
      <c r="J589" s="100"/>
      <c r="K589" s="55"/>
      <c r="AS589" s="56"/>
      <c r="AT589" s="55"/>
      <c r="CB589" s="56"/>
      <c r="CC589" s="54"/>
    </row>
    <row r="590" spans="2:81">
      <c r="B590" s="113">
        <f>IF(F590&lt;&gt;"",SUBTOTAL(3,$F$5:F590),"")</f>
        <v>112</v>
      </c>
      <c r="C590" s="113"/>
      <c r="D590" s="114" t="s">
        <v>138</v>
      </c>
      <c r="E590" s="114" t="s">
        <v>141</v>
      </c>
      <c r="F590" s="114" t="s">
        <v>652</v>
      </c>
      <c r="G590" s="118">
        <v>44305</v>
      </c>
      <c r="H590" s="117">
        <v>0.3</v>
      </c>
      <c r="I590" s="118">
        <v>44827</v>
      </c>
      <c r="J590" s="117" t="s">
        <v>684</v>
      </c>
      <c r="K590" s="55" t="s">
        <v>802</v>
      </c>
      <c r="AS590" s="56"/>
      <c r="AT590" s="55"/>
      <c r="CB590" s="56"/>
      <c r="CC590" s="54"/>
    </row>
    <row r="591" spans="2:81" ht="15.75">
      <c r="B591" s="113" t="str">
        <f>IF(F591&lt;&gt;"",SUBTOTAL(3,$F$5:F591),"")</f>
        <v/>
      </c>
      <c r="C591" s="113"/>
      <c r="D591" s="114"/>
      <c r="E591" s="114"/>
      <c r="F591" s="114"/>
      <c r="G591" s="118"/>
      <c r="H591" s="117"/>
      <c r="I591" s="118"/>
      <c r="J591" s="111"/>
      <c r="K591" s="55" t="s">
        <v>803</v>
      </c>
      <c r="AS591" s="56"/>
      <c r="AT591" s="55"/>
      <c r="CB591" s="56"/>
      <c r="CC591" s="54"/>
    </row>
    <row r="592" spans="2:81">
      <c r="B592" s="113" t="str">
        <f>IF(F592&lt;&gt;"",SUBTOTAL(3,$F$5:F592),"")</f>
        <v/>
      </c>
      <c r="C592" s="113"/>
      <c r="D592" s="114"/>
      <c r="E592" s="114"/>
      <c r="F592" s="114"/>
      <c r="G592" s="118"/>
      <c r="H592" s="117"/>
      <c r="I592" s="118"/>
      <c r="J592" s="111"/>
      <c r="K592" s="55" t="s">
        <v>804</v>
      </c>
      <c r="AS592" s="56"/>
      <c r="AT592" s="55"/>
      <c r="CB592" s="56"/>
      <c r="CC592" s="54"/>
    </row>
    <row r="593" spans="2:81">
      <c r="B593" s="113" t="str">
        <f>IF(F593&lt;&gt;"",SUBTOTAL(3,$F$5:F593),"")</f>
        <v/>
      </c>
      <c r="C593" s="113"/>
      <c r="D593" s="114"/>
      <c r="E593" s="114"/>
      <c r="F593" s="114"/>
      <c r="G593" s="118"/>
      <c r="H593" s="117"/>
      <c r="I593" s="118"/>
      <c r="J593" s="111"/>
      <c r="K593" s="55" t="s">
        <v>805</v>
      </c>
      <c r="AS593" s="56"/>
      <c r="AT593" s="55"/>
      <c r="CB593" s="56"/>
      <c r="CC593" s="54"/>
    </row>
    <row r="594" spans="2:81">
      <c r="B594" s="113" t="str">
        <f>IF(F594&lt;&gt;"",SUBTOTAL(3,$F$5:F594),"")</f>
        <v/>
      </c>
      <c r="C594" s="113"/>
      <c r="D594" s="114"/>
      <c r="E594" s="114"/>
      <c r="F594" s="114"/>
      <c r="G594" s="118"/>
      <c r="H594" s="117"/>
      <c r="I594" s="118"/>
      <c r="J594" s="111"/>
      <c r="K594" s="55" t="s">
        <v>806</v>
      </c>
      <c r="AS594" s="56"/>
      <c r="AT594" s="55"/>
      <c r="CB594" s="56"/>
      <c r="CC594" s="54"/>
    </row>
    <row r="595" spans="2:81">
      <c r="B595" s="113" t="str">
        <f>IF(F595&lt;&gt;"",SUBTOTAL(3,$F$5:F595),"")</f>
        <v/>
      </c>
      <c r="C595" s="113"/>
      <c r="D595" s="114"/>
      <c r="E595" s="114"/>
      <c r="F595" s="114"/>
      <c r="G595" s="118"/>
      <c r="H595" s="117"/>
      <c r="I595" s="118"/>
      <c r="J595" s="111"/>
      <c r="K595" s="55" t="s">
        <v>807</v>
      </c>
      <c r="AS595" s="56"/>
      <c r="AT595" s="55"/>
      <c r="CB595" s="56"/>
      <c r="CC595" s="54"/>
    </row>
    <row r="596" spans="2:81">
      <c r="B596" s="52"/>
      <c r="C596" s="52"/>
      <c r="D596" s="53"/>
      <c r="E596" s="53"/>
      <c r="F596" s="53"/>
      <c r="G596" s="106"/>
      <c r="H596" s="100"/>
      <c r="I596" s="106"/>
      <c r="J596" s="102"/>
      <c r="K596" s="55"/>
      <c r="AS596" s="56"/>
      <c r="AT596" s="55"/>
      <c r="CB596" s="56"/>
      <c r="CC596" s="54"/>
    </row>
    <row r="597" spans="2:81">
      <c r="B597" s="52">
        <f>IF(F597&lt;&gt;"",SUBTOTAL(3,$F$5:F597),"")</f>
        <v>113</v>
      </c>
      <c r="C597" s="52"/>
      <c r="D597" s="53" t="s">
        <v>138</v>
      </c>
      <c r="E597" s="53" t="s">
        <v>141</v>
      </c>
      <c r="F597" s="53" t="s">
        <v>653</v>
      </c>
      <c r="G597" s="106">
        <v>44311</v>
      </c>
      <c r="H597" s="100">
        <v>1</v>
      </c>
      <c r="I597" s="106">
        <v>44827</v>
      </c>
      <c r="J597" s="100" t="s">
        <v>684</v>
      </c>
      <c r="K597" s="55" t="s">
        <v>794</v>
      </c>
      <c r="AS597" s="56"/>
      <c r="AT597" s="55"/>
      <c r="CB597" s="56"/>
      <c r="CC597" s="54"/>
    </row>
    <row r="598" spans="2:81" ht="15.75">
      <c r="B598" s="52" t="str">
        <f>IF(F598&lt;&gt;"",SUBTOTAL(3,$F$5:F598),"")</f>
        <v/>
      </c>
      <c r="C598" s="52"/>
      <c r="D598" s="53"/>
      <c r="E598" s="53"/>
      <c r="F598" s="53"/>
      <c r="G598" s="106"/>
      <c r="H598" s="100"/>
      <c r="I598" s="106"/>
      <c r="J598" s="100"/>
      <c r="K598" s="55" t="s">
        <v>795</v>
      </c>
      <c r="AS598" s="56"/>
      <c r="AT598" s="55"/>
      <c r="CB598" s="56"/>
      <c r="CC598" s="54"/>
    </row>
    <row r="599" spans="2:81">
      <c r="B599" s="52" t="str">
        <f>IF(F599&lt;&gt;"",SUBTOTAL(3,$F$5:F599),"")</f>
        <v/>
      </c>
      <c r="C599" s="52"/>
      <c r="D599" s="53"/>
      <c r="E599" s="53"/>
      <c r="F599" s="53"/>
      <c r="G599" s="106"/>
      <c r="H599" s="100"/>
      <c r="I599" s="106"/>
      <c r="J599" s="100"/>
      <c r="K599" s="55" t="s">
        <v>796</v>
      </c>
      <c r="AS599" s="56"/>
      <c r="AT599" s="55"/>
      <c r="CB599" s="56"/>
      <c r="CC599" s="54"/>
    </row>
    <row r="600" spans="2:81">
      <c r="B600" s="52" t="str">
        <f>IF(F600&lt;&gt;"",SUBTOTAL(3,$F$5:F600),"")</f>
        <v/>
      </c>
      <c r="C600" s="52"/>
      <c r="D600" s="53"/>
      <c r="E600" s="53"/>
      <c r="F600" s="53"/>
      <c r="G600" s="106"/>
      <c r="H600" s="100"/>
      <c r="I600" s="106"/>
      <c r="J600" s="100"/>
      <c r="K600" s="55" t="s">
        <v>762</v>
      </c>
      <c r="AS600" s="56"/>
      <c r="AT600" s="55"/>
      <c r="CB600" s="56"/>
      <c r="CC600" s="54"/>
    </row>
    <row r="601" spans="2:81">
      <c r="B601" s="52" t="str">
        <f>IF(F601&lt;&gt;"",SUBTOTAL(3,$F$5:F601),"")</f>
        <v/>
      </c>
      <c r="C601" s="52"/>
      <c r="D601" s="53"/>
      <c r="E601" s="53"/>
      <c r="F601" s="53"/>
      <c r="G601" s="106"/>
      <c r="H601" s="100"/>
      <c r="I601" s="106"/>
      <c r="J601" s="100"/>
      <c r="K601" s="55" t="s">
        <v>763</v>
      </c>
      <c r="AS601" s="56"/>
      <c r="AT601" s="55"/>
      <c r="CB601" s="56"/>
      <c r="CC601" s="54"/>
    </row>
    <row r="602" spans="2:81">
      <c r="B602" s="52" t="str">
        <f>IF(F602&lt;&gt;"",SUBTOTAL(3,$F$5:F602),"")</f>
        <v/>
      </c>
      <c r="C602" s="52"/>
      <c r="D602" s="53"/>
      <c r="E602" s="53"/>
      <c r="F602" s="53"/>
      <c r="G602" s="106"/>
      <c r="H602" s="100"/>
      <c r="I602" s="106"/>
      <c r="J602" s="100"/>
      <c r="K602" s="55"/>
      <c r="AS602" s="56"/>
      <c r="AT602" s="55"/>
      <c r="CB602" s="56"/>
      <c r="CC602" s="54"/>
    </row>
    <row r="603" spans="2:81">
      <c r="B603" s="52">
        <f>IF(F603&lt;&gt;"",SUBTOTAL(3,$F$5:F603),"")</f>
        <v>114</v>
      </c>
      <c r="C603" s="52"/>
      <c r="D603" s="53" t="s">
        <v>138</v>
      </c>
      <c r="E603" s="53" t="s">
        <v>141</v>
      </c>
      <c r="F603" s="53" t="s">
        <v>654</v>
      </c>
      <c r="G603" s="106">
        <v>44315</v>
      </c>
      <c r="H603" s="100">
        <v>1</v>
      </c>
      <c r="I603" s="106">
        <v>44827</v>
      </c>
      <c r="J603" s="100" t="s">
        <v>684</v>
      </c>
      <c r="K603" s="55" t="s">
        <v>791</v>
      </c>
      <c r="AS603" s="56"/>
      <c r="AT603" s="55"/>
      <c r="CB603" s="56"/>
      <c r="CC603" s="54"/>
    </row>
    <row r="604" spans="2:81">
      <c r="B604" s="52" t="str">
        <f>IF(F604&lt;&gt;"",SUBTOTAL(3,$F$5:F604),"")</f>
        <v/>
      </c>
      <c r="C604" s="52"/>
      <c r="D604" s="53"/>
      <c r="E604" s="53"/>
      <c r="F604" s="53"/>
      <c r="G604" s="106"/>
      <c r="H604" s="100"/>
      <c r="I604" s="106"/>
      <c r="J604" s="100"/>
      <c r="K604" s="55" t="s">
        <v>792</v>
      </c>
      <c r="AS604" s="56"/>
      <c r="AT604" s="55"/>
      <c r="CB604" s="56"/>
      <c r="CC604" s="54"/>
    </row>
    <row r="605" spans="2:81">
      <c r="B605" s="52" t="str">
        <f>IF(F605&lt;&gt;"",SUBTOTAL(3,$F$5:F605),"")</f>
        <v/>
      </c>
      <c r="C605" s="52"/>
      <c r="D605" s="53"/>
      <c r="E605" s="53"/>
      <c r="F605" s="53"/>
      <c r="G605" s="106"/>
      <c r="H605" s="100"/>
      <c r="I605" s="106"/>
      <c r="J605" s="100"/>
      <c r="K605" s="55" t="s">
        <v>793</v>
      </c>
      <c r="AS605" s="56"/>
      <c r="AT605" s="55"/>
      <c r="CB605" s="56"/>
      <c r="CC605" s="54"/>
    </row>
    <row r="606" spans="2:81">
      <c r="B606" s="52" t="str">
        <f>IF(F606&lt;&gt;"",SUBTOTAL(3,$F$5:F606),"")</f>
        <v/>
      </c>
      <c r="C606" s="52"/>
      <c r="D606" s="53"/>
      <c r="E606" s="53"/>
      <c r="F606" s="53"/>
      <c r="G606" s="106"/>
      <c r="H606" s="100"/>
      <c r="I606" s="106"/>
      <c r="J606" s="100"/>
      <c r="K606" s="55"/>
      <c r="AS606" s="56"/>
      <c r="AT606" s="55"/>
      <c r="CB606" s="56"/>
      <c r="CC606" s="54"/>
    </row>
    <row r="607" spans="2:81">
      <c r="B607" s="52">
        <f>IF(F607&lt;&gt;"",SUBTOTAL(3,$F$5:F607),"")</f>
        <v>115</v>
      </c>
      <c r="C607" s="52"/>
      <c r="D607" s="53" t="s">
        <v>138</v>
      </c>
      <c r="E607" s="53" t="s">
        <v>141</v>
      </c>
      <c r="F607" s="53" t="s">
        <v>784</v>
      </c>
      <c r="G607" s="106">
        <v>44315</v>
      </c>
      <c r="H607" s="100">
        <v>1</v>
      </c>
      <c r="I607" s="106">
        <v>44815</v>
      </c>
      <c r="J607" s="100" t="s">
        <v>684</v>
      </c>
      <c r="K607" s="55" t="s">
        <v>786</v>
      </c>
      <c r="AS607" s="56"/>
      <c r="AT607" s="55"/>
      <c r="CB607" s="56"/>
      <c r="CC607" s="54"/>
    </row>
    <row r="608" spans="2:81">
      <c r="B608" s="52" t="str">
        <f>IF(F608&lt;&gt;"",SUBTOTAL(3,$F$5:F608),"")</f>
        <v/>
      </c>
      <c r="C608" s="52"/>
      <c r="D608" s="53"/>
      <c r="E608" s="53"/>
      <c r="F608" s="53"/>
      <c r="G608" s="106"/>
      <c r="H608" s="100"/>
      <c r="I608" s="106"/>
      <c r="J608" s="100"/>
      <c r="K608" s="55" t="s">
        <v>787</v>
      </c>
      <c r="AS608" s="56"/>
      <c r="AT608" s="55"/>
      <c r="CB608" s="56"/>
      <c r="CC608" s="54"/>
    </row>
    <row r="609" spans="2:81">
      <c r="B609" s="52" t="str">
        <f>IF(F609&lt;&gt;"",SUBTOTAL(3,$F$5:F609),"")</f>
        <v/>
      </c>
      <c r="C609" s="52"/>
      <c r="D609" s="53"/>
      <c r="E609" s="53"/>
      <c r="F609" s="53"/>
      <c r="G609" s="106"/>
      <c r="H609" s="100"/>
      <c r="I609" s="106"/>
      <c r="J609" s="100"/>
      <c r="K609" s="55" t="s">
        <v>788</v>
      </c>
      <c r="AS609" s="56"/>
      <c r="AT609" s="55"/>
      <c r="CB609" s="56"/>
      <c r="CC609" s="54"/>
    </row>
    <row r="610" spans="2:81">
      <c r="B610" s="52" t="str">
        <f>IF(F610&lt;&gt;"",SUBTOTAL(3,$F$5:F610),"")</f>
        <v/>
      </c>
      <c r="C610" s="52"/>
      <c r="D610" s="53"/>
      <c r="E610" s="53"/>
      <c r="F610" s="53"/>
      <c r="G610" s="106"/>
      <c r="H610" s="100"/>
      <c r="I610" s="106"/>
      <c r="J610" s="100"/>
      <c r="K610" s="55" t="s">
        <v>789</v>
      </c>
      <c r="AS610" s="56"/>
      <c r="AT610" s="55"/>
      <c r="CB610" s="56"/>
      <c r="CC610" s="54"/>
    </row>
    <row r="611" spans="2:81">
      <c r="B611" s="52" t="str">
        <f>IF(F611&lt;&gt;"",SUBTOTAL(3,$F$5:F611),"")</f>
        <v/>
      </c>
      <c r="C611" s="52"/>
      <c r="D611" s="53"/>
      <c r="E611" s="53"/>
      <c r="F611" s="53"/>
      <c r="G611" s="106"/>
      <c r="H611" s="100"/>
      <c r="I611" s="106"/>
      <c r="J611" s="100"/>
      <c r="K611" s="55" t="s">
        <v>790</v>
      </c>
      <c r="AS611" s="56"/>
      <c r="AT611" s="55"/>
      <c r="CB611" s="56"/>
      <c r="CC611" s="54"/>
    </row>
    <row r="612" spans="2:81">
      <c r="B612" s="52" t="str">
        <f>IF(F612&lt;&gt;"",SUBTOTAL(3,$F$5:F612),"")</f>
        <v/>
      </c>
      <c r="C612" s="52"/>
      <c r="D612" s="53"/>
      <c r="E612" s="53"/>
      <c r="F612" s="53"/>
      <c r="G612" s="106"/>
      <c r="H612" s="100"/>
      <c r="I612" s="106"/>
      <c r="J612" s="100"/>
      <c r="K612" s="55" t="s">
        <v>785</v>
      </c>
      <c r="AS612" s="56"/>
      <c r="AT612" s="55"/>
      <c r="CB612" s="56"/>
      <c r="CC612" s="54"/>
    </row>
    <row r="613" spans="2:81" ht="15.75">
      <c r="B613" s="52" t="str">
        <f>IF(F613&lt;&gt;"",SUBTOTAL(3,$F$5:F613),"")</f>
        <v/>
      </c>
      <c r="C613" s="52"/>
      <c r="D613" s="53"/>
      <c r="E613" s="53"/>
      <c r="F613" s="53"/>
      <c r="G613" s="106"/>
      <c r="H613" s="100"/>
      <c r="I613" s="106"/>
      <c r="J613" s="100"/>
      <c r="K613" s="55" t="s">
        <v>775</v>
      </c>
      <c r="AS613" s="56"/>
      <c r="AT613" s="55"/>
      <c r="CB613" s="56"/>
      <c r="CC613" s="54"/>
    </row>
    <row r="614" spans="2:81" ht="15.75">
      <c r="B614" s="52"/>
      <c r="C614" s="52"/>
      <c r="D614" s="53"/>
      <c r="E614" s="53"/>
      <c r="F614" s="53"/>
      <c r="G614" s="106"/>
      <c r="H614" s="100"/>
      <c r="I614" s="106"/>
      <c r="J614" s="100"/>
      <c r="K614" s="55" t="s">
        <v>778</v>
      </c>
      <c r="AS614" s="56"/>
      <c r="AT614" s="55"/>
      <c r="CB614" s="56"/>
      <c r="CC614" s="54"/>
    </row>
    <row r="615" spans="2:81" ht="15.75">
      <c r="B615" s="52"/>
      <c r="C615" s="52"/>
      <c r="D615" s="53"/>
      <c r="E615" s="53"/>
      <c r="F615" s="53"/>
      <c r="G615" s="106"/>
      <c r="H615" s="100"/>
      <c r="I615" s="106"/>
      <c r="J615" s="100"/>
      <c r="K615" s="55" t="s">
        <v>776</v>
      </c>
      <c r="AS615" s="56"/>
      <c r="AT615" s="55"/>
      <c r="CB615" s="56"/>
      <c r="CC615" s="54"/>
    </row>
    <row r="616" spans="2:81" ht="15.75">
      <c r="B616" s="52" t="str">
        <f>IF(F616&lt;&gt;"",SUBTOTAL(3,$F$5:F616),"")</f>
        <v/>
      </c>
      <c r="C616" s="52"/>
      <c r="D616" s="53"/>
      <c r="E616" s="53"/>
      <c r="F616" s="53"/>
      <c r="G616" s="106"/>
      <c r="H616" s="100"/>
      <c r="I616" s="106"/>
      <c r="J616" s="100"/>
      <c r="K616" s="55" t="s">
        <v>777</v>
      </c>
      <c r="AS616" s="56"/>
      <c r="AT616" s="55"/>
      <c r="CB616" s="56"/>
      <c r="CC616" s="54"/>
    </row>
    <row r="617" spans="2:81">
      <c r="B617" s="52"/>
      <c r="C617" s="52"/>
      <c r="D617" s="53"/>
      <c r="E617" s="53"/>
      <c r="F617" s="53"/>
      <c r="G617" s="106"/>
      <c r="H617" s="100"/>
      <c r="I617" s="106"/>
      <c r="J617" s="100"/>
      <c r="K617" s="55"/>
      <c r="AS617" s="56"/>
      <c r="AT617" s="55"/>
      <c r="CB617" s="56"/>
      <c r="CC617" s="54"/>
    </row>
    <row r="618" spans="2:81">
      <c r="B618" s="52"/>
      <c r="C618" s="52"/>
      <c r="D618" s="53"/>
      <c r="E618" s="53"/>
      <c r="F618" s="53"/>
      <c r="G618" s="106"/>
      <c r="H618" s="100"/>
      <c r="I618" s="106"/>
      <c r="J618" s="100"/>
      <c r="K618" s="55" t="s">
        <v>774</v>
      </c>
      <c r="AS618" s="56"/>
      <c r="AT618" s="55"/>
      <c r="CB618" s="56"/>
      <c r="CC618" s="54"/>
    </row>
    <row r="619" spans="2:81">
      <c r="B619" s="52" t="str">
        <f>IF(F619&lt;&gt;"",SUBTOTAL(3,$F$5:F619),"")</f>
        <v/>
      </c>
      <c r="C619" s="52"/>
      <c r="D619" s="53"/>
      <c r="E619" s="53"/>
      <c r="F619" s="53"/>
      <c r="G619" s="106"/>
      <c r="H619" s="100"/>
      <c r="I619" s="106"/>
      <c r="J619" s="100"/>
      <c r="K619" s="55"/>
      <c r="AS619" s="56"/>
      <c r="AT619" s="55"/>
      <c r="CB619" s="56"/>
      <c r="CC619" s="54"/>
    </row>
    <row r="620" spans="2:81">
      <c r="B620" s="52">
        <f>IF(F620&lt;&gt;"",SUBTOTAL(3,$F$5:F620),"")</f>
        <v>116</v>
      </c>
      <c r="C620" s="52"/>
      <c r="D620" s="53" t="s">
        <v>138</v>
      </c>
      <c r="E620" s="53" t="s">
        <v>141</v>
      </c>
      <c r="F620" s="53" t="s">
        <v>655</v>
      </c>
      <c r="G620" s="106">
        <v>44320</v>
      </c>
      <c r="H620" s="100">
        <v>1</v>
      </c>
      <c r="I620" s="106">
        <v>44815</v>
      </c>
      <c r="J620" s="100" t="s">
        <v>684</v>
      </c>
      <c r="K620" s="55" t="s">
        <v>755</v>
      </c>
      <c r="AS620" s="56"/>
      <c r="AT620" s="55"/>
      <c r="CB620" s="56"/>
      <c r="CC620" s="54"/>
    </row>
    <row r="621" spans="2:81">
      <c r="B621" s="52" t="str">
        <f>IF(F621&lt;&gt;"",SUBTOTAL(3,$F$5:F621),"")</f>
        <v/>
      </c>
      <c r="C621" s="52"/>
      <c r="D621" s="53"/>
      <c r="E621" s="53"/>
      <c r="F621" s="53"/>
      <c r="G621" s="106"/>
      <c r="H621" s="100"/>
      <c r="I621" s="106"/>
      <c r="J621" s="100"/>
      <c r="K621" s="51" t="s">
        <v>756</v>
      </c>
      <c r="AS621" s="56"/>
      <c r="AT621" s="55"/>
      <c r="CB621" s="56"/>
      <c r="CC621" s="54"/>
    </row>
    <row r="622" spans="2:81">
      <c r="B622" s="52"/>
      <c r="C622" s="52"/>
      <c r="D622" s="53"/>
      <c r="E622" s="53"/>
      <c r="F622" s="53"/>
      <c r="G622" s="106"/>
      <c r="H622" s="100"/>
      <c r="I622" s="106"/>
      <c r="J622" s="100"/>
      <c r="K622" s="51" t="s">
        <v>757</v>
      </c>
      <c r="AS622" s="56"/>
      <c r="AT622" s="55"/>
      <c r="CB622" s="56"/>
      <c r="CC622" s="54"/>
    </row>
    <row r="623" spans="2:81">
      <c r="B623" s="52" t="str">
        <f>IF(F623&lt;&gt;"",SUBTOTAL(3,$F$5:F623),"")</f>
        <v/>
      </c>
      <c r="C623" s="52"/>
      <c r="D623" s="53"/>
      <c r="E623" s="53"/>
      <c r="F623" s="53"/>
      <c r="G623" s="106"/>
      <c r="H623" s="100"/>
      <c r="I623" s="106"/>
      <c r="J623" s="100"/>
      <c r="K623" s="55" t="s">
        <v>656</v>
      </c>
      <c r="AS623" s="56"/>
      <c r="AT623" s="55"/>
      <c r="CB623" s="56"/>
      <c r="CC623" s="54"/>
    </row>
    <row r="624" spans="2:81">
      <c r="B624" s="52" t="str">
        <f>IF(F624&lt;&gt;"",SUBTOTAL(3,$F$5:F624),"")</f>
        <v/>
      </c>
      <c r="C624" s="52"/>
      <c r="D624" s="53"/>
      <c r="E624" s="53"/>
      <c r="F624" s="53"/>
      <c r="G624" s="106"/>
      <c r="H624" s="100"/>
      <c r="I624" s="106"/>
      <c r="J624" s="100"/>
      <c r="K624" s="55"/>
      <c r="AS624" s="56"/>
      <c r="AT624" s="55"/>
      <c r="CB624" s="56"/>
      <c r="CC624" s="54"/>
    </row>
    <row r="625" spans="2:81">
      <c r="B625" s="52" t="str">
        <f>IF(F625&lt;&gt;"",SUBTOTAL(3,$F$5:F625),"")</f>
        <v/>
      </c>
      <c r="C625" s="52"/>
      <c r="D625" s="53"/>
      <c r="E625" s="53"/>
      <c r="F625" s="53"/>
      <c r="G625" s="106"/>
      <c r="H625" s="100"/>
      <c r="I625" s="106"/>
      <c r="J625" s="100"/>
      <c r="K625" s="55" t="s">
        <v>760</v>
      </c>
      <c r="AS625" s="56"/>
      <c r="AT625" s="55"/>
      <c r="CB625" s="56"/>
      <c r="CC625" s="54"/>
    </row>
    <row r="626" spans="2:81">
      <c r="B626" s="52" t="str">
        <f>IF(F626&lt;&gt;"",SUBTOTAL(3,$F$5:F626),"")</f>
        <v/>
      </c>
      <c r="C626" s="52"/>
      <c r="D626" s="53"/>
      <c r="E626" s="53"/>
      <c r="F626" s="53"/>
      <c r="G626" s="106"/>
      <c r="H626" s="100"/>
      <c r="I626" s="106"/>
      <c r="J626" s="100"/>
      <c r="K626" s="55" t="s">
        <v>758</v>
      </c>
      <c r="AS626" s="56"/>
      <c r="AT626" s="55"/>
      <c r="CB626" s="56"/>
      <c r="CC626" s="54"/>
    </row>
    <row r="627" spans="2:81">
      <c r="B627" s="52" t="str">
        <f>IF(F627&lt;&gt;"",SUBTOTAL(3,$F$5:F627),"")</f>
        <v/>
      </c>
      <c r="C627" s="52"/>
      <c r="D627" s="53"/>
      <c r="E627" s="53"/>
      <c r="F627" s="53"/>
      <c r="G627" s="106"/>
      <c r="H627" s="100"/>
      <c r="I627" s="106"/>
      <c r="J627" s="100"/>
      <c r="K627" s="124" t="s">
        <v>781</v>
      </c>
      <c r="L627" s="124"/>
      <c r="M627" s="124"/>
      <c r="N627" s="124"/>
      <c r="O627" s="124"/>
      <c r="P627" s="124"/>
      <c r="Q627" s="124"/>
      <c r="R627" s="124"/>
      <c r="S627" s="124"/>
      <c r="T627" s="124"/>
      <c r="U627" s="124"/>
      <c r="V627" s="124"/>
      <c r="W627" s="124"/>
      <c r="X627" s="124"/>
      <c r="Y627" s="124"/>
      <c r="Z627" s="124"/>
      <c r="AA627" s="124"/>
      <c r="AB627" s="124"/>
      <c r="AC627" s="124"/>
      <c r="AD627" s="124"/>
      <c r="AE627" s="124"/>
      <c r="AF627" s="124"/>
      <c r="AG627" s="124"/>
      <c r="AH627" s="124"/>
      <c r="AI627" s="124"/>
      <c r="AJ627" s="124"/>
      <c r="AK627" s="124"/>
      <c r="AL627" s="124"/>
      <c r="AM627" s="124"/>
      <c r="AN627" s="124"/>
      <c r="AO627" s="124"/>
      <c r="AP627" s="124"/>
      <c r="AQ627" s="124"/>
      <c r="AR627" s="124"/>
      <c r="AS627" s="125"/>
      <c r="AT627" s="55"/>
      <c r="CB627" s="56"/>
      <c r="CC627" s="54"/>
    </row>
    <row r="628" spans="2:81">
      <c r="B628" s="52"/>
      <c r="C628" s="52"/>
      <c r="D628" s="53"/>
      <c r="E628" s="53"/>
      <c r="F628" s="53"/>
      <c r="G628" s="106"/>
      <c r="H628" s="100"/>
      <c r="I628" s="106"/>
      <c r="J628" s="100"/>
      <c r="K628" s="124" t="s">
        <v>783</v>
      </c>
      <c r="L628" s="124"/>
      <c r="M628" s="124"/>
      <c r="N628" s="124"/>
      <c r="O628" s="124"/>
      <c r="P628" s="124"/>
      <c r="Q628" s="124"/>
      <c r="R628" s="124"/>
      <c r="S628" s="124"/>
      <c r="T628" s="124"/>
      <c r="U628" s="124"/>
      <c r="V628" s="124"/>
      <c r="W628" s="124"/>
      <c r="X628" s="124"/>
      <c r="Y628" s="124"/>
      <c r="Z628" s="124"/>
      <c r="AA628" s="124"/>
      <c r="AB628" s="124"/>
      <c r="AC628" s="124"/>
      <c r="AD628" s="124"/>
      <c r="AE628" s="124"/>
      <c r="AF628" s="124"/>
      <c r="AG628" s="124"/>
      <c r="AH628" s="124"/>
      <c r="AI628" s="124"/>
      <c r="AJ628" s="124"/>
      <c r="AK628" s="124"/>
      <c r="AL628" s="124"/>
      <c r="AM628" s="124"/>
      <c r="AN628" s="124"/>
      <c r="AO628" s="124"/>
      <c r="AP628" s="124"/>
      <c r="AQ628" s="124"/>
      <c r="AR628" s="124"/>
      <c r="AS628" s="125"/>
      <c r="AT628" s="55"/>
      <c r="CB628" s="56"/>
      <c r="CC628" s="54"/>
    </row>
    <row r="629" spans="2:81">
      <c r="B629" s="52"/>
      <c r="C629" s="52"/>
      <c r="D629" s="53"/>
      <c r="E629" s="53"/>
      <c r="F629" s="53"/>
      <c r="G629" s="106"/>
      <c r="H629" s="100"/>
      <c r="I629" s="106"/>
      <c r="J629" s="100"/>
      <c r="K629" s="124" t="s">
        <v>782</v>
      </c>
      <c r="L629" s="124"/>
      <c r="M629" s="124"/>
      <c r="N629" s="124"/>
      <c r="O629" s="124"/>
      <c r="P629" s="124"/>
      <c r="Q629" s="124"/>
      <c r="R629" s="124"/>
      <c r="S629" s="124"/>
      <c r="T629" s="124"/>
      <c r="U629" s="124"/>
      <c r="V629" s="124"/>
      <c r="W629" s="124"/>
      <c r="X629" s="124"/>
      <c r="Y629" s="124"/>
      <c r="Z629" s="124"/>
      <c r="AA629" s="124"/>
      <c r="AB629" s="124"/>
      <c r="AC629" s="124"/>
      <c r="AD629" s="124"/>
      <c r="AE629" s="124"/>
      <c r="AF629" s="124"/>
      <c r="AG629" s="124"/>
      <c r="AH629" s="124"/>
      <c r="AI629" s="124"/>
      <c r="AJ629" s="124"/>
      <c r="AK629" s="124"/>
      <c r="AL629" s="124"/>
      <c r="AM629" s="124"/>
      <c r="AN629" s="124"/>
      <c r="AO629" s="124"/>
      <c r="AP629" s="124"/>
      <c r="AQ629" s="124"/>
      <c r="AR629" s="124"/>
      <c r="AS629" s="125"/>
      <c r="AT629" s="55"/>
      <c r="CB629" s="56"/>
      <c r="CC629" s="54"/>
    </row>
    <row r="630" spans="2:81">
      <c r="B630" s="52"/>
      <c r="C630" s="52"/>
      <c r="D630" s="53"/>
      <c r="E630" s="53"/>
      <c r="F630" s="53"/>
      <c r="G630" s="106"/>
      <c r="H630" s="100"/>
      <c r="I630" s="106"/>
      <c r="J630" s="100"/>
      <c r="K630" s="124" t="s">
        <v>779</v>
      </c>
      <c r="L630" s="124"/>
      <c r="M630" s="124"/>
      <c r="N630" s="124"/>
      <c r="O630" s="124"/>
      <c r="P630" s="124"/>
      <c r="Q630" s="124"/>
      <c r="R630" s="124"/>
      <c r="S630" s="124"/>
      <c r="T630" s="124"/>
      <c r="U630" s="124"/>
      <c r="V630" s="124"/>
      <c r="W630" s="124"/>
      <c r="X630" s="124"/>
      <c r="Y630" s="124"/>
      <c r="Z630" s="124"/>
      <c r="AA630" s="124"/>
      <c r="AB630" s="124"/>
      <c r="AC630" s="124"/>
      <c r="AD630" s="124"/>
      <c r="AE630" s="124"/>
      <c r="AF630" s="124"/>
      <c r="AG630" s="124"/>
      <c r="AH630" s="124"/>
      <c r="AI630" s="124"/>
      <c r="AJ630" s="124"/>
      <c r="AK630" s="124"/>
      <c r="AL630" s="124"/>
      <c r="AM630" s="124"/>
      <c r="AN630" s="124"/>
      <c r="AO630" s="124"/>
      <c r="AP630" s="124"/>
      <c r="AQ630" s="124"/>
      <c r="AR630" s="124"/>
      <c r="AS630" s="125"/>
      <c r="AT630" s="55"/>
      <c r="CB630" s="56"/>
      <c r="CC630" s="54"/>
    </row>
    <row r="631" spans="2:81">
      <c r="B631" s="52"/>
      <c r="C631" s="52"/>
      <c r="D631" s="53"/>
      <c r="E631" s="53"/>
      <c r="F631" s="53"/>
      <c r="G631" s="106"/>
      <c r="H631" s="100"/>
      <c r="I631" s="106"/>
      <c r="J631" s="100"/>
      <c r="K631" s="124" t="s">
        <v>780</v>
      </c>
      <c r="L631" s="124"/>
      <c r="M631" s="124"/>
      <c r="N631" s="124"/>
      <c r="O631" s="124"/>
      <c r="P631" s="124"/>
      <c r="Q631" s="124"/>
      <c r="R631" s="124"/>
      <c r="S631" s="124"/>
      <c r="T631" s="124"/>
      <c r="U631" s="124"/>
      <c r="V631" s="124"/>
      <c r="W631" s="124"/>
      <c r="X631" s="124"/>
      <c r="Y631" s="124"/>
      <c r="Z631" s="124"/>
      <c r="AA631" s="124"/>
      <c r="AB631" s="124"/>
      <c r="AC631" s="124"/>
      <c r="AD631" s="124"/>
      <c r="AE631" s="124"/>
      <c r="AF631" s="124"/>
      <c r="AG631" s="124"/>
      <c r="AH631" s="124"/>
      <c r="AI631" s="124"/>
      <c r="AJ631" s="124"/>
      <c r="AK631" s="124"/>
      <c r="AL631" s="124"/>
      <c r="AM631" s="124"/>
      <c r="AN631" s="124"/>
      <c r="AO631" s="124"/>
      <c r="AP631" s="124"/>
      <c r="AQ631" s="124"/>
      <c r="AR631" s="124"/>
      <c r="AS631" s="125"/>
      <c r="AT631" s="55"/>
      <c r="CB631" s="56"/>
      <c r="CC631" s="54"/>
    </row>
    <row r="632" spans="2:81">
      <c r="B632" s="52" t="str">
        <f>IF(F632&lt;&gt;"",SUBTOTAL(3,$F$5:F632),"")</f>
        <v/>
      </c>
      <c r="C632" s="52"/>
      <c r="D632" s="53"/>
      <c r="E632" s="53"/>
      <c r="F632" s="53"/>
      <c r="G632" s="106"/>
      <c r="H632" s="100"/>
      <c r="I632" s="106"/>
      <c r="J632" s="100"/>
      <c r="K632" s="55" t="s">
        <v>761</v>
      </c>
      <c r="AS632" s="56"/>
      <c r="AT632" s="55"/>
      <c r="CB632" s="56"/>
      <c r="CC632" s="54"/>
    </row>
    <row r="633" spans="2:81">
      <c r="B633" s="52"/>
      <c r="C633" s="52"/>
      <c r="D633" s="53"/>
      <c r="E633" s="53"/>
      <c r="F633" s="53"/>
      <c r="G633" s="106"/>
      <c r="H633" s="100"/>
      <c r="I633" s="106"/>
      <c r="J633" s="100"/>
      <c r="K633" s="55" t="s">
        <v>759</v>
      </c>
      <c r="AS633" s="56"/>
      <c r="AT633" s="55"/>
      <c r="CB633" s="56"/>
      <c r="CC633" s="54"/>
    </row>
    <row r="634" spans="2:81">
      <c r="B634" s="52"/>
      <c r="C634" s="52"/>
      <c r="D634" s="53"/>
      <c r="E634" s="53"/>
      <c r="F634" s="53"/>
      <c r="G634" s="106"/>
      <c r="H634" s="100"/>
      <c r="I634" s="106"/>
      <c r="J634" s="100"/>
      <c r="K634" s="55" t="s">
        <v>656</v>
      </c>
      <c r="AS634" s="56"/>
      <c r="AT634" s="55"/>
      <c r="CB634" s="56"/>
      <c r="CC634" s="54"/>
    </row>
    <row r="635" spans="2:81">
      <c r="B635" s="52" t="str">
        <f>IF(F635&lt;&gt;"",SUBTOTAL(3,$F$5:F635),"")</f>
        <v/>
      </c>
      <c r="C635" s="52"/>
      <c r="D635" s="53"/>
      <c r="E635" s="53"/>
      <c r="F635" s="53"/>
      <c r="G635" s="106"/>
      <c r="H635" s="100"/>
      <c r="I635" s="106"/>
      <c r="J635" s="100"/>
      <c r="K635" s="55"/>
      <c r="AS635" s="56"/>
      <c r="AT635" s="55"/>
      <c r="CB635" s="56"/>
      <c r="CC635" s="54"/>
    </row>
    <row r="636" spans="2:81">
      <c r="B636" s="52">
        <f>IF(F636&lt;&gt;"",SUBTOTAL(3,$F$5:F636),"")</f>
        <v>117</v>
      </c>
      <c r="C636" s="52"/>
      <c r="D636" s="53" t="s">
        <v>138</v>
      </c>
      <c r="E636" s="53" t="s">
        <v>141</v>
      </c>
      <c r="F636" s="53" t="s">
        <v>657</v>
      </c>
      <c r="G636" s="106">
        <v>44321</v>
      </c>
      <c r="H636" s="100">
        <v>1</v>
      </c>
      <c r="I636" s="106">
        <v>44808</v>
      </c>
      <c r="J636" s="100" t="s">
        <v>684</v>
      </c>
      <c r="K636" s="55" t="s">
        <v>753</v>
      </c>
      <c r="AS636" s="56"/>
      <c r="AT636" s="55"/>
      <c r="CB636" s="56"/>
      <c r="CC636" s="54"/>
    </row>
    <row r="637" spans="2:81">
      <c r="B637" s="52" t="str">
        <f>IF(F637&lt;&gt;"",SUBTOTAL(3,$F$5:F637),"")</f>
        <v/>
      </c>
      <c r="C637" s="52"/>
      <c r="D637" s="53"/>
      <c r="E637" s="53"/>
      <c r="F637" s="53"/>
      <c r="G637" s="106"/>
      <c r="H637" s="100"/>
      <c r="I637" s="106"/>
      <c r="J637" s="100"/>
      <c r="K637" s="55" t="s">
        <v>754</v>
      </c>
      <c r="AS637" s="56"/>
      <c r="AT637" s="55"/>
      <c r="CB637" s="56"/>
      <c r="CC637" s="54"/>
    </row>
    <row r="638" spans="2:81">
      <c r="B638" s="52" t="str">
        <f>IF(F638&lt;&gt;"",SUBTOTAL(3,$F$5:F638),"")</f>
        <v/>
      </c>
      <c r="C638" s="52"/>
      <c r="D638" s="53"/>
      <c r="E638" s="53"/>
      <c r="F638" s="53"/>
      <c r="G638" s="106"/>
      <c r="H638" s="100"/>
      <c r="I638" s="106"/>
      <c r="J638" s="100"/>
      <c r="K638" s="55" t="s">
        <v>751</v>
      </c>
      <c r="AS638" s="56"/>
      <c r="AT638" s="55"/>
      <c r="CB638" s="56"/>
      <c r="CC638" s="54"/>
    </row>
    <row r="639" spans="2:81">
      <c r="B639" s="52" t="str">
        <f>IF(F639&lt;&gt;"",SUBTOTAL(3,$F$5:F639),"")</f>
        <v/>
      </c>
      <c r="C639" s="52"/>
      <c r="D639" s="53"/>
      <c r="E639" s="53"/>
      <c r="F639" s="53"/>
      <c r="G639" s="106"/>
      <c r="H639" s="100"/>
      <c r="I639" s="106"/>
      <c r="J639" s="100"/>
      <c r="K639" s="55" t="s">
        <v>752</v>
      </c>
      <c r="AS639" s="56"/>
      <c r="AT639" s="55"/>
      <c r="CB639" s="56"/>
      <c r="CC639" s="54"/>
    </row>
    <row r="640" spans="2:81">
      <c r="B640" s="52" t="str">
        <f>IF(F640&lt;&gt;"",SUBTOTAL(3,$F$5:F640),"")</f>
        <v/>
      </c>
      <c r="C640" s="52"/>
      <c r="D640" s="53"/>
      <c r="E640" s="53"/>
      <c r="F640" s="53"/>
      <c r="G640" s="106"/>
      <c r="H640" s="100"/>
      <c r="I640" s="106"/>
      <c r="J640" s="100"/>
      <c r="K640" s="55"/>
      <c r="AS640" s="56"/>
      <c r="AT640" s="55"/>
      <c r="CB640" s="56"/>
      <c r="CC640" s="54"/>
    </row>
    <row r="641" spans="2:84">
      <c r="B641" s="52">
        <f>IF(F641&lt;&gt;"",SUBTOTAL(3,$F$5:F641),"")</f>
        <v>118</v>
      </c>
      <c r="C641" s="52"/>
      <c r="D641" s="53" t="s">
        <v>138</v>
      </c>
      <c r="E641" s="53" t="s">
        <v>141</v>
      </c>
      <c r="F641" s="53" t="s">
        <v>658</v>
      </c>
      <c r="G641" s="106">
        <v>44321</v>
      </c>
      <c r="H641" s="100">
        <v>1</v>
      </c>
      <c r="I641" s="106">
        <v>44807</v>
      </c>
      <c r="J641" s="100" t="s">
        <v>684</v>
      </c>
      <c r="K641" s="55" t="s">
        <v>773</v>
      </c>
      <c r="AS641" s="56"/>
      <c r="AT641" s="55"/>
      <c r="CB641" s="56"/>
      <c r="CC641" s="54"/>
    </row>
    <row r="642" spans="2:84">
      <c r="B642" s="52" t="str">
        <f>IF(F642&lt;&gt;"",SUBTOTAL(3,$F$5:F642),"")</f>
        <v/>
      </c>
      <c r="C642" s="52"/>
      <c r="D642" s="53"/>
      <c r="E642" s="53"/>
      <c r="F642" s="53"/>
      <c r="G642" s="106"/>
      <c r="H642" s="100"/>
      <c r="I642" s="106"/>
      <c r="J642" s="100"/>
      <c r="K642" s="55" t="s">
        <v>771</v>
      </c>
      <c r="AS642" s="56"/>
      <c r="AT642" s="55"/>
      <c r="CB642" s="56"/>
      <c r="CC642" s="54"/>
    </row>
    <row r="643" spans="2:84">
      <c r="B643" s="52" t="str">
        <f>IF(F643&lt;&gt;"",SUBTOTAL(3,$F$5:F643),"")</f>
        <v/>
      </c>
      <c r="C643" s="52"/>
      <c r="D643" s="53"/>
      <c r="E643" s="53"/>
      <c r="F643" s="53"/>
      <c r="G643" s="106"/>
      <c r="H643" s="100"/>
      <c r="I643" s="106"/>
      <c r="J643" s="100"/>
      <c r="K643" s="55" t="s">
        <v>772</v>
      </c>
      <c r="AS643" s="56"/>
      <c r="AT643" s="55"/>
      <c r="CB643" s="56"/>
      <c r="CC643" s="54"/>
    </row>
    <row r="644" spans="2:84">
      <c r="B644" s="52" t="str">
        <f>IF(F644&lt;&gt;"",SUBTOTAL(3,$F$5:F644),"")</f>
        <v/>
      </c>
      <c r="C644" s="52"/>
      <c r="D644" s="53"/>
      <c r="E644" s="53"/>
      <c r="F644" s="53"/>
      <c r="G644" s="106"/>
      <c r="H644" s="100"/>
      <c r="I644" s="106"/>
      <c r="J644" s="100"/>
      <c r="K644" s="55" t="s">
        <v>750</v>
      </c>
      <c r="AS644" s="56"/>
      <c r="AT644" s="55"/>
      <c r="CB644" s="56"/>
      <c r="CC644" s="54"/>
    </row>
    <row r="645" spans="2:84">
      <c r="B645" s="52" t="str">
        <f>IF(F645&lt;&gt;"",SUBTOTAL(3,$F$5:F645),"")</f>
        <v/>
      </c>
      <c r="C645" s="52"/>
      <c r="D645" s="53"/>
      <c r="E645" s="53"/>
      <c r="F645" s="53"/>
      <c r="G645" s="106"/>
      <c r="H645" s="100"/>
      <c r="I645" s="106"/>
      <c r="J645" s="100"/>
      <c r="K645" s="55"/>
      <c r="AS645" s="56"/>
      <c r="AT645" s="55"/>
      <c r="CB645" s="56"/>
      <c r="CC645" s="54"/>
      <c r="CE645" s="51" t="s">
        <v>1</v>
      </c>
      <c r="CF645" s="51" t="s">
        <v>680</v>
      </c>
    </row>
    <row r="646" spans="2:84">
      <c r="B646" s="52">
        <f>IF(F646&lt;&gt;"",SUBTOTAL(3,$F$5:F646),"")</f>
        <v>119</v>
      </c>
      <c r="C646" s="52"/>
      <c r="D646" s="53" t="s">
        <v>138</v>
      </c>
      <c r="E646" s="53" t="s">
        <v>141</v>
      </c>
      <c r="F646" s="53" t="s">
        <v>659</v>
      </c>
      <c r="G646" s="106">
        <v>44327</v>
      </c>
      <c r="H646" s="100">
        <v>1</v>
      </c>
      <c r="I646" s="106">
        <v>44807</v>
      </c>
      <c r="J646" s="100" t="s">
        <v>684</v>
      </c>
      <c r="K646" s="55" t="s">
        <v>677</v>
      </c>
      <c r="AS646" s="56"/>
      <c r="AT646" s="55"/>
      <c r="CB646" s="56"/>
      <c r="CC646" s="54"/>
      <c r="CE646" s="51" t="s">
        <v>1</v>
      </c>
      <c r="CF646" s="51" t="s">
        <v>679</v>
      </c>
    </row>
    <row r="647" spans="2:84">
      <c r="B647" s="52" t="str">
        <f>IF(F647&lt;&gt;"",SUBTOTAL(3,$F$5:F647),"")</f>
        <v/>
      </c>
      <c r="C647" s="52"/>
      <c r="D647" s="53"/>
      <c r="E647" s="53"/>
      <c r="F647" s="53"/>
      <c r="G647" s="106"/>
      <c r="H647" s="100"/>
      <c r="I647" s="106"/>
      <c r="J647" s="100"/>
      <c r="K647" s="55" t="s">
        <v>678</v>
      </c>
      <c r="AS647" s="56"/>
      <c r="AT647" s="55"/>
      <c r="CB647" s="56"/>
      <c r="CC647" s="54"/>
    </row>
    <row r="648" spans="2:84">
      <c r="B648" s="52" t="str">
        <f>IF(F648&lt;&gt;"",SUBTOTAL(3,$F$5:F648),"")</f>
        <v/>
      </c>
      <c r="C648" s="52"/>
      <c r="D648" s="53"/>
      <c r="E648" s="53"/>
      <c r="F648" s="53"/>
      <c r="G648" s="106"/>
      <c r="H648" s="100"/>
      <c r="I648" s="106"/>
      <c r="J648" s="100"/>
      <c r="K648" s="55" t="s">
        <v>766</v>
      </c>
      <c r="AS648" s="56"/>
      <c r="AT648" s="55"/>
      <c r="CB648" s="56"/>
      <c r="CC648" s="54"/>
    </row>
    <row r="649" spans="2:84">
      <c r="B649" s="52" t="str">
        <f>IF(F649&lt;&gt;"",SUBTOTAL(3,$F$5:F649),"")</f>
        <v/>
      </c>
      <c r="C649" s="52"/>
      <c r="D649" s="53"/>
      <c r="E649" s="53"/>
      <c r="F649" s="53"/>
      <c r="G649" s="106"/>
      <c r="H649" s="100"/>
      <c r="I649" s="106"/>
      <c r="J649" s="100"/>
      <c r="K649" s="55" t="s">
        <v>765</v>
      </c>
      <c r="AS649" s="56"/>
      <c r="AT649" s="55"/>
      <c r="CB649" s="56"/>
      <c r="CC649" s="54"/>
    </row>
    <row r="650" spans="2:84">
      <c r="B650" s="52" t="str">
        <f>IF(F650&lt;&gt;"",SUBTOTAL(3,$F$5:F650),"")</f>
        <v/>
      </c>
      <c r="C650" s="52"/>
      <c r="D650" s="53"/>
      <c r="E650" s="53"/>
      <c r="F650" s="53"/>
      <c r="G650" s="106"/>
      <c r="H650" s="100"/>
      <c r="I650" s="106"/>
      <c r="J650" s="100"/>
      <c r="K650" s="55"/>
      <c r="AS650" s="56"/>
      <c r="AT650" s="55"/>
      <c r="CB650" s="56"/>
      <c r="CC650" s="54"/>
    </row>
    <row r="651" spans="2:84">
      <c r="B651" s="52" t="str">
        <f>IF(F651&lt;&gt;"",SUBTOTAL(3,$F$5:F651),"")</f>
        <v/>
      </c>
      <c r="C651" s="52"/>
      <c r="D651" s="53"/>
      <c r="E651" s="53"/>
      <c r="F651" s="53"/>
      <c r="G651" s="106"/>
      <c r="H651" s="100"/>
      <c r="I651" s="106"/>
      <c r="J651" s="100"/>
      <c r="K651" s="55" t="s">
        <v>1</v>
      </c>
      <c r="L651"/>
      <c r="M651"/>
      <c r="N651" s="51" t="s">
        <v>768</v>
      </c>
      <c r="U651" s="51" t="s">
        <v>769</v>
      </c>
      <c r="AS651" s="56"/>
      <c r="AT651" s="55"/>
      <c r="CB651" s="56"/>
      <c r="CC651" s="54"/>
      <c r="CE651" s="51" t="s">
        <v>770</v>
      </c>
    </row>
    <row r="652" spans="2:84">
      <c r="B652" s="52" t="str">
        <f>IF(F652&lt;&gt;"",SUBTOTAL(3,$F$5:F652),"")</f>
        <v/>
      </c>
      <c r="C652" s="52"/>
      <c r="D652" s="53"/>
      <c r="E652" s="53"/>
      <c r="F652" s="53"/>
      <c r="G652" s="106"/>
      <c r="H652" s="100"/>
      <c r="I652" s="106"/>
      <c r="J652" s="100"/>
      <c r="K652" s="55"/>
      <c r="M652"/>
      <c r="N652"/>
      <c r="AS652" s="56"/>
      <c r="AT652" s="55"/>
      <c r="CB652" s="56"/>
      <c r="CC652" s="54"/>
      <c r="CE652" s="51" t="s">
        <v>767</v>
      </c>
    </row>
    <row r="653" spans="2:84">
      <c r="B653" s="52" t="str">
        <f>IF(F653&lt;&gt;"",SUBTOTAL(3,$F$5:F653),"")</f>
        <v/>
      </c>
      <c r="C653" s="52"/>
      <c r="D653" s="53"/>
      <c r="E653" s="53"/>
      <c r="F653" s="53"/>
      <c r="G653" s="106"/>
      <c r="H653" s="100"/>
      <c r="I653" s="106"/>
      <c r="J653" s="100"/>
      <c r="K653" s="55"/>
      <c r="M653"/>
      <c r="AS653" s="56"/>
      <c r="AT653" s="55"/>
      <c r="CB653" s="56"/>
      <c r="CC653" s="54"/>
    </row>
    <row r="654" spans="2:84">
      <c r="B654" s="52" t="str">
        <f>IF(F654&lt;&gt;"",SUBTOTAL(3,$F$5:F654),"")</f>
        <v/>
      </c>
      <c r="C654" s="52"/>
      <c r="D654" s="53"/>
      <c r="E654" s="53"/>
      <c r="F654" s="53"/>
      <c r="G654" s="106"/>
      <c r="H654" s="100"/>
      <c r="I654" s="106"/>
      <c r="J654" s="100"/>
      <c r="K654" s="55"/>
      <c r="AS654" s="56"/>
      <c r="AT654" s="55"/>
      <c r="CB654" s="56"/>
      <c r="CC654" s="54"/>
    </row>
    <row r="655" spans="2:84">
      <c r="B655" s="52" t="str">
        <f>IF(F655&lt;&gt;"",SUBTOTAL(3,$F$5:F655),"")</f>
        <v/>
      </c>
      <c r="C655" s="52"/>
      <c r="D655" s="53"/>
      <c r="E655" s="53"/>
      <c r="F655" s="53"/>
      <c r="G655" s="106"/>
      <c r="H655" s="100"/>
      <c r="I655" s="106"/>
      <c r="J655" s="100"/>
      <c r="K655" s="55"/>
      <c r="AS655" s="56"/>
      <c r="AT655" s="55"/>
      <c r="CB655" s="56"/>
      <c r="CC655" s="54"/>
    </row>
    <row r="656" spans="2:84">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52" t="str">
        <f>IF(F838&lt;&gt;"",SUBTOTAL(3,$F$5:F838),"")</f>
        <v/>
      </c>
      <c r="C838" s="52"/>
      <c r="D838" s="53"/>
      <c r="E838" s="53"/>
      <c r="F838" s="53"/>
      <c r="G838" s="106"/>
      <c r="H838" s="100"/>
      <c r="I838" s="106"/>
      <c r="J838" s="100"/>
      <c r="K838" s="55"/>
      <c r="AS838" s="56"/>
      <c r="AT838" s="55"/>
      <c r="CB838" s="56"/>
      <c r="CC838" s="54"/>
    </row>
    <row r="839" spans="2:81">
      <c r="B839" s="52" t="str">
        <f>IF(F839&lt;&gt;"",SUBTOTAL(3,$F$5:F839),"")</f>
        <v/>
      </c>
      <c r="C839" s="52"/>
      <c r="D839" s="53"/>
      <c r="E839" s="53"/>
      <c r="F839" s="53"/>
      <c r="G839" s="106"/>
      <c r="H839" s="100"/>
      <c r="I839" s="106"/>
      <c r="J839" s="100"/>
      <c r="K839" s="55"/>
      <c r="AS839" s="56"/>
      <c r="AT839" s="55"/>
      <c r="CB839" s="56"/>
      <c r="CC839" s="54"/>
    </row>
    <row r="840" spans="2:81">
      <c r="B840" s="52" t="str">
        <f>IF(F840&lt;&gt;"",SUBTOTAL(3,$F$5:F840),"")</f>
        <v/>
      </c>
      <c r="C840" s="52"/>
      <c r="D840" s="53"/>
      <c r="E840" s="53"/>
      <c r="F840" s="53"/>
      <c r="G840" s="106"/>
      <c r="H840" s="100"/>
      <c r="I840" s="106"/>
      <c r="J840" s="100"/>
      <c r="K840" s="55"/>
      <c r="AS840" s="56"/>
      <c r="AT840" s="55"/>
      <c r="CB840" s="56"/>
      <c r="CC840" s="54"/>
    </row>
    <row r="841" spans="2:81">
      <c r="B841" s="52" t="str">
        <f>IF(F841&lt;&gt;"",SUBTOTAL(3,$F$5:F841),"")</f>
        <v/>
      </c>
      <c r="C841" s="52"/>
      <c r="D841" s="53"/>
      <c r="E841" s="53"/>
      <c r="F841" s="53"/>
      <c r="G841" s="106"/>
      <c r="H841" s="100"/>
      <c r="I841" s="106"/>
      <c r="J841" s="100"/>
      <c r="K841" s="55"/>
      <c r="AS841" s="56"/>
      <c r="AT841" s="55"/>
      <c r="CB841" s="56"/>
      <c r="CC841" s="54"/>
    </row>
    <row r="842" spans="2:81">
      <c r="B842" s="52" t="str">
        <f>IF(F842&lt;&gt;"",SUBTOTAL(3,$F$5:F842),"")</f>
        <v/>
      </c>
      <c r="C842" s="52"/>
      <c r="D842" s="53"/>
      <c r="E842" s="53"/>
      <c r="F842" s="53"/>
      <c r="G842" s="106"/>
      <c r="H842" s="100"/>
      <c r="I842" s="106"/>
      <c r="J842" s="100"/>
      <c r="K842" s="55"/>
      <c r="AS842" s="56"/>
      <c r="AT842" s="55"/>
      <c r="CB842" s="56"/>
      <c r="CC842" s="54"/>
    </row>
    <row r="843" spans="2:81">
      <c r="B843" s="52" t="str">
        <f>IF(F843&lt;&gt;"",SUBTOTAL(3,$F$5:F843),"")</f>
        <v/>
      </c>
      <c r="C843" s="52"/>
      <c r="D843" s="53"/>
      <c r="E843" s="53"/>
      <c r="F843" s="53"/>
      <c r="G843" s="106"/>
      <c r="H843" s="100"/>
      <c r="I843" s="106"/>
      <c r="J843" s="100"/>
      <c r="K843" s="55"/>
      <c r="AS843" s="56"/>
      <c r="AT843" s="55"/>
      <c r="CB843" s="56"/>
      <c r="CC843" s="54"/>
    </row>
    <row r="844" spans="2:81">
      <c r="B844" s="52" t="str">
        <f>IF(F844&lt;&gt;"",SUBTOTAL(3,$F$5:F844),"")</f>
        <v/>
      </c>
      <c r="C844" s="52"/>
      <c r="D844" s="53"/>
      <c r="E844" s="53"/>
      <c r="F844" s="53"/>
      <c r="G844" s="106"/>
      <c r="H844" s="100"/>
      <c r="I844" s="106"/>
      <c r="J844" s="100"/>
      <c r="K844" s="55"/>
      <c r="AS844" s="56"/>
      <c r="AT844" s="55"/>
      <c r="CB844" s="56"/>
      <c r="CC844" s="54"/>
    </row>
    <row r="845" spans="2:81">
      <c r="B845" s="52" t="str">
        <f>IF(F845&lt;&gt;"",SUBTOTAL(3,$F$5:F845),"")</f>
        <v/>
      </c>
      <c r="C845" s="52"/>
      <c r="D845" s="53"/>
      <c r="E845" s="53"/>
      <c r="F845" s="53"/>
      <c r="G845" s="106"/>
      <c r="H845" s="100"/>
      <c r="I845" s="106"/>
      <c r="J845" s="100"/>
      <c r="K845" s="55"/>
      <c r="AS845" s="56"/>
      <c r="AT845" s="55"/>
      <c r="CB845" s="56"/>
      <c r="CC845" s="54"/>
    </row>
    <row r="846" spans="2:81">
      <c r="B846" s="52" t="str">
        <f>IF(F846&lt;&gt;"",SUBTOTAL(3,$F$5:F846),"")</f>
        <v/>
      </c>
      <c r="C846" s="52"/>
      <c r="D846" s="53"/>
      <c r="E846" s="53"/>
      <c r="F846" s="53"/>
      <c r="G846" s="106"/>
      <c r="H846" s="100"/>
      <c r="I846" s="106"/>
      <c r="J846" s="100"/>
      <c r="K846" s="55"/>
      <c r="AS846" s="56"/>
      <c r="AT846" s="55"/>
      <c r="CB846" s="56"/>
      <c r="CC846" s="54"/>
    </row>
    <row r="847" spans="2:81">
      <c r="B847" s="52" t="str">
        <f>IF(F847&lt;&gt;"",SUBTOTAL(3,$F$5:F847),"")</f>
        <v/>
      </c>
      <c r="C847" s="52"/>
      <c r="D847" s="53"/>
      <c r="E847" s="53"/>
      <c r="F847" s="53"/>
      <c r="G847" s="106"/>
      <c r="H847" s="100"/>
      <c r="I847" s="106"/>
      <c r="J847" s="100"/>
      <c r="K847" s="55"/>
      <c r="AS847" s="56"/>
      <c r="AT847" s="55"/>
      <c r="CB847" s="56"/>
      <c r="CC847" s="54"/>
    </row>
    <row r="848" spans="2:81">
      <c r="B848" s="52" t="str">
        <f>IF(F848&lt;&gt;"",SUBTOTAL(3,$F$5:F848),"")</f>
        <v/>
      </c>
      <c r="C848" s="52"/>
      <c r="D848" s="53"/>
      <c r="E848" s="53"/>
      <c r="F848" s="53"/>
      <c r="G848" s="106"/>
      <c r="H848" s="100"/>
      <c r="I848" s="106"/>
      <c r="J848" s="100"/>
      <c r="K848" s="55"/>
      <c r="AS848" s="56"/>
      <c r="AT848" s="55"/>
      <c r="CB848" s="56"/>
      <c r="CC848" s="54"/>
    </row>
    <row r="849" spans="2:81">
      <c r="B849" s="52" t="str">
        <f>IF(F849&lt;&gt;"",SUBTOTAL(3,$F$5:F849),"")</f>
        <v/>
      </c>
      <c r="C849" s="52"/>
      <c r="D849" s="53"/>
      <c r="E849" s="53"/>
      <c r="F849" s="53"/>
      <c r="G849" s="106"/>
      <c r="H849" s="100"/>
      <c r="I849" s="106"/>
      <c r="J849" s="100"/>
      <c r="K849" s="55"/>
      <c r="AS849" s="56"/>
      <c r="AT849" s="55"/>
      <c r="CB849" s="56"/>
      <c r="CC849" s="54"/>
    </row>
    <row r="850" spans="2:81">
      <c r="B850" s="52" t="str">
        <f>IF(F850&lt;&gt;"",SUBTOTAL(3,$F$5:F850),"")</f>
        <v/>
      </c>
      <c r="C850" s="52"/>
      <c r="D850" s="53"/>
      <c r="E850" s="53"/>
      <c r="F850" s="53"/>
      <c r="G850" s="106"/>
      <c r="H850" s="100"/>
      <c r="I850" s="106"/>
      <c r="J850" s="100"/>
      <c r="K850" s="55"/>
      <c r="AS850" s="56"/>
      <c r="AT850" s="55"/>
      <c r="CB850" s="56"/>
      <c r="CC850" s="54"/>
    </row>
    <row r="851" spans="2:81">
      <c r="B851" s="72" t="str">
        <f>IF(F851&lt;&gt;"",SUBTOTAL(3,$F$5:F851),"")</f>
        <v/>
      </c>
      <c r="C851" s="72"/>
      <c r="D851" s="73"/>
      <c r="E851" s="73"/>
      <c r="F851" s="73"/>
      <c r="G851" s="107"/>
      <c r="H851" s="104"/>
      <c r="I851" s="107"/>
      <c r="J851" s="104"/>
      <c r="K851" s="74"/>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6"/>
      <c r="AT851" s="74"/>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6"/>
      <c r="CC851"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51" xr:uid="{CDD3132F-D59C-4B0A-9A7C-94B9D9A88440}">
      <formula1>"100%,80%,50%,30%,0%"</formula1>
    </dataValidation>
    <dataValidation type="list" allowBlank="1" showInputMessage="1" showErrorMessage="1" sqref="J5:J851"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72" r:id="rId6" xr:uid="{F16420F3-8D63-40C7-A8EC-3EDE697CC440}"/>
    <hyperlink ref="M573"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683</v>
      </c>
      <c r="E5" s="53" t="s">
        <v>685</v>
      </c>
      <c r="F5" s="53" t="s">
        <v>686</v>
      </c>
      <c r="G5" s="106">
        <v>44533</v>
      </c>
      <c r="H5" s="100">
        <v>0.5</v>
      </c>
      <c r="I5" s="106">
        <v>44548</v>
      </c>
      <c r="J5" s="100">
        <v>0.8</v>
      </c>
      <c r="K5" s="55" t="s">
        <v>1</v>
      </c>
      <c r="L5" s="51" t="s">
        <v>690</v>
      </c>
      <c r="AS5" s="56"/>
      <c r="AT5" s="55" t="s">
        <v>1</v>
      </c>
      <c r="AU5" s="51" t="s">
        <v>691</v>
      </c>
      <c r="CB5" s="56"/>
      <c r="CC5" s="54"/>
    </row>
    <row r="6" spans="2:81">
      <c r="B6" s="52" t="str">
        <f>IF(G6&lt;&gt;"",SUBTOTAL(3,$G$5:G6),"")</f>
        <v/>
      </c>
      <c r="C6" s="52"/>
      <c r="D6" s="53"/>
      <c r="E6" s="53"/>
      <c r="F6" s="53"/>
      <c r="G6" s="106"/>
      <c r="H6" s="102">
        <v>0.8</v>
      </c>
      <c r="I6" s="108"/>
      <c r="J6" s="100"/>
      <c r="K6" s="55" t="s">
        <v>1</v>
      </c>
      <c r="L6" s="51" t="s">
        <v>692</v>
      </c>
      <c r="AS6" s="56"/>
      <c r="AT6" s="55" t="s">
        <v>1</v>
      </c>
      <c r="AU6" s="51" t="s">
        <v>694</v>
      </c>
      <c r="CB6" s="56"/>
      <c r="CC6" s="54"/>
    </row>
    <row r="7" spans="2:81">
      <c r="B7" s="52" t="str">
        <f>IF(F7&lt;&gt;"",SUBTOTAL(3,$F$5:F7),"")</f>
        <v/>
      </c>
      <c r="C7" s="52"/>
      <c r="D7" s="53"/>
      <c r="E7" s="53"/>
      <c r="F7" s="53"/>
      <c r="G7" s="106"/>
      <c r="H7" s="102">
        <v>0.8</v>
      </c>
      <c r="I7" s="106"/>
      <c r="J7" s="100"/>
      <c r="K7" s="55" t="s">
        <v>689</v>
      </c>
      <c r="L7" s="51" t="s">
        <v>693</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682</v>
      </c>
      <c r="E9" s="53" t="s">
        <v>684</v>
      </c>
      <c r="F9" s="53" t="s">
        <v>695</v>
      </c>
      <c r="G9" s="106">
        <v>44532</v>
      </c>
      <c r="H9" s="100">
        <v>1</v>
      </c>
      <c r="I9" s="106">
        <v>44548</v>
      </c>
      <c r="J9" s="100">
        <v>1</v>
      </c>
      <c r="K9" s="55" t="s">
        <v>1</v>
      </c>
      <c r="L9" s="51" t="s">
        <v>697</v>
      </c>
      <c r="AS9" s="56"/>
      <c r="AT9" s="55"/>
      <c r="CB9" s="56"/>
      <c r="CC9" s="54"/>
    </row>
    <row r="10" spans="2:81">
      <c r="B10" s="52" t="str">
        <f>IF(F10&lt;&gt;"",SUBTOTAL(3,$F$5:F10),"")</f>
        <v/>
      </c>
      <c r="C10" s="52"/>
      <c r="D10" s="53"/>
      <c r="E10" s="53"/>
      <c r="F10" s="53"/>
      <c r="G10" s="106"/>
      <c r="H10" s="100"/>
      <c r="I10" s="106"/>
      <c r="J10" s="100"/>
      <c r="K10" s="55"/>
      <c r="L10" s="51" t="s">
        <v>698</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682</v>
      </c>
      <c r="E12" s="53" t="s">
        <v>684</v>
      </c>
      <c r="F12" s="53" t="s">
        <v>696</v>
      </c>
      <c r="G12" s="106">
        <v>44534</v>
      </c>
      <c r="H12" s="100">
        <v>0.5</v>
      </c>
      <c r="I12" s="106">
        <v>44548</v>
      </c>
      <c r="J12" s="100">
        <v>1</v>
      </c>
      <c r="K12" s="55" t="s">
        <v>1</v>
      </c>
      <c r="L12" s="51" t="s">
        <v>699</v>
      </c>
      <c r="AS12" s="56"/>
      <c r="AT12" s="55"/>
      <c r="CB12" s="56"/>
      <c r="CC12" s="54"/>
    </row>
    <row r="13" spans="2:81">
      <c r="B13" s="52" t="str">
        <f>IF(F13&lt;&gt;"",SUBTOTAL(3,$F$5:F13),"")</f>
        <v/>
      </c>
      <c r="C13" s="52"/>
      <c r="D13" s="53"/>
      <c r="E13" s="53"/>
      <c r="F13" s="53"/>
      <c r="G13" s="106"/>
      <c r="H13" s="100"/>
      <c r="I13" s="106"/>
      <c r="J13" s="100"/>
      <c r="K13" s="55"/>
      <c r="L13" s="51" t="s">
        <v>702</v>
      </c>
      <c r="AS13" s="56"/>
      <c r="AT13" s="55"/>
      <c r="CB13" s="56"/>
      <c r="CC13" s="54"/>
    </row>
    <row r="14" spans="2:81">
      <c r="B14" s="52" t="str">
        <f>IF(F14&lt;&gt;"",SUBTOTAL(3,$F$5:F14),"")</f>
        <v/>
      </c>
      <c r="C14" s="52"/>
      <c r="D14" s="53"/>
      <c r="E14" s="53"/>
      <c r="F14" s="53"/>
      <c r="G14" s="106"/>
      <c r="H14" s="100"/>
      <c r="I14" s="106"/>
      <c r="J14" s="100"/>
      <c r="K14" s="55"/>
      <c r="L14" s="51" t="s">
        <v>701</v>
      </c>
      <c r="AS14" s="56"/>
      <c r="AT14" s="55"/>
      <c r="CB14" s="56"/>
      <c r="CC14" s="54"/>
    </row>
    <row r="15" spans="2:81">
      <c r="B15" s="52" t="str">
        <f>IF(F15&lt;&gt;"",SUBTOTAL(3,$F$5:F15),"")</f>
        <v/>
      </c>
      <c r="C15" s="52"/>
      <c r="D15" s="53"/>
      <c r="E15" s="53"/>
      <c r="F15" s="53"/>
      <c r="G15" s="106"/>
      <c r="H15" s="100"/>
      <c r="I15" s="106"/>
      <c r="J15" s="100"/>
      <c r="K15" s="55"/>
      <c r="L15" s="51" t="s">
        <v>700</v>
      </c>
      <c r="AS15" s="56"/>
      <c r="AT15" s="55"/>
      <c r="CB15" s="56"/>
      <c r="CC15" s="54"/>
    </row>
    <row r="16" spans="2:81">
      <c r="B16" s="52" t="str">
        <f>IF(F16&lt;&gt;"",SUBTOTAL(3,$F$5:F16),"")</f>
        <v/>
      </c>
      <c r="C16" s="52"/>
      <c r="D16" s="53"/>
      <c r="E16" s="53"/>
      <c r="F16" s="53"/>
      <c r="G16" s="106"/>
      <c r="H16" s="100"/>
      <c r="I16" s="106"/>
      <c r="J16" s="100"/>
      <c r="K16" s="55" t="s">
        <v>1</v>
      </c>
      <c r="L16" s="51" t="s">
        <v>703</v>
      </c>
      <c r="AS16" s="56"/>
      <c r="AT16" s="55"/>
      <c r="CB16" s="56"/>
      <c r="CC16" s="54"/>
    </row>
    <row r="17" spans="2:81">
      <c r="B17" s="52" t="str">
        <f>IF(F17&lt;&gt;"",SUBTOTAL(3,$F$5:F17),"")</f>
        <v/>
      </c>
      <c r="C17" s="52"/>
      <c r="D17" s="53"/>
      <c r="E17" s="53"/>
      <c r="F17" s="53"/>
      <c r="G17" s="106"/>
      <c r="H17" s="100"/>
      <c r="I17" s="106"/>
      <c r="J17" s="100"/>
      <c r="K17" s="55"/>
      <c r="L17" s="51" t="s">
        <v>704</v>
      </c>
      <c r="AS17" s="56"/>
      <c r="AT17" s="55"/>
      <c r="CB17" s="56"/>
      <c r="CC17" s="54"/>
    </row>
    <row r="18" spans="2:81">
      <c r="B18" s="52" t="str">
        <f>IF(F18&lt;&gt;"",SUBTOTAL(3,$F$5:F18),"")</f>
        <v/>
      </c>
      <c r="C18" s="52"/>
      <c r="D18" s="53"/>
      <c r="E18" s="53"/>
      <c r="F18" s="53"/>
      <c r="G18" s="106"/>
      <c r="H18" s="100"/>
      <c r="I18" s="106"/>
      <c r="J18" s="100"/>
      <c r="K18" s="55"/>
      <c r="L18" s="51" t="s">
        <v>705</v>
      </c>
      <c r="AS18" s="56"/>
      <c r="AT18" s="55"/>
      <c r="CB18" s="56"/>
      <c r="CC18" s="54"/>
    </row>
    <row r="19" spans="2:81">
      <c r="B19" s="52" t="str">
        <f>IF(F19&lt;&gt;"",SUBTOTAL(3,$F$5:F19),"")</f>
        <v/>
      </c>
      <c r="C19" s="52"/>
      <c r="D19" s="53"/>
      <c r="E19" s="53"/>
      <c r="F19" s="53"/>
      <c r="G19" s="106"/>
      <c r="H19" s="100"/>
      <c r="I19" s="106"/>
      <c r="J19" s="100"/>
      <c r="K19" s="55"/>
      <c r="L19" s="51" t="s">
        <v>706</v>
      </c>
      <c r="N19" s="51" t="s">
        <v>707</v>
      </c>
      <c r="AS19" s="56"/>
      <c r="AT19" s="55"/>
      <c r="CB19" s="56"/>
      <c r="CC19" s="54"/>
    </row>
    <row r="20" spans="2:81">
      <c r="B20" s="52" t="str">
        <f>IF(F20&lt;&gt;"",SUBTOTAL(3,$F$5:F20),"")</f>
        <v/>
      </c>
      <c r="C20" s="52"/>
      <c r="D20" s="53"/>
      <c r="E20" s="53"/>
      <c r="F20" s="53"/>
      <c r="G20" s="106"/>
      <c r="H20" s="100"/>
      <c r="I20" s="106"/>
      <c r="J20" s="100"/>
      <c r="K20" s="55"/>
      <c r="N20" s="51" t="s">
        <v>708</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682</v>
      </c>
      <c r="E22" s="53" t="s">
        <v>684</v>
      </c>
      <c r="F22" s="53" t="s">
        <v>709</v>
      </c>
      <c r="G22" s="106">
        <v>44548</v>
      </c>
      <c r="H22" s="100">
        <v>0</v>
      </c>
      <c r="I22" s="106"/>
      <c r="J22" s="100"/>
      <c r="K22" s="55" t="s">
        <v>1</v>
      </c>
      <c r="L22" s="51" t="s">
        <v>710</v>
      </c>
      <c r="AS22" s="56"/>
      <c r="AT22" s="55"/>
      <c r="CB22" s="56"/>
      <c r="CC22" s="54"/>
    </row>
    <row r="23" spans="2:81">
      <c r="B23" s="52" t="str">
        <f>IF(F23&lt;&gt;"",SUBTOTAL(3,$F$5:F23),"")</f>
        <v/>
      </c>
      <c r="C23" s="52"/>
      <c r="D23" s="53"/>
      <c r="E23" s="53"/>
      <c r="F23" s="53"/>
      <c r="G23" s="106"/>
      <c r="H23" s="102">
        <v>0</v>
      </c>
      <c r="I23" s="106"/>
      <c r="J23" s="100"/>
      <c r="K23" s="55" t="s">
        <v>1</v>
      </c>
      <c r="L23" s="51" t="s">
        <v>711</v>
      </c>
      <c r="AS23" s="56"/>
      <c r="AT23" s="55"/>
      <c r="CB23" s="56"/>
      <c r="CC23" s="54"/>
    </row>
    <row r="24" spans="2:81" ht="15.75">
      <c r="B24" s="52" t="str">
        <f>IF(F24&lt;&gt;"",SUBTOTAL(3,$F$5:F24),"")</f>
        <v/>
      </c>
      <c r="C24" s="52"/>
      <c r="D24" s="53"/>
      <c r="E24" s="53"/>
      <c r="F24" s="53"/>
      <c r="G24" s="106"/>
      <c r="H24" s="102">
        <v>0</v>
      </c>
      <c r="I24" s="106"/>
      <c r="J24" s="100"/>
      <c r="K24" s="55"/>
      <c r="L24" s="51" t="s">
        <v>712</v>
      </c>
      <c r="AS24" s="56"/>
      <c r="AT24" s="55"/>
      <c r="CB24" s="56"/>
      <c r="CC24" s="54"/>
    </row>
    <row r="25" spans="2:81">
      <c r="B25" s="52" t="str">
        <f>IF(F25&lt;&gt;"",SUBTOTAL(3,$F$5:F25),"")</f>
        <v/>
      </c>
      <c r="C25" s="52"/>
      <c r="D25" s="53"/>
      <c r="E25" s="53"/>
      <c r="F25" s="53"/>
      <c r="G25" s="106"/>
      <c r="H25" s="102">
        <v>0</v>
      </c>
      <c r="I25" s="106"/>
      <c r="J25" s="100"/>
      <c r="K25" s="55"/>
      <c r="L25" s="51" t="s">
        <v>713</v>
      </c>
      <c r="AS25" s="56"/>
      <c r="AT25" s="55"/>
      <c r="CB25" s="56"/>
      <c r="CC25" s="54"/>
    </row>
    <row r="26" spans="2:81" ht="15.75">
      <c r="B26" s="52" t="str">
        <f>IF(F26&lt;&gt;"",SUBTOTAL(3,$F$5:F26),"")</f>
        <v/>
      </c>
      <c r="C26" s="52"/>
      <c r="D26" s="53"/>
      <c r="E26" s="53"/>
      <c r="F26" s="53"/>
      <c r="G26" s="106"/>
      <c r="H26" s="102">
        <v>0</v>
      </c>
      <c r="I26" s="106"/>
      <c r="J26" s="100"/>
      <c r="K26" s="55" t="s">
        <v>1</v>
      </c>
      <c r="L26" s="51" t="s">
        <v>715</v>
      </c>
      <c r="P26" s="51" t="s">
        <v>718</v>
      </c>
      <c r="R26" s="51" t="s">
        <v>719</v>
      </c>
      <c r="U26" s="51" t="s">
        <v>726</v>
      </c>
      <c r="X26" s="51" t="s">
        <v>731</v>
      </c>
      <c r="AS26" s="56"/>
      <c r="AT26" s="55"/>
      <c r="CB26" s="56"/>
      <c r="CC26" s="54"/>
    </row>
    <row r="27" spans="2:81" ht="15.75">
      <c r="B27" s="52" t="str">
        <f>IF(F27&lt;&gt;"",SUBTOTAL(3,$F$5:F27),"")</f>
        <v/>
      </c>
      <c r="C27" s="52"/>
      <c r="D27" s="53"/>
      <c r="E27" s="53"/>
      <c r="F27" s="53"/>
      <c r="G27" s="106"/>
      <c r="H27" s="102">
        <v>0</v>
      </c>
      <c r="I27" s="106"/>
      <c r="J27" s="100"/>
      <c r="K27" s="55"/>
      <c r="L27" s="51" t="s">
        <v>716</v>
      </c>
      <c r="P27" s="51" t="s">
        <v>720</v>
      </c>
      <c r="R27" s="51" t="s">
        <v>721</v>
      </c>
      <c r="U27" s="51" t="s">
        <v>727</v>
      </c>
      <c r="X27" s="51" t="s">
        <v>732</v>
      </c>
      <c r="AS27" s="56"/>
      <c r="AT27" s="55"/>
      <c r="CB27" s="56"/>
      <c r="CC27" s="54"/>
    </row>
    <row r="28" spans="2:81" ht="15.75">
      <c r="B28" s="52" t="str">
        <f>IF(F28&lt;&gt;"",SUBTOTAL(3,$F$5:F28),"")</f>
        <v/>
      </c>
      <c r="C28" s="52"/>
      <c r="D28" s="53"/>
      <c r="E28" s="53"/>
      <c r="F28" s="53"/>
      <c r="G28" s="106"/>
      <c r="H28" s="102">
        <v>0</v>
      </c>
      <c r="I28" s="106"/>
      <c r="J28" s="100"/>
      <c r="K28" s="55"/>
      <c r="L28" s="51" t="s">
        <v>717</v>
      </c>
      <c r="P28" s="51" t="s">
        <v>722</v>
      </c>
      <c r="R28" s="51" t="s">
        <v>723</v>
      </c>
      <c r="U28" s="51" t="s">
        <v>728</v>
      </c>
      <c r="X28" s="51" t="s">
        <v>733</v>
      </c>
      <c r="AS28" s="56"/>
      <c r="AT28" s="55"/>
      <c r="CB28" s="56"/>
      <c r="CC28" s="54"/>
    </row>
    <row r="29" spans="2:81" ht="15.75">
      <c r="B29" s="52" t="str">
        <f>IF(F29&lt;&gt;"",SUBTOTAL(3,$F$5:F29),"")</f>
        <v/>
      </c>
      <c r="C29" s="52"/>
      <c r="D29" s="53"/>
      <c r="E29" s="53"/>
      <c r="F29" s="53"/>
      <c r="G29" s="106"/>
      <c r="H29" s="102">
        <v>0</v>
      </c>
      <c r="I29" s="106"/>
      <c r="J29" s="100"/>
      <c r="K29" s="55"/>
      <c r="L29" s="51" t="s">
        <v>737</v>
      </c>
      <c r="P29" s="51" t="s">
        <v>738</v>
      </c>
      <c r="R29" s="51" t="s">
        <v>739</v>
      </c>
      <c r="U29" s="51" t="s">
        <v>740</v>
      </c>
      <c r="X29" s="51" t="s">
        <v>741</v>
      </c>
      <c r="AS29" s="56"/>
      <c r="AT29" s="55"/>
      <c r="CB29" s="56"/>
      <c r="CC29" s="54"/>
    </row>
    <row r="30" spans="2:81" ht="15">
      <c r="B30" s="52" t="str">
        <f>IF(F30&lt;&gt;"",SUBTOTAL(3,$F$5:F30),"")</f>
        <v/>
      </c>
      <c r="C30" s="52"/>
      <c r="D30" s="53"/>
      <c r="E30" s="53"/>
      <c r="F30" s="53"/>
      <c r="G30" s="106"/>
      <c r="H30" s="102">
        <v>0</v>
      </c>
      <c r="I30" s="106"/>
      <c r="J30" s="100"/>
      <c r="K30" s="55"/>
      <c r="M30" s="109" t="s">
        <v>714</v>
      </c>
      <c r="AS30" s="56"/>
      <c r="AT30" s="55"/>
      <c r="CB30" s="56"/>
      <c r="CC30" s="54"/>
    </row>
    <row r="31" spans="2:81" ht="15.75">
      <c r="B31" s="52" t="str">
        <f>IF(F31&lt;&gt;"",SUBTOTAL(3,$F$5:F31),"")</f>
        <v/>
      </c>
      <c r="C31" s="52"/>
      <c r="D31" s="53"/>
      <c r="E31" s="53"/>
      <c r="F31" s="53"/>
      <c r="G31" s="106"/>
      <c r="H31" s="102">
        <v>0</v>
      </c>
      <c r="I31" s="106"/>
      <c r="J31" s="100"/>
      <c r="K31" s="55"/>
      <c r="L31" s="51" t="s">
        <v>724</v>
      </c>
      <c r="P31" s="51" t="s">
        <v>725</v>
      </c>
      <c r="U31" s="51" t="s">
        <v>729</v>
      </c>
      <c r="X31" s="51" t="s">
        <v>730</v>
      </c>
      <c r="AS31" s="56"/>
      <c r="AT31" s="55"/>
      <c r="CB31" s="56"/>
      <c r="CC31" s="54"/>
    </row>
    <row r="32" spans="2:81">
      <c r="B32" s="52" t="str">
        <f>IF(F32&lt;&gt;"",SUBTOTAL(3,$F$5:F32),"")</f>
        <v/>
      </c>
      <c r="C32" s="52"/>
      <c r="D32" s="53"/>
      <c r="E32" s="53"/>
      <c r="F32" s="53"/>
      <c r="G32" s="106"/>
      <c r="H32" s="102">
        <v>0</v>
      </c>
      <c r="I32" s="106"/>
      <c r="J32" s="100"/>
      <c r="K32" s="55" t="s">
        <v>1</v>
      </c>
      <c r="L32" s="51" t="s">
        <v>734</v>
      </c>
      <c r="AS32" s="56"/>
      <c r="AT32" s="55"/>
      <c r="CB32" s="56"/>
      <c r="CC32" s="54"/>
    </row>
    <row r="33" spans="2:81">
      <c r="B33" s="52" t="str">
        <f>IF(F33&lt;&gt;"",SUBTOTAL(3,$F$5:F33),"")</f>
        <v/>
      </c>
      <c r="C33" s="52"/>
      <c r="D33" s="53"/>
      <c r="E33" s="53"/>
      <c r="F33" s="53"/>
      <c r="G33" s="106"/>
      <c r="H33" s="102">
        <v>0</v>
      </c>
      <c r="I33" s="106"/>
      <c r="J33" s="100"/>
      <c r="K33" s="55"/>
      <c r="L33" s="51" t="s">
        <v>735</v>
      </c>
      <c r="AS33" s="56"/>
      <c r="AT33" s="55"/>
      <c r="CB33" s="56"/>
      <c r="CC33" s="54"/>
    </row>
    <row r="34" spans="2:81">
      <c r="B34" s="52" t="str">
        <f>IF(F34&lt;&gt;"",SUBTOTAL(3,$F$5:F34),"")</f>
        <v/>
      </c>
      <c r="C34" s="52"/>
      <c r="D34" s="53"/>
      <c r="E34" s="53"/>
      <c r="F34" s="53"/>
      <c r="G34" s="106"/>
      <c r="H34" s="102">
        <v>0</v>
      </c>
      <c r="I34" s="106"/>
      <c r="J34" s="100"/>
      <c r="K34" s="55"/>
      <c r="L34" s="51" t="s">
        <v>736</v>
      </c>
      <c r="AS34" s="56"/>
      <c r="AT34" s="55"/>
      <c r="CB34" s="56"/>
      <c r="CC34" s="54"/>
    </row>
    <row r="35" spans="2:81" ht="15">
      <c r="B35" s="52" t="str">
        <f>IF(F35&lt;&gt;"",SUBTOTAL(3,$F$5:F35),"")</f>
        <v/>
      </c>
      <c r="C35" s="52"/>
      <c r="D35" s="53"/>
      <c r="E35" s="53"/>
      <c r="F35" s="53"/>
      <c r="G35" s="106"/>
      <c r="H35" s="102">
        <v>0</v>
      </c>
      <c r="I35" s="106"/>
      <c r="J35" s="100"/>
      <c r="K35" s="55"/>
      <c r="Q35" s="109" t="s">
        <v>714</v>
      </c>
      <c r="AS35" s="56"/>
      <c r="AT35" s="55"/>
      <c r="CB35" s="56"/>
      <c r="CC35" s="54"/>
    </row>
    <row r="36" spans="2:81">
      <c r="B36" s="52" t="str">
        <f>IF(F36&lt;&gt;"",SUBTOTAL(3,$F$5:F36),"")</f>
        <v/>
      </c>
      <c r="C36" s="52"/>
      <c r="D36" s="53"/>
      <c r="E36" s="53"/>
      <c r="F36" s="53"/>
      <c r="G36" s="106"/>
      <c r="H36" s="102">
        <v>0</v>
      </c>
      <c r="I36" s="106"/>
      <c r="J36" s="100"/>
      <c r="K36" s="55"/>
      <c r="L36" s="51" t="s">
        <v>742</v>
      </c>
      <c r="AS36" s="56"/>
      <c r="AT36" s="55"/>
      <c r="CB36" s="56"/>
      <c r="CC36" s="54"/>
    </row>
    <row r="37" spans="2:81">
      <c r="B37" s="52" t="str">
        <f>IF(F37&lt;&gt;"",SUBTOTAL(3,$F$5:F37),"")</f>
        <v/>
      </c>
      <c r="C37" s="52"/>
      <c r="D37" s="53"/>
      <c r="E37" s="53"/>
      <c r="F37" s="53"/>
      <c r="G37" s="106"/>
      <c r="H37" s="102">
        <v>0</v>
      </c>
      <c r="I37" s="106"/>
      <c r="J37" s="100"/>
      <c r="K37" s="55" t="s">
        <v>1</v>
      </c>
      <c r="L37" s="51" t="s">
        <v>745</v>
      </c>
      <c r="AS37" s="56"/>
      <c r="AT37" s="55"/>
      <c r="CB37" s="56"/>
      <c r="CC37" s="54"/>
    </row>
    <row r="38" spans="2:81">
      <c r="B38" s="52" t="str">
        <f>IF(F38&lt;&gt;"",SUBTOTAL(3,$F$5:F38),"")</f>
        <v/>
      </c>
      <c r="C38" s="52"/>
      <c r="D38" s="53"/>
      <c r="E38" s="53"/>
      <c r="F38" s="53"/>
      <c r="G38" s="106"/>
      <c r="H38" s="111">
        <v>0</v>
      </c>
      <c r="I38" s="106"/>
      <c r="J38" s="100"/>
      <c r="K38" s="55"/>
      <c r="L38" s="51" t="s">
        <v>746</v>
      </c>
      <c r="AS38" s="56"/>
      <c r="AT38" s="55"/>
      <c r="CB38" s="56"/>
      <c r="CC38" s="54"/>
    </row>
    <row r="39" spans="2:81">
      <c r="B39" s="52" t="str">
        <f>IF(F39&lt;&gt;"",SUBTOTAL(3,$F$5:F39),"")</f>
        <v/>
      </c>
      <c r="C39" s="52"/>
      <c r="D39" s="53"/>
      <c r="E39" s="53"/>
      <c r="F39" s="53"/>
      <c r="G39" s="106"/>
      <c r="H39" s="111">
        <v>0</v>
      </c>
      <c r="I39" s="106"/>
      <c r="J39" s="100"/>
      <c r="K39" s="55" t="s">
        <v>1</v>
      </c>
      <c r="L39" s="51" t="s">
        <v>747</v>
      </c>
      <c r="N39" s="110"/>
      <c r="AS39" s="56"/>
      <c r="AT39" s="55"/>
      <c r="CB39" s="56"/>
      <c r="CC39" s="54"/>
    </row>
    <row r="40" spans="2:81">
      <c r="B40" s="52" t="str">
        <f>IF(F40&lt;&gt;"",SUBTOTAL(3,$F$5:F40),"")</f>
        <v/>
      </c>
      <c r="C40" s="52"/>
      <c r="D40" s="53"/>
      <c r="E40" s="53"/>
      <c r="F40" s="53"/>
      <c r="G40" s="106"/>
      <c r="H40" s="111">
        <v>0</v>
      </c>
      <c r="I40" s="106"/>
      <c r="J40" s="100"/>
      <c r="K40" s="55"/>
      <c r="L40" s="51" t="s">
        <v>748</v>
      </c>
      <c r="N40" s="110"/>
      <c r="AS40" s="56"/>
      <c r="AT40" s="55"/>
      <c r="CB40" s="56"/>
      <c r="CC40" s="54"/>
    </row>
    <row r="41" spans="2:81">
      <c r="B41" s="52" t="str">
        <f>IF(F41&lt;&gt;"",SUBTOTAL(3,$F$5:F41),"")</f>
        <v/>
      </c>
      <c r="C41" s="52"/>
      <c r="D41" s="53"/>
      <c r="E41" s="53"/>
      <c r="F41" s="53"/>
      <c r="G41" s="106"/>
      <c r="H41" s="111">
        <v>0</v>
      </c>
      <c r="I41" s="106"/>
      <c r="J41" s="100"/>
      <c r="K41" s="55"/>
      <c r="L41" s="51" t="s">
        <v>749</v>
      </c>
      <c r="N41" s="110"/>
      <c r="AS41" s="56"/>
      <c r="AT41" s="55"/>
      <c r="CB41" s="56"/>
      <c r="CC41" s="54"/>
    </row>
    <row r="42" spans="2:81">
      <c r="B42" s="52" t="str">
        <f>IF(F42&lt;&gt;"",SUBTOTAL(3,$F$5:F42),"")</f>
        <v/>
      </c>
      <c r="C42" s="52"/>
      <c r="D42" s="53"/>
      <c r="E42" s="53"/>
      <c r="F42" s="53"/>
      <c r="G42" s="106"/>
      <c r="H42" s="111">
        <v>0</v>
      </c>
      <c r="I42" s="106"/>
      <c r="J42" s="100"/>
      <c r="K42" s="55"/>
      <c r="L42" s="51" t="s">
        <v>743</v>
      </c>
      <c r="N42" s="110" t="s">
        <v>744</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2022-11-05T03:09:50Z</dcterms:modified>
</cp:coreProperties>
</file>
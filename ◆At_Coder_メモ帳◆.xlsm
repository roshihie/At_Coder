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90E1C14-CBDB-44D0-9AD4-5A383965315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At_Coder_C問題!$B$4:$CB$445</definedName>
    <definedName name="fromABC114_C_755">At_Coder_C問題!$J$74</definedName>
    <definedName name="fromABC143_C_Slimes">At_Coder_C問題!$J$234</definedName>
    <definedName name="fromABC147_C_Honest_or_Unkind2">At_Coder_C問題!$J$246</definedName>
    <definedName name="fromABC149_C_NextPrime">At_Coder_C問題!$J$252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3" l="1"/>
  <c r="B29" i="3"/>
  <c r="B24" i="3"/>
  <c r="B25" i="3"/>
  <c r="B26" i="3"/>
  <c r="B80" i="3" l="1"/>
  <c r="B75" i="3"/>
  <c r="B76" i="3"/>
  <c r="B77" i="3"/>
  <c r="B72" i="3"/>
  <c r="B73" i="3"/>
  <c r="B162" i="3" l="1"/>
  <c r="B161" i="3"/>
  <c r="B163" i="3"/>
  <c r="B164" i="3"/>
  <c r="B165" i="3"/>
  <c r="B166" i="3"/>
  <c r="B156" i="3"/>
  <c r="B157" i="3"/>
  <c r="B155" i="3"/>
  <c r="B158" i="3"/>
  <c r="B159" i="3"/>
  <c r="B167" i="3"/>
  <c r="B160" i="3"/>
  <c r="B169" i="3" l="1"/>
  <c r="B170" i="3"/>
  <c r="B174" i="3" l="1"/>
  <c r="B172" i="3" l="1"/>
  <c r="B173" i="3"/>
  <c r="B175" i="3"/>
  <c r="B177" i="3" l="1"/>
  <c r="B178" i="3"/>
  <c r="B179" i="3"/>
  <c r="B181" i="3" l="1"/>
  <c r="B182" i="3"/>
  <c r="B188" i="3"/>
  <c r="B186" i="3"/>
  <c r="B184" i="3"/>
  <c r="B185" i="3"/>
  <c r="B187" i="3"/>
  <c r="B190" i="3" l="1"/>
  <c r="B191" i="3"/>
  <c r="B192" i="3"/>
  <c r="B196" i="3"/>
  <c r="B194" i="3" l="1"/>
  <c r="B195" i="3"/>
  <c r="B197" i="3"/>
  <c r="B199" i="3" l="1"/>
  <c r="B200" i="3"/>
  <c r="B201" i="3"/>
  <c r="B202" i="3"/>
  <c r="B205" i="3" l="1"/>
  <c r="B204" i="3"/>
  <c r="B206" i="3" l="1"/>
  <c r="B207" i="3"/>
  <c r="B266" i="3"/>
  <c r="B264" i="3"/>
  <c r="B265" i="3"/>
  <c r="B267" i="3"/>
  <c r="B271" i="3"/>
  <c r="B272" i="3"/>
  <c r="J332" i="3"/>
  <c r="J276" i="3"/>
  <c r="B274" i="3" l="1"/>
  <c r="B275" i="3"/>
  <c r="B277" i="3"/>
  <c r="B280" i="3"/>
  <c r="B284" i="3"/>
  <c r="B279" i="3"/>
  <c r="B281" i="3"/>
  <c r="B282" i="3"/>
  <c r="B283" i="3"/>
  <c r="B285" i="3"/>
  <c r="B286" i="3" l="1"/>
  <c r="B287" i="3"/>
  <c r="B288" i="3"/>
  <c r="B317" i="3" l="1"/>
  <c r="B318" i="3"/>
  <c r="B319" i="3"/>
  <c r="B320" i="3"/>
  <c r="B335" i="3"/>
  <c r="B336" i="3"/>
  <c r="B337" i="3"/>
  <c r="B351" i="3"/>
  <c r="B344" i="3"/>
  <c r="B346" i="3"/>
  <c r="B347" i="3"/>
  <c r="B352" i="3"/>
  <c r="B348" i="3"/>
  <c r="B349" i="3"/>
  <c r="B350" i="3"/>
  <c r="B345" i="3"/>
  <c r="B353" i="3"/>
  <c r="B342" i="3" l="1"/>
  <c r="B343" i="3"/>
  <c r="B354" i="3"/>
  <c r="B376" i="3"/>
  <c r="B374" i="3"/>
  <c r="B375" i="3"/>
  <c r="B373" i="3"/>
  <c r="B377" i="3"/>
  <c r="B379" i="3" l="1"/>
  <c r="B9" i="3" l="1"/>
  <c r="B8" i="3"/>
  <c r="B10" i="3"/>
  <c r="B297" i="3"/>
  <c r="B247" i="3"/>
  <c r="B248" i="3"/>
  <c r="B243" i="3"/>
  <c r="B244" i="3"/>
  <c r="B236" i="3" l="1"/>
  <c r="B235" i="3"/>
  <c r="B237" i="3"/>
  <c r="B215" i="3" l="1"/>
  <c r="B216" i="3"/>
  <c r="B214" i="3"/>
  <c r="B213" i="3"/>
  <c r="B323" i="3" l="1"/>
  <c r="B322" i="3"/>
  <c r="B324" i="3"/>
  <c r="B315" i="3"/>
  <c r="B312" i="3"/>
  <c r="B313" i="3"/>
  <c r="B314" i="3"/>
  <c r="B308" i="3" l="1"/>
  <c r="B309" i="3"/>
  <c r="B310" i="3"/>
  <c r="B307" i="3"/>
  <c r="B305" i="3" l="1"/>
  <c r="B303" i="3" l="1"/>
  <c r="B300" i="3"/>
  <c r="B299" i="3"/>
  <c r="B301" i="3" l="1"/>
  <c r="B211" i="3" l="1"/>
  <c r="B209" i="3"/>
  <c r="B210" i="3"/>
  <c r="B295" i="3" l="1"/>
  <c r="B293" i="3" l="1"/>
  <c r="B291" i="3"/>
  <c r="B290" i="3"/>
  <c r="B269" i="3"/>
  <c r="B241" i="3" l="1"/>
  <c r="B240" i="3"/>
  <c r="B239" i="3" l="1"/>
  <c r="B230" i="3"/>
  <c r="B218" i="3"/>
  <c r="B219" i="3"/>
  <c r="B253" i="3" l="1"/>
  <c r="B254" i="3"/>
  <c r="B259" i="3"/>
  <c r="B258" i="3"/>
  <c r="B257" i="3"/>
  <c r="B256" i="3"/>
  <c r="B262" i="3" l="1"/>
  <c r="B261" i="3"/>
  <c r="B251" i="3"/>
  <c r="B250" i="3"/>
  <c r="B224" i="3" l="1"/>
  <c r="B227" i="3"/>
  <c r="B228" i="3"/>
  <c r="B226" i="3"/>
  <c r="B37" i="3"/>
  <c r="B36" i="3"/>
  <c r="B35" i="3"/>
  <c r="B34" i="3"/>
  <c r="B149" i="3" l="1"/>
  <c r="B365" i="3"/>
  <c r="B366" i="3"/>
  <c r="B364" i="3"/>
  <c r="B367" i="3"/>
  <c r="B22" i="3" l="1"/>
  <c r="B15" i="3"/>
  <c r="B6" i="3" l="1"/>
  <c r="B69" i="3" l="1"/>
  <c r="B70" i="3"/>
  <c r="B413" i="3" l="1"/>
  <c r="B412" i="3"/>
  <c r="B411" i="3"/>
  <c r="B410" i="3"/>
  <c r="B407" i="3"/>
  <c r="B405" i="3"/>
  <c r="B404" i="3"/>
  <c r="B403" i="3"/>
  <c r="B402" i="3"/>
  <c r="B401" i="3"/>
  <c r="B400" i="3"/>
  <c r="B408" i="3"/>
  <c r="B406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71" i="3"/>
  <c r="B370" i="3"/>
  <c r="B369" i="3"/>
  <c r="B368" i="3"/>
  <c r="B362" i="3"/>
  <c r="B361" i="3"/>
  <c r="B360" i="3"/>
  <c r="B359" i="3"/>
  <c r="B358" i="3"/>
  <c r="B357" i="3"/>
  <c r="B356" i="3"/>
  <c r="B340" i="3"/>
  <c r="B339" i="3"/>
  <c r="B332" i="3"/>
  <c r="B331" i="3"/>
  <c r="B330" i="3"/>
  <c r="B329" i="3"/>
  <c r="B328" i="3"/>
  <c r="B327" i="3"/>
  <c r="B326" i="3"/>
  <c r="B233" i="3"/>
  <c r="B232" i="3"/>
  <c r="B222" i="3"/>
  <c r="B221" i="3"/>
  <c r="B153" i="3"/>
  <c r="B152" i="3"/>
  <c r="B151" i="3"/>
  <c r="B150" i="3"/>
  <c r="B147" i="3"/>
  <c r="B146" i="3"/>
  <c r="B144" i="3"/>
  <c r="B143" i="3"/>
  <c r="B142" i="3"/>
  <c r="B141" i="3"/>
  <c r="B140" i="3"/>
  <c r="B138" i="3"/>
  <c r="B137" i="3"/>
  <c r="B136" i="3"/>
  <c r="B135" i="3"/>
  <c r="B134" i="3"/>
  <c r="B133" i="3"/>
  <c r="B131" i="3"/>
  <c r="B130" i="3"/>
  <c r="B129" i="3"/>
  <c r="B128" i="3"/>
  <c r="B127" i="3"/>
  <c r="B126" i="3"/>
  <c r="B125" i="3"/>
  <c r="B124" i="3"/>
  <c r="B123" i="3"/>
  <c r="B122" i="3"/>
  <c r="B120" i="3"/>
  <c r="B119" i="3"/>
  <c r="B118" i="3"/>
  <c r="B117" i="3"/>
  <c r="B116" i="3"/>
  <c r="B114" i="3"/>
  <c r="B113" i="3"/>
  <c r="B112" i="3"/>
  <c r="B111" i="3"/>
  <c r="B110" i="3"/>
  <c r="B109" i="3"/>
  <c r="B108" i="3"/>
  <c r="B106" i="3"/>
  <c r="B105" i="3"/>
  <c r="B104" i="3"/>
  <c r="B103" i="3"/>
  <c r="B102" i="3"/>
  <c r="B100" i="3"/>
  <c r="B99" i="3"/>
  <c r="B98" i="3"/>
  <c r="B96" i="3"/>
  <c r="B95" i="3"/>
  <c r="B94" i="3"/>
  <c r="B91" i="3"/>
  <c r="B90" i="3"/>
  <c r="B89" i="3"/>
  <c r="B88" i="3"/>
  <c r="B87" i="3"/>
  <c r="B86" i="3"/>
  <c r="B85" i="3"/>
  <c r="B93" i="3"/>
  <c r="B92" i="3"/>
  <c r="B84" i="3"/>
  <c r="B82" i="3"/>
  <c r="J67" i="3"/>
  <c r="B67" i="3"/>
  <c r="B64" i="3"/>
  <c r="B63" i="3"/>
  <c r="B62" i="3"/>
  <c r="B61" i="3"/>
  <c r="B59" i="3"/>
  <c r="B58" i="3"/>
  <c r="B54" i="3"/>
  <c r="B53" i="3"/>
  <c r="B52" i="3"/>
  <c r="B42" i="3"/>
  <c r="B48" i="3"/>
  <c r="B50" i="3"/>
  <c r="B47" i="3"/>
  <c r="B46" i="3"/>
  <c r="B45" i="3"/>
  <c r="B44" i="3"/>
  <c r="B41" i="3"/>
  <c r="B40" i="3"/>
  <c r="B39" i="3"/>
  <c r="B21" i="3"/>
  <c r="B14" i="3"/>
  <c r="B13" i="3"/>
  <c r="B12" i="3"/>
  <c r="B68" i="3" l="1"/>
  <c r="B333" i="3" l="1"/>
  <c r="B38" i="3" l="1"/>
  <c r="B49" i="3" l="1"/>
  <c r="B43" i="3" l="1"/>
  <c r="B57" i="3" l="1"/>
  <c r="B60" i="3"/>
  <c r="B65" i="3"/>
  <c r="B66" i="3"/>
  <c r="B71" i="3"/>
  <c r="B74" i="3"/>
  <c r="B78" i="3"/>
  <c r="B79" i="3"/>
  <c r="B81" i="3"/>
  <c r="B83" i="3"/>
  <c r="B97" i="3"/>
  <c r="B101" i="3"/>
  <c r="B107" i="3"/>
  <c r="B51" i="3"/>
  <c r="B115" i="3" l="1"/>
  <c r="B121" i="3" l="1"/>
  <c r="B132" i="3" l="1"/>
  <c r="B139" i="3" l="1"/>
  <c r="B445" i="3" l="1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09" i="3"/>
  <c r="B380" i="3"/>
  <c r="B378" i="3"/>
  <c r="B372" i="3"/>
  <c r="B363" i="3"/>
  <c r="B355" i="3"/>
  <c r="B341" i="3"/>
  <c r="B338" i="3"/>
  <c r="B334" i="3"/>
  <c r="B325" i="3"/>
  <c r="B321" i="3"/>
  <c r="B316" i="3"/>
  <c r="B311" i="3"/>
  <c r="B306" i="3"/>
  <c r="B304" i="3"/>
  <c r="B302" i="3"/>
  <c r="B298" i="3"/>
  <c r="B296" i="3"/>
  <c r="B294" i="3"/>
  <c r="B292" i="3"/>
  <c r="B289" i="3"/>
  <c r="B278" i="3"/>
  <c r="B273" i="3"/>
  <c r="B270" i="3"/>
  <c r="B268" i="3"/>
  <c r="B263" i="3"/>
  <c r="B260" i="3"/>
  <c r="B255" i="3"/>
  <c r="B252" i="3"/>
  <c r="B249" i="3"/>
  <c r="B246" i="3"/>
  <c r="B245" i="3"/>
  <c r="B242" i="3"/>
  <c r="B238" i="3"/>
  <c r="B234" i="3"/>
  <c r="B231" i="3"/>
  <c r="B229" i="3"/>
  <c r="B225" i="3"/>
  <c r="B223" i="3"/>
  <c r="B220" i="3"/>
  <c r="B217" i="3"/>
  <c r="B212" i="3"/>
  <c r="B208" i="3"/>
  <c r="B203" i="3"/>
  <c r="B198" i="3"/>
  <c r="B193" i="3"/>
  <c r="B189" i="3"/>
  <c r="B183" i="3"/>
  <c r="B180" i="3"/>
  <c r="B176" i="3"/>
  <c r="B171" i="3"/>
  <c r="B168" i="3"/>
  <c r="B154" i="3"/>
  <c r="B148" i="3"/>
  <c r="B145" i="3"/>
  <c r="B33" i="3"/>
  <c r="B32" i="3"/>
  <c r="B31" i="3"/>
  <c r="B30" i="3"/>
  <c r="B27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<sst xmlns="http://schemas.openxmlformats.org/spreadsheetml/2006/main" count="864" uniqueCount="564">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</sst>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409</xdr:row>
      <xdr:rowOff>33337</xdr:rowOff>
    </xdr:from>
    <xdr:to>
      <xdr:col>16</xdr:col>
      <xdr:colOff>38100</xdr:colOff>
      <xdr:row>409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411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410</xdr:row>
      <xdr:rowOff>35719</xdr:rowOff>
    </xdr:from>
    <xdr:to>
      <xdr:col>21</xdr:col>
      <xdr:colOff>133350</xdr:colOff>
      <xdr:row>411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45"/>
  <sheetViews>
    <sheetView tabSelected="1" zoomScale="115" zoomScaleNormal="115" workbookViewId="0">
      <pane ySplit="4" topLeftCell="A17" activePane="bottomLeft" state="frozen"/>
      <selection pane="bottomLeft" activeCell="J28" sqref="J28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396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351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458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459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460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355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356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357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>
        <v>0.8</v>
      </c>
      <c r="J23" s="61" t="s">
        <v>560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101"/>
      <c r="F24" s="101"/>
      <c r="G24" s="102"/>
      <c r="H24" s="100"/>
      <c r="I24" s="66">
        <v>0.8</v>
      </c>
      <c r="J24" s="61" t="s">
        <v>559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101"/>
      <c r="F25" s="101"/>
      <c r="G25" s="102"/>
      <c r="H25" s="100"/>
      <c r="I25" s="66">
        <v>0.8</v>
      </c>
      <c r="J25" s="61" t="s">
        <v>561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10</v>
      </c>
      <c r="C27" s="56"/>
      <c r="D27" s="56"/>
      <c r="E27" s="57" t="s">
        <v>139</v>
      </c>
      <c r="F27" s="57" t="s">
        <v>135</v>
      </c>
      <c r="G27" s="58" t="s">
        <v>152</v>
      </c>
      <c r="H27" s="59">
        <v>43869</v>
      </c>
      <c r="I27" s="60">
        <v>1</v>
      </c>
      <c r="J27" s="61" t="s">
        <v>563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562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56">
        <f>IF(G30&lt;&gt;"",SUBTOTAL(3,$G$5:G30),"")</f>
        <v>11</v>
      </c>
      <c r="C30" s="56"/>
      <c r="D30" s="56"/>
      <c r="E30" s="101" t="s">
        <v>139</v>
      </c>
      <c r="F30" s="101" t="s">
        <v>135</v>
      </c>
      <c r="G30" s="102" t="s">
        <v>153</v>
      </c>
      <c r="H30" s="100">
        <v>43869</v>
      </c>
      <c r="I30" s="60"/>
      <c r="J30" s="61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56">
        <f>IF(G31&lt;&gt;"",SUBTOTAL(3,$G$5:G31),"")</f>
        <v>12</v>
      </c>
      <c r="C31" s="56"/>
      <c r="D31" s="56"/>
      <c r="E31" s="101" t="s">
        <v>139</v>
      </c>
      <c r="F31" s="101" t="s">
        <v>135</v>
      </c>
      <c r="G31" s="102" t="s">
        <v>154</v>
      </c>
      <c r="H31" s="100">
        <v>43869</v>
      </c>
      <c r="I31" s="60"/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13</v>
      </c>
      <c r="C32" s="56"/>
      <c r="D32" s="56"/>
      <c r="E32" s="101" t="s">
        <v>139</v>
      </c>
      <c r="F32" s="101" t="s">
        <v>135</v>
      </c>
      <c r="G32" s="102" t="s">
        <v>155</v>
      </c>
      <c r="H32" s="100">
        <v>43869</v>
      </c>
      <c r="I32" s="60"/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14</v>
      </c>
      <c r="C33" s="56"/>
      <c r="D33" s="56"/>
      <c r="E33" s="57" t="s">
        <v>139</v>
      </c>
      <c r="F33" s="57" t="s">
        <v>135</v>
      </c>
      <c r="G33" s="58" t="s">
        <v>156</v>
      </c>
      <c r="H33" s="59">
        <v>43871</v>
      </c>
      <c r="I33" s="60">
        <v>0.5</v>
      </c>
      <c r="J33" s="61" t="s">
        <v>1</v>
      </c>
      <c r="K33" s="62" t="s">
        <v>397</v>
      </c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6">
        <v>0.5</v>
      </c>
      <c r="J34" s="61" t="s">
        <v>398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 t="str">
        <f>IF(G35&lt;&gt;"",SUBTOTAL(3,$G$5:G35),"")</f>
        <v/>
      </c>
      <c r="C35" s="56"/>
      <c r="D35" s="56"/>
      <c r="E35" s="57"/>
      <c r="F35" s="57"/>
      <c r="G35" s="58"/>
      <c r="H35" s="59"/>
      <c r="I35" s="66">
        <v>0.5</v>
      </c>
      <c r="J35" s="61" t="s">
        <v>1</v>
      </c>
      <c r="K35" s="62" t="s">
        <v>399</v>
      </c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6">
        <v>0.5</v>
      </c>
      <c r="J36" s="61"/>
      <c r="K36" s="62" t="s">
        <v>400</v>
      </c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6">
        <v>0.5</v>
      </c>
      <c r="J37" s="61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>
        <f>IF(G38&lt;&gt;"",SUBTOTAL(3,$G$5:G38),"")</f>
        <v>15</v>
      </c>
      <c r="C38" s="56"/>
      <c r="D38" s="56"/>
      <c r="E38" s="57" t="s">
        <v>139</v>
      </c>
      <c r="F38" s="57" t="s">
        <v>142</v>
      </c>
      <c r="G38" s="58" t="s">
        <v>230</v>
      </c>
      <c r="H38" s="59">
        <v>44087</v>
      </c>
      <c r="I38" s="60">
        <v>1</v>
      </c>
      <c r="J38" s="61" t="s">
        <v>244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 t="str">
        <f>IF(G39&lt;&gt;"",SUBTOTAL(3,$G$5:G39),"")</f>
        <v/>
      </c>
      <c r="C39" s="56"/>
      <c r="D39" s="56"/>
      <c r="E39" s="57"/>
      <c r="F39" s="57"/>
      <c r="G39" s="58"/>
      <c r="H39" s="59"/>
      <c r="I39" s="68">
        <v>1</v>
      </c>
      <c r="J39" s="61" t="s">
        <v>245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246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247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>
        <f>IF(G43&lt;&gt;"",SUBTOTAL(3,$G$5:G43),"")</f>
        <v>16</v>
      </c>
      <c r="C43" s="56"/>
      <c r="D43" s="56"/>
      <c r="E43" s="57" t="s">
        <v>139</v>
      </c>
      <c r="F43" s="57" t="s">
        <v>142</v>
      </c>
      <c r="G43" s="58" t="s">
        <v>229</v>
      </c>
      <c r="H43" s="59">
        <v>44076</v>
      </c>
      <c r="I43" s="60">
        <v>1</v>
      </c>
      <c r="J43" s="61" t="s">
        <v>248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 t="s">
        <v>249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8">
        <v>1</v>
      </c>
      <c r="J45" s="61" t="s">
        <v>250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251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252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17</v>
      </c>
      <c r="C49" s="56"/>
      <c r="D49" s="56"/>
      <c r="E49" s="57" t="s">
        <v>139</v>
      </c>
      <c r="F49" s="57" t="s">
        <v>142</v>
      </c>
      <c r="G49" s="58" t="s">
        <v>228</v>
      </c>
      <c r="H49" s="59">
        <v>44080</v>
      </c>
      <c r="I49" s="60">
        <v>1</v>
      </c>
      <c r="J49" s="61" t="s">
        <v>234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>
        <f>IF(G51&lt;&gt;"",SUBTOTAL(3,$G$5:G51),"")</f>
        <v>18</v>
      </c>
      <c r="C51" s="56"/>
      <c r="D51" s="56"/>
      <c r="E51" s="57" t="s">
        <v>139</v>
      </c>
      <c r="F51" s="57" t="s">
        <v>142</v>
      </c>
      <c r="G51" s="58" t="s">
        <v>226</v>
      </c>
      <c r="H51" s="59">
        <v>43871</v>
      </c>
      <c r="I51" s="60">
        <v>0.3</v>
      </c>
      <c r="J51" s="61" t="s">
        <v>253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 t="s">
        <v>358</v>
      </c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6">
        <v>0.3</v>
      </c>
      <c r="J52" s="61" t="s">
        <v>343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6">
        <v>0.3</v>
      </c>
      <c r="J53" s="61" t="s">
        <v>344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6">
        <v>0.3</v>
      </c>
      <c r="J54" s="61" t="s">
        <v>254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/>
      <c r="C55" s="56"/>
      <c r="D55" s="56"/>
      <c r="E55" s="57"/>
      <c r="F55" s="57"/>
      <c r="G55" s="58"/>
      <c r="H55" s="59"/>
      <c r="I55" s="66">
        <v>0.3</v>
      </c>
      <c r="J55" s="69" t="s">
        <v>227</v>
      </c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1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/>
      <c r="C56" s="56"/>
      <c r="D56" s="56"/>
      <c r="E56" s="57"/>
      <c r="F56" s="57"/>
      <c r="G56" s="58"/>
      <c r="H56" s="59"/>
      <c r="I56" s="66">
        <v>0.3</v>
      </c>
      <c r="J56" s="69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1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>
        <f>IF(G57&lt;&gt;"",SUBTOTAL(3,$G$5:G57),"")</f>
        <v>19</v>
      </c>
      <c r="C57" s="56"/>
      <c r="D57" s="56"/>
      <c r="E57" s="57" t="s">
        <v>139</v>
      </c>
      <c r="F57" s="57" t="s">
        <v>135</v>
      </c>
      <c r="G57" s="58" t="s">
        <v>224</v>
      </c>
      <c r="H57" s="59">
        <v>44072</v>
      </c>
      <c r="I57" s="60">
        <v>0.8</v>
      </c>
      <c r="J57" s="61" t="s">
        <v>362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 t="s">
        <v>359</v>
      </c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0.8</v>
      </c>
      <c r="J58" s="61" t="s">
        <v>363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 t="s">
        <v>360</v>
      </c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0.8</v>
      </c>
      <c r="J59" s="61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>
        <f>IF(G60&lt;&gt;"",SUBTOTAL(3,$G$5:G60),"")</f>
        <v>20</v>
      </c>
      <c r="C60" s="56"/>
      <c r="D60" s="56"/>
      <c r="E60" s="57" t="s">
        <v>139</v>
      </c>
      <c r="F60" s="57" t="s">
        <v>135</v>
      </c>
      <c r="G60" s="58" t="s">
        <v>222</v>
      </c>
      <c r="H60" s="59">
        <v>44070</v>
      </c>
      <c r="I60" s="60">
        <v>0.8</v>
      </c>
      <c r="J60" s="61" t="s">
        <v>364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 t="s">
        <v>361</v>
      </c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0.8</v>
      </c>
      <c r="J61" s="61" t="s">
        <v>255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0.8</v>
      </c>
      <c r="J62" s="61" t="s">
        <v>256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0.8</v>
      </c>
      <c r="J63" s="69" t="s">
        <v>223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0.8</v>
      </c>
      <c r="J64" s="69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0.8</v>
      </c>
      <c r="J65" s="6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1"/>
      <c r="AS65" s="69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1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>
        <f>IF(G66&lt;&gt;"",SUBTOTAL(3,$G$5:G66),"")</f>
        <v>21</v>
      </c>
      <c r="C66" s="56"/>
      <c r="D66" s="56"/>
      <c r="E66" s="57" t="s">
        <v>139</v>
      </c>
      <c r="F66" s="57" t="s">
        <v>135</v>
      </c>
      <c r="G66" s="58" t="s">
        <v>218</v>
      </c>
      <c r="H66" s="59">
        <v>44066</v>
      </c>
      <c r="I66" s="60">
        <v>0</v>
      </c>
      <c r="J66" s="61" t="s">
        <v>257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 t="s">
        <v>219</v>
      </c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</v>
      </c>
      <c r="J67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6">
        <v>0</v>
      </c>
      <c r="J68" s="95" t="s">
        <v>365</v>
      </c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1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</v>
      </c>
      <c r="J69" s="96" t="s">
        <v>350</v>
      </c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1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</v>
      </c>
      <c r="J70" s="95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1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>
        <f>IF(G71&lt;&gt;"",SUBTOTAL(3,$G$5:G71),"")</f>
        <v>22</v>
      </c>
      <c r="C71" s="56"/>
      <c r="D71" s="56"/>
      <c r="E71" s="101" t="s">
        <v>139</v>
      </c>
      <c r="F71" s="101" t="s">
        <v>135</v>
      </c>
      <c r="G71" s="102" t="s">
        <v>116</v>
      </c>
      <c r="H71" s="100">
        <v>43869</v>
      </c>
      <c r="I71" s="60">
        <v>0.5</v>
      </c>
      <c r="J71" s="61" t="s">
        <v>556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97" t="str">
        <f>IF(G72&lt;&gt;"",SUBTOTAL(3,$G$5:G72),"")</f>
        <v/>
      </c>
      <c r="C72" s="56"/>
      <c r="D72" s="56"/>
      <c r="E72" s="101"/>
      <c r="F72" s="101"/>
      <c r="G72" s="102"/>
      <c r="H72" s="100"/>
      <c r="I72" s="66">
        <v>0.5</v>
      </c>
      <c r="J72" s="61" t="s">
        <v>555</v>
      </c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97" t="str">
        <f>IF(G73&lt;&gt;"",SUBTOTAL(3,$G$5:G73),"")</f>
        <v/>
      </c>
      <c r="C73" s="56"/>
      <c r="D73" s="56"/>
      <c r="E73" s="101"/>
      <c r="F73" s="101"/>
      <c r="G73" s="102"/>
      <c r="H73" s="100"/>
      <c r="I73" s="66">
        <v>0.5</v>
      </c>
      <c r="J73" s="61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23</v>
      </c>
      <c r="C74" s="56"/>
      <c r="D74" s="56"/>
      <c r="E74" s="101" t="s">
        <v>139</v>
      </c>
      <c r="F74" s="101" t="s">
        <v>135</v>
      </c>
      <c r="G74" s="102" t="s">
        <v>157</v>
      </c>
      <c r="H74" s="100">
        <v>43995</v>
      </c>
      <c r="I74" s="60">
        <v>0</v>
      </c>
      <c r="J74" s="61" t="s">
        <v>557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65" t="s">
        <v>13</v>
      </c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97" t="str">
        <f>IF(G75&lt;&gt;"",SUBTOTAL(3,$G$5:G75),"")</f>
        <v/>
      </c>
      <c r="C75" s="56"/>
      <c r="D75" s="56"/>
      <c r="E75" s="101"/>
      <c r="F75" s="101"/>
      <c r="G75" s="102"/>
      <c r="H75" s="100"/>
      <c r="I75" s="66">
        <v>0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65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97" t="str">
        <f>IF(G76&lt;&gt;"",SUBTOTAL(3,$G$5:G76),"")</f>
        <v/>
      </c>
      <c r="C76" s="56"/>
      <c r="D76" s="56"/>
      <c r="E76" s="101"/>
      <c r="F76" s="101"/>
      <c r="G76" s="102"/>
      <c r="H76" s="100"/>
      <c r="I76" s="66">
        <v>0</v>
      </c>
      <c r="J76" s="61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65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97" t="str">
        <f>IF(G77&lt;&gt;"",SUBTOTAL(3,$G$5:G77),"")</f>
        <v/>
      </c>
      <c r="C77" s="56"/>
      <c r="D77" s="56"/>
      <c r="E77" s="101"/>
      <c r="F77" s="101"/>
      <c r="G77" s="102"/>
      <c r="H77" s="100"/>
      <c r="I77" s="66">
        <v>0</v>
      </c>
      <c r="J77" s="61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65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>
        <f>IF(G78&lt;&gt;"",SUBTOTAL(3,$G$5:G78),"")</f>
        <v>24</v>
      </c>
      <c r="C78" s="56"/>
      <c r="D78" s="56"/>
      <c r="E78" s="101" t="s">
        <v>139</v>
      </c>
      <c r="F78" s="101" t="s">
        <v>135</v>
      </c>
      <c r="G78" s="102" t="s">
        <v>158</v>
      </c>
      <c r="H78" s="100">
        <v>43961</v>
      </c>
      <c r="I78" s="60"/>
      <c r="J78" s="61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>
        <f>IF(G79&lt;&gt;"",SUBTOTAL(3,$G$5:G79),"")</f>
        <v>25</v>
      </c>
      <c r="C79" s="56"/>
      <c r="D79" s="56"/>
      <c r="E79" s="101" t="s">
        <v>139</v>
      </c>
      <c r="F79" s="101" t="s">
        <v>135</v>
      </c>
      <c r="G79" s="102" t="s">
        <v>159</v>
      </c>
      <c r="H79" s="100">
        <v>43995</v>
      </c>
      <c r="I79" s="60">
        <v>0</v>
      </c>
      <c r="J79" s="61" t="s">
        <v>558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97" t="str">
        <f>IF(G80&lt;&gt;"",SUBTOTAL(3,$G$5:G80),"")</f>
        <v/>
      </c>
      <c r="C80" s="56"/>
      <c r="D80" s="56"/>
      <c r="E80" s="101"/>
      <c r="F80" s="101"/>
      <c r="G80" s="102"/>
      <c r="H80" s="100"/>
      <c r="I80" s="66">
        <v>0</v>
      </c>
      <c r="J80" s="61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>
        <f>IF(G81&lt;&gt;"",SUBTOTAL(3,$G$5:G81),"")</f>
        <v>26</v>
      </c>
      <c r="C81" s="56"/>
      <c r="D81" s="56"/>
      <c r="E81" s="57" t="s">
        <v>139</v>
      </c>
      <c r="F81" s="57" t="s">
        <v>135</v>
      </c>
      <c r="G81" s="58" t="s">
        <v>217</v>
      </c>
      <c r="H81" s="59">
        <v>44058</v>
      </c>
      <c r="I81" s="60">
        <v>1</v>
      </c>
      <c r="J81" s="61" t="s">
        <v>366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 t="str">
        <f>IF(G82&lt;&gt;"",SUBTOTAL(3,$G$5:G82),"")</f>
        <v/>
      </c>
      <c r="C82" s="56"/>
      <c r="D82" s="56"/>
      <c r="E82" s="57"/>
      <c r="F82" s="57"/>
      <c r="G82" s="58"/>
      <c r="H82" s="59"/>
      <c r="I82" s="68">
        <v>1</v>
      </c>
      <c r="J82" s="61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>
        <f>IF(G83&lt;&gt;"",SUBTOTAL(3,$G$5:G83),"")</f>
        <v>27</v>
      </c>
      <c r="C83" s="56"/>
      <c r="D83" s="56"/>
      <c r="E83" s="57" t="s">
        <v>139</v>
      </c>
      <c r="F83" s="57" t="s">
        <v>135</v>
      </c>
      <c r="G83" s="58" t="s">
        <v>216</v>
      </c>
      <c r="H83" s="59">
        <v>44057</v>
      </c>
      <c r="I83" s="60">
        <v>1</v>
      </c>
      <c r="J83" s="106" t="s">
        <v>258</v>
      </c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8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8">
        <v>1</v>
      </c>
      <c r="J84" s="106" t="s">
        <v>259</v>
      </c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8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8">
        <v>1</v>
      </c>
      <c r="J85" s="106" t="s">
        <v>260</v>
      </c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8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8">
        <v>1</v>
      </c>
      <c r="J86" s="106" t="s">
        <v>261</v>
      </c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8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8">
        <v>1</v>
      </c>
      <c r="J87" s="106" t="s">
        <v>262</v>
      </c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8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8">
        <v>1</v>
      </c>
      <c r="J88" s="106" t="s">
        <v>263</v>
      </c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8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8">
        <v>1</v>
      </c>
      <c r="J89" s="106" t="s">
        <v>264</v>
      </c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8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8">
        <v>1</v>
      </c>
      <c r="J90" s="106" t="s">
        <v>265</v>
      </c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8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106" t="s">
        <v>266</v>
      </c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8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8">
        <v>1</v>
      </c>
      <c r="J92" s="106" t="s">
        <v>267</v>
      </c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8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106" t="s">
        <v>268</v>
      </c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8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8">
        <v>1</v>
      </c>
      <c r="J94" s="106" t="s">
        <v>269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270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>
        <f>IF(G97&lt;&gt;"",SUBTOTAL(3,$G$5:G97),"")</f>
        <v>28</v>
      </c>
      <c r="C97" s="56"/>
      <c r="D97" s="56"/>
      <c r="E97" s="57" t="s">
        <v>139</v>
      </c>
      <c r="F97" s="57" t="s">
        <v>135</v>
      </c>
      <c r="G97" s="58" t="s">
        <v>215</v>
      </c>
      <c r="H97" s="59">
        <v>44053</v>
      </c>
      <c r="I97" s="60">
        <v>0.3</v>
      </c>
      <c r="J97" s="61" t="s">
        <v>271</v>
      </c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 t="s">
        <v>367</v>
      </c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6">
        <v>0.3</v>
      </c>
      <c r="J98" s="61" t="s">
        <v>368</v>
      </c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 t="s">
        <v>272</v>
      </c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6">
        <v>0.3</v>
      </c>
      <c r="J99" s="61" t="s">
        <v>369</v>
      </c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6">
        <v>0.3</v>
      </c>
      <c r="J100" s="61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>
        <f>IF(G101&lt;&gt;"",SUBTOTAL(3,$G$5:G101),"")</f>
        <v>29</v>
      </c>
      <c r="C101" s="56"/>
      <c r="D101" s="56"/>
      <c r="E101" s="57" t="s">
        <v>139</v>
      </c>
      <c r="F101" s="57" t="s">
        <v>135</v>
      </c>
      <c r="G101" s="58" t="s">
        <v>214</v>
      </c>
      <c r="H101" s="59">
        <v>44045</v>
      </c>
      <c r="I101" s="60">
        <v>1</v>
      </c>
      <c r="J101" s="61" t="s">
        <v>273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 t="s">
        <v>275</v>
      </c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61" t="s">
        <v>274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 t="s">
        <v>554</v>
      </c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61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 t="s">
        <v>276</v>
      </c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61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 t="s">
        <v>277</v>
      </c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61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 t="s">
        <v>278</v>
      </c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61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279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>
        <f>IF(G107&lt;&gt;"",SUBTOTAL(3,$G$5:G107),"")</f>
        <v>30</v>
      </c>
      <c r="C107" s="56"/>
      <c r="D107" s="56"/>
      <c r="E107" s="57" t="s">
        <v>139</v>
      </c>
      <c r="F107" s="57" t="s">
        <v>135</v>
      </c>
      <c r="G107" s="58" t="s">
        <v>211</v>
      </c>
      <c r="H107" s="59">
        <v>44045</v>
      </c>
      <c r="I107" s="60">
        <v>0.8</v>
      </c>
      <c r="J107" s="61" t="s">
        <v>280</v>
      </c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285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6">
        <v>0.8</v>
      </c>
      <c r="J108" s="61" t="s">
        <v>281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286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0.8</v>
      </c>
      <c r="J109" s="61" t="s">
        <v>282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 t="s">
        <v>287</v>
      </c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6">
        <v>0.8</v>
      </c>
      <c r="J110" s="61" t="s">
        <v>283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 t="s">
        <v>290</v>
      </c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6">
        <v>0.8</v>
      </c>
      <c r="J111" s="61" t="s">
        <v>284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291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6">
        <v>0.8</v>
      </c>
      <c r="J112" s="69" t="s">
        <v>212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288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6">
        <v>0.8</v>
      </c>
      <c r="J113" s="61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289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6">
        <v>0.8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>
        <f>IF(G115&lt;&gt;"",SUBTOTAL(3,$G$5:G115),"")</f>
        <v>31</v>
      </c>
      <c r="C115" s="56"/>
      <c r="D115" s="56"/>
      <c r="E115" s="57" t="s">
        <v>139</v>
      </c>
      <c r="F115" s="57" t="s">
        <v>135</v>
      </c>
      <c r="G115" s="58" t="s">
        <v>210</v>
      </c>
      <c r="H115" s="59">
        <v>44045</v>
      </c>
      <c r="I115" s="60">
        <v>1</v>
      </c>
      <c r="J115" s="61" t="s">
        <v>292</v>
      </c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61" t="s">
        <v>293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 t="s">
        <v>294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 t="s">
        <v>295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 t="s">
        <v>296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>
        <f>IF(G121&lt;&gt;"",SUBTOTAL(3,$G$5:G121),"")</f>
        <v>32</v>
      </c>
      <c r="C121" s="56"/>
      <c r="D121" s="56"/>
      <c r="E121" s="57" t="s">
        <v>139</v>
      </c>
      <c r="F121" s="57" t="s">
        <v>135</v>
      </c>
      <c r="G121" s="58" t="s">
        <v>209</v>
      </c>
      <c r="H121" s="59">
        <v>44044</v>
      </c>
      <c r="I121" s="60">
        <v>1</v>
      </c>
      <c r="J121" s="61" t="s">
        <v>483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275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 t="s">
        <v>484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370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371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372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373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277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297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298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299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>
        <f>IF(G132&lt;&gt;"",SUBTOTAL(3,$G$5:G132),"")</f>
        <v>33</v>
      </c>
      <c r="C132" s="56"/>
      <c r="D132" s="56"/>
      <c r="E132" s="57" t="s">
        <v>139</v>
      </c>
      <c r="F132" s="57" t="s">
        <v>135</v>
      </c>
      <c r="G132" s="58" t="s">
        <v>208</v>
      </c>
      <c r="H132" s="59">
        <v>44038</v>
      </c>
      <c r="I132" s="60">
        <v>1</v>
      </c>
      <c r="J132" s="61" t="s">
        <v>300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275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 t="s">
        <v>301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374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 t="s">
        <v>345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346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 t="s">
        <v>302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 t="s">
        <v>303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>
        <f>IF(G139&lt;&gt;"",SUBTOTAL(3,$G$5:G139),"")</f>
        <v>34</v>
      </c>
      <c r="C139" s="56"/>
      <c r="D139" s="56"/>
      <c r="E139" s="57" t="s">
        <v>139</v>
      </c>
      <c r="F139" s="57" t="s">
        <v>135</v>
      </c>
      <c r="G139" s="58" t="s">
        <v>207</v>
      </c>
      <c r="H139" s="59">
        <v>44038</v>
      </c>
      <c r="I139" s="60">
        <v>1</v>
      </c>
      <c r="J139" s="61" t="s">
        <v>375</v>
      </c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275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65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 t="s">
        <v>376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304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65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377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65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378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65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379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65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65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>
        <f>IF(G145&lt;&gt;"",SUBTOTAL(3,$G$5:G145),"")</f>
        <v>35</v>
      </c>
      <c r="C145" s="56"/>
      <c r="D145" s="56"/>
      <c r="E145" s="57" t="s">
        <v>139</v>
      </c>
      <c r="F145" s="57" t="s">
        <v>135</v>
      </c>
      <c r="G145" s="58" t="s">
        <v>160</v>
      </c>
      <c r="H145" s="59">
        <v>43960</v>
      </c>
      <c r="I145" s="60">
        <v>1</v>
      </c>
      <c r="J145" s="61" t="s">
        <v>305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 t="s">
        <v>275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65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306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380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65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65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ht="15.75" x14ac:dyDescent="0.15">
      <c r="B148" s="56">
        <f>IF(G148&lt;&gt;"",SUBTOTAL(3,$G$5:G148),"")</f>
        <v>36</v>
      </c>
      <c r="C148" s="56"/>
      <c r="D148" s="56"/>
      <c r="E148" s="57" t="s">
        <v>139</v>
      </c>
      <c r="F148" s="57" t="s">
        <v>135</v>
      </c>
      <c r="G148" s="58" t="s">
        <v>161</v>
      </c>
      <c r="H148" s="59">
        <v>44036</v>
      </c>
      <c r="I148" s="60">
        <v>0.3</v>
      </c>
      <c r="J148" s="61" t="s">
        <v>307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2" t="s">
        <v>354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6">
        <v>0.3</v>
      </c>
      <c r="J149" s="61" t="s">
        <v>352</v>
      </c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2" t="s">
        <v>275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6">
        <v>0.3</v>
      </c>
      <c r="J150" s="61" t="s">
        <v>353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2" t="s">
        <v>309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6">
        <v>0.3</v>
      </c>
      <c r="J151" s="61" t="s">
        <v>347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6">
        <v>0.3</v>
      </c>
      <c r="J152" s="61" t="s">
        <v>308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6">
        <v>0.3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>
        <f>IF(G154&lt;&gt;"",SUBTOTAL(3,$G$5:G154),"")</f>
        <v>37</v>
      </c>
      <c r="C154" s="56"/>
      <c r="D154" s="56"/>
      <c r="E154" s="57" t="s">
        <v>139</v>
      </c>
      <c r="F154" s="57" t="s">
        <v>135</v>
      </c>
      <c r="G154" s="58" t="s">
        <v>162</v>
      </c>
      <c r="H154" s="59">
        <v>44013</v>
      </c>
      <c r="I154" s="60">
        <v>0.5</v>
      </c>
      <c r="J154" s="61" t="s">
        <v>552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97" t="str">
        <f>IF(G155&lt;&gt;"",SUBTOTAL(3,$G$4:G155),"")</f>
        <v/>
      </c>
      <c r="C155" s="56"/>
      <c r="D155" s="56"/>
      <c r="E155" s="57"/>
      <c r="F155" s="57"/>
      <c r="G155" s="58"/>
      <c r="H155" s="59"/>
      <c r="I155" s="66">
        <v>0.8</v>
      </c>
      <c r="J155" s="61" t="s">
        <v>549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97" t="str">
        <f>IF(G156&lt;&gt;"",SUBTOTAL(3,$G$4:G156),"")</f>
        <v/>
      </c>
      <c r="C156" s="56"/>
      <c r="D156" s="56"/>
      <c r="E156" s="57"/>
      <c r="F156" s="57"/>
      <c r="G156" s="58"/>
      <c r="H156" s="59"/>
      <c r="I156" s="66">
        <v>0.8</v>
      </c>
      <c r="J156" s="61" t="s">
        <v>553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97" t="str">
        <f>IF(G157&lt;&gt;"",SUBTOTAL(3,$G$4:G157),"")</f>
        <v/>
      </c>
      <c r="C157" s="56"/>
      <c r="D157" s="56"/>
      <c r="E157" s="57"/>
      <c r="F157" s="57"/>
      <c r="G157" s="58"/>
      <c r="H157" s="59"/>
      <c r="I157" s="66">
        <v>0.8</v>
      </c>
      <c r="J157" s="61" t="s">
        <v>551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97" t="str">
        <f>IF(G158&lt;&gt;"",SUBTOTAL(3,$G$4:G158),"")</f>
        <v/>
      </c>
      <c r="C158" s="56"/>
      <c r="D158" s="56"/>
      <c r="E158" s="57"/>
      <c r="F158" s="57"/>
      <c r="G158" s="58"/>
      <c r="H158" s="59"/>
      <c r="I158" s="66">
        <v>0.8</v>
      </c>
      <c r="J158" s="61" t="s">
        <v>545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97" t="str">
        <f>IF(G159&lt;&gt;"",SUBTOTAL(3,$G$4:G159),"")</f>
        <v/>
      </c>
      <c r="C159" s="56"/>
      <c r="D159" s="56"/>
      <c r="E159" s="57"/>
      <c r="F159" s="57"/>
      <c r="G159" s="58"/>
      <c r="H159" s="59"/>
      <c r="I159" s="66">
        <v>0.8</v>
      </c>
      <c r="J159" s="61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ht="15.75" x14ac:dyDescent="0.15">
      <c r="B160" s="56">
        <f>IF(G160&lt;&gt;"",SUBTOTAL(3,$G$5:G160),"")</f>
        <v>38</v>
      </c>
      <c r="C160" s="56"/>
      <c r="D160" s="56"/>
      <c r="E160" s="57" t="s">
        <v>139</v>
      </c>
      <c r="F160" s="57" t="s">
        <v>135</v>
      </c>
      <c r="G160" s="58" t="s">
        <v>542</v>
      </c>
      <c r="H160" s="59">
        <v>44013</v>
      </c>
      <c r="I160" s="60">
        <v>1</v>
      </c>
      <c r="J160" s="61" t="s">
        <v>546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97" t="str">
        <f>IF(G161&lt;&gt;"",SUBTOTAL(3,$G$4:G161),"")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543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97" t="str">
        <f>IF(G162&lt;&gt;"",SUBTOTAL(3,$G$4:G162),"")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550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97" t="str">
        <f>IF(G163&lt;&gt;"",SUBTOTAL(3,$G$4:G163),"")</f>
        <v/>
      </c>
      <c r="C163" s="56"/>
      <c r="D163" s="56"/>
      <c r="E163" s="57"/>
      <c r="F163" s="57"/>
      <c r="G163" s="58"/>
      <c r="H163" s="59"/>
      <c r="I163" s="68">
        <v>1</v>
      </c>
      <c r="J163" s="61" t="s">
        <v>547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ht="15.75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548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544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8">
        <v>1</v>
      </c>
      <c r="J166" s="61" t="s">
        <v>545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8">
        <v>1</v>
      </c>
      <c r="J167" s="61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>
        <f>IF(G168&lt;&gt;"",SUBTOTAL(3,$G$5:G168),"")</f>
        <v>39</v>
      </c>
      <c r="C168" s="56"/>
      <c r="D168" s="56"/>
      <c r="E168" s="57" t="s">
        <v>139</v>
      </c>
      <c r="F168" s="57" t="s">
        <v>135</v>
      </c>
      <c r="G168" s="58" t="s">
        <v>163</v>
      </c>
      <c r="H168" s="59">
        <v>44010</v>
      </c>
      <c r="I168" s="60">
        <v>1</v>
      </c>
      <c r="J168" s="61" t="s">
        <v>540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8">
        <v>1</v>
      </c>
      <c r="J169" s="61" t="s">
        <v>541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8">
        <v>1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>
        <f>IF(G171&lt;&gt;"",SUBTOTAL(3,$G$5:G171),"")</f>
        <v>40</v>
      </c>
      <c r="C171" s="56"/>
      <c r="D171" s="56"/>
      <c r="E171" s="57" t="s">
        <v>139</v>
      </c>
      <c r="F171" s="57" t="s">
        <v>135</v>
      </c>
      <c r="G171" s="58" t="s">
        <v>164</v>
      </c>
      <c r="H171" s="59">
        <v>44007</v>
      </c>
      <c r="I171" s="60">
        <v>1</v>
      </c>
      <c r="J171" s="61" t="s">
        <v>536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 t="s">
        <v>537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8">
        <v>1</v>
      </c>
      <c r="J173" s="61" t="s">
        <v>539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538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56">
        <f>IF(G176&lt;&gt;"",SUBTOTAL(3,$G$5:G176),"")</f>
        <v>41</v>
      </c>
      <c r="C176" s="56"/>
      <c r="D176" s="56"/>
      <c r="E176" s="57" t="s">
        <v>139</v>
      </c>
      <c r="F176" s="57" t="s">
        <v>135</v>
      </c>
      <c r="G176" s="58" t="s">
        <v>165</v>
      </c>
      <c r="H176" s="59">
        <v>44006</v>
      </c>
      <c r="I176" s="60">
        <v>0.5</v>
      </c>
      <c r="J176" s="61" t="s">
        <v>535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6">
        <v>0.5</v>
      </c>
      <c r="J177" s="61" t="s">
        <v>533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6">
        <v>0.5</v>
      </c>
      <c r="J178" s="61" t="s">
        <v>534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6">
        <v>0.5</v>
      </c>
      <c r="J179" s="61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56">
        <f>IF(G180&lt;&gt;"",SUBTOTAL(3,$G$5:G180),"")</f>
        <v>42</v>
      </c>
      <c r="C180" s="56"/>
      <c r="D180" s="56"/>
      <c r="E180" s="57" t="s">
        <v>139</v>
      </c>
      <c r="F180" s="57" t="s">
        <v>135</v>
      </c>
      <c r="G180" s="58" t="s">
        <v>166</v>
      </c>
      <c r="H180" s="59">
        <v>44003</v>
      </c>
      <c r="I180" s="60">
        <v>1</v>
      </c>
      <c r="J180" s="61" t="s">
        <v>531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ht="17.25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532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56">
        <f>IF(G183&lt;&gt;"",SUBTOTAL(3,$G$5:G183),"")</f>
        <v>43</v>
      </c>
      <c r="C183" s="56"/>
      <c r="D183" s="56"/>
      <c r="E183" s="57" t="s">
        <v>139</v>
      </c>
      <c r="F183" s="57" t="s">
        <v>135</v>
      </c>
      <c r="G183" s="58" t="s">
        <v>167</v>
      </c>
      <c r="H183" s="59">
        <v>44000</v>
      </c>
      <c r="I183" s="60">
        <v>1</v>
      </c>
      <c r="J183" s="61" t="s">
        <v>526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 t="s">
        <v>527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528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529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530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56">
        <f>IF(G189&lt;&gt;"",SUBTOTAL(3,$G$5:G189),"")</f>
        <v>44</v>
      </c>
      <c r="C189" s="56"/>
      <c r="D189" s="56"/>
      <c r="E189" s="57" t="s">
        <v>139</v>
      </c>
      <c r="F189" s="57" t="s">
        <v>135</v>
      </c>
      <c r="G189" s="58" t="s">
        <v>168</v>
      </c>
      <c r="H189" s="59">
        <v>43996</v>
      </c>
      <c r="I189" s="60">
        <v>1</v>
      </c>
      <c r="J189" s="61" t="s">
        <v>523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524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525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45</v>
      </c>
      <c r="C193" s="56"/>
      <c r="D193" s="56"/>
      <c r="E193" s="57" t="s">
        <v>139</v>
      </c>
      <c r="F193" s="57" t="s">
        <v>135</v>
      </c>
      <c r="G193" s="58" t="s">
        <v>169</v>
      </c>
      <c r="H193" s="59">
        <v>43996</v>
      </c>
      <c r="I193" s="60">
        <v>1</v>
      </c>
      <c r="J193" s="61" t="s">
        <v>519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520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ht="15.75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521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522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56">
        <f>IF(G198&lt;&gt;"",SUBTOTAL(3,$G$5:G198),"")</f>
        <v>46</v>
      </c>
      <c r="C198" s="56"/>
      <c r="D198" s="56"/>
      <c r="E198" s="57" t="s">
        <v>139</v>
      </c>
      <c r="F198" s="57" t="s">
        <v>135</v>
      </c>
      <c r="G198" s="58" t="s">
        <v>170</v>
      </c>
      <c r="H198" s="59">
        <v>43996</v>
      </c>
      <c r="I198" s="60">
        <v>1</v>
      </c>
      <c r="J198" s="61" t="s">
        <v>515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518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517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516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56">
        <f>IF(G203&lt;&gt;"",SUBTOTAL(3,$G$5:G203),"")</f>
        <v>47</v>
      </c>
      <c r="C203" s="56"/>
      <c r="D203" s="56"/>
      <c r="E203" s="57" t="s">
        <v>139</v>
      </c>
      <c r="F203" s="57" t="s">
        <v>135</v>
      </c>
      <c r="G203" s="58" t="s">
        <v>171</v>
      </c>
      <c r="H203" s="59">
        <v>43995</v>
      </c>
      <c r="I203" s="60">
        <v>1</v>
      </c>
      <c r="J203" s="61" t="s">
        <v>511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512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513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514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48</v>
      </c>
      <c r="C208" s="56"/>
      <c r="D208" s="56"/>
      <c r="E208" s="57" t="s">
        <v>139</v>
      </c>
      <c r="F208" s="57" t="s">
        <v>135</v>
      </c>
      <c r="G208" s="58" t="s">
        <v>172</v>
      </c>
      <c r="H208" s="59">
        <v>43995</v>
      </c>
      <c r="I208" s="60">
        <v>1</v>
      </c>
      <c r="J208" s="61" t="s">
        <v>428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IF(G209&lt;&gt;"",SUBTOTAL(3,$G$5:G209),"")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426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IF(G210&lt;&gt;"",SUBTOTAL(3,$G$5:G210),"")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427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IF(G211&lt;&gt;"",SUBTOTAL(3,$G$5:G211),"")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49</v>
      </c>
      <c r="C212" s="56"/>
      <c r="D212" s="56"/>
      <c r="E212" s="57" t="s">
        <v>139</v>
      </c>
      <c r="F212" s="57" t="s">
        <v>135</v>
      </c>
      <c r="G212" s="72" t="s">
        <v>173</v>
      </c>
      <c r="H212" s="59">
        <v>43982</v>
      </c>
      <c r="I212" s="60">
        <v>1</v>
      </c>
      <c r="J212" s="61" t="s">
        <v>446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IF(G213&lt;&gt;"",SUBTOTAL(3,$G$5:G213),"")</f>
        <v/>
      </c>
      <c r="C213" s="56"/>
      <c r="D213" s="56"/>
      <c r="E213" s="57"/>
      <c r="F213" s="57"/>
      <c r="G213" s="72"/>
      <c r="H213" s="59"/>
      <c r="I213" s="68">
        <v>1</v>
      </c>
      <c r="J213" s="61" t="s">
        <v>447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97" t="str">
        <f>IF(G214&lt;&gt;"",SUBTOTAL(3,$G$5:G214),"")</f>
        <v/>
      </c>
      <c r="C214" s="56"/>
      <c r="D214" s="56"/>
      <c r="E214" s="57"/>
      <c r="F214" s="57"/>
      <c r="G214" s="72"/>
      <c r="H214" s="59"/>
      <c r="I214" s="68">
        <v>1</v>
      </c>
      <c r="J214" s="61" t="s">
        <v>448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IF(G215&lt;&gt;"",SUBTOTAL(3,$G$5:G215),"")</f>
        <v/>
      </c>
      <c r="C215" s="56"/>
      <c r="D215" s="56"/>
      <c r="E215" s="57"/>
      <c r="F215" s="57"/>
      <c r="G215" s="72"/>
      <c r="H215" s="59"/>
      <c r="I215" s="68">
        <v>1</v>
      </c>
      <c r="J215" s="61" t="s">
        <v>449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IF(G216&lt;&gt;"",SUBTOTAL(3,$G$5:G216),"")</f>
        <v/>
      </c>
      <c r="C216" s="56"/>
      <c r="D216" s="56"/>
      <c r="E216" s="57"/>
      <c r="F216" s="57"/>
      <c r="G216" s="72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s="45" customFormat="1" ht="13.5" customHeight="1" x14ac:dyDescent="0.15">
      <c r="B217" s="73">
        <f>IF(G217&lt;&gt;"",SUBTOTAL(3,$G$5:G217),"")</f>
        <v>50</v>
      </c>
      <c r="C217" s="73"/>
      <c r="D217" s="73"/>
      <c r="E217" s="74" t="s">
        <v>139</v>
      </c>
      <c r="F217" s="74" t="s">
        <v>135</v>
      </c>
      <c r="G217" s="72" t="s">
        <v>174</v>
      </c>
      <c r="H217" s="59">
        <v>43995</v>
      </c>
      <c r="I217" s="60">
        <v>1</v>
      </c>
      <c r="J217" s="75" t="s">
        <v>416</v>
      </c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76"/>
      <c r="AS217" s="75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76"/>
      <c r="CB217" s="7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</row>
    <row r="218" spans="2:130" s="45" customFormat="1" ht="13.5" customHeight="1" x14ac:dyDescent="0.15">
      <c r="B218" s="97" t="str">
        <f>IF(G218&lt;&gt;"",SUBTOTAL(3,$G$5:G218),"")</f>
        <v/>
      </c>
      <c r="C218" s="73"/>
      <c r="D218" s="73"/>
      <c r="E218" s="74"/>
      <c r="F218" s="74"/>
      <c r="G218" s="72"/>
      <c r="H218" s="59"/>
      <c r="I218" s="68">
        <v>1</v>
      </c>
      <c r="J218" s="75" t="s">
        <v>417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76"/>
      <c r="AS218" s="75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76"/>
      <c r="CB218" s="7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</row>
    <row r="219" spans="2:130" s="45" customFormat="1" ht="13.5" customHeight="1" x14ac:dyDescent="0.15">
      <c r="B219" s="97" t="str">
        <f>IF(G219&lt;&gt;"",SUBTOTAL(3,$G$5:G219),"")</f>
        <v/>
      </c>
      <c r="C219" s="73"/>
      <c r="D219" s="73"/>
      <c r="E219" s="74"/>
      <c r="F219" s="74"/>
      <c r="G219" s="72"/>
      <c r="H219" s="59"/>
      <c r="I219" s="68">
        <v>1</v>
      </c>
      <c r="J219" s="75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76"/>
      <c r="AS219" s="7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76"/>
      <c r="CB219" s="7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</row>
    <row r="220" spans="2:130" s="45" customFormat="1" x14ac:dyDescent="0.15">
      <c r="B220" s="73">
        <f>IF(G220&lt;&gt;"",SUBTOTAL(3,$G$5:G220),"")</f>
        <v>51</v>
      </c>
      <c r="C220" s="73"/>
      <c r="D220" s="73"/>
      <c r="E220" s="74" t="s">
        <v>139</v>
      </c>
      <c r="F220" s="74" t="s">
        <v>135</v>
      </c>
      <c r="G220" s="72" t="s">
        <v>175</v>
      </c>
      <c r="H220" s="59">
        <v>43955</v>
      </c>
      <c r="I220" s="60">
        <v>1</v>
      </c>
      <c r="J220" s="61" t="s">
        <v>463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7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</row>
    <row r="221" spans="2:130" s="45" customFormat="1" x14ac:dyDescent="0.15">
      <c r="B221" s="73" t="str">
        <f>IF(G221&lt;&gt;"",SUBTOTAL(3,$G$5:G221),"")</f>
        <v/>
      </c>
      <c r="C221" s="73"/>
      <c r="D221" s="73"/>
      <c r="E221" s="74"/>
      <c r="F221" s="74"/>
      <c r="G221" s="72"/>
      <c r="H221" s="59"/>
      <c r="I221" s="68">
        <v>1</v>
      </c>
      <c r="J221" s="61" t="s">
        <v>464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7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</row>
    <row r="222" spans="2:130" s="45" customFormat="1" x14ac:dyDescent="0.15">
      <c r="B222" s="73" t="str">
        <f>IF(G222&lt;&gt;"",SUBTOTAL(3,$G$5:G222),"")</f>
        <v/>
      </c>
      <c r="C222" s="73"/>
      <c r="D222" s="73"/>
      <c r="E222" s="74"/>
      <c r="F222" s="74"/>
      <c r="G222" s="72"/>
      <c r="H222" s="59"/>
      <c r="I222" s="68">
        <v>1</v>
      </c>
      <c r="J222" s="61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7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</row>
    <row r="223" spans="2:130" s="45" customFormat="1" ht="13.5" customHeight="1" x14ac:dyDescent="0.15">
      <c r="B223" s="73">
        <f>IF(G223&lt;&gt;"",SUBTOTAL(3,$G$5:G223),"")</f>
        <v>52</v>
      </c>
      <c r="C223" s="73"/>
      <c r="D223" s="73"/>
      <c r="E223" s="74" t="s">
        <v>139</v>
      </c>
      <c r="F223" s="74" t="s">
        <v>135</v>
      </c>
      <c r="G223" s="72" t="s">
        <v>176</v>
      </c>
      <c r="H223" s="59">
        <v>43967</v>
      </c>
      <c r="I223" s="98">
        <v>1</v>
      </c>
      <c r="J223" s="75" t="s">
        <v>404</v>
      </c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76"/>
      <c r="AS223" s="75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76"/>
      <c r="CB223" s="7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</row>
    <row r="224" spans="2:130" s="45" customFormat="1" ht="13.5" customHeight="1" x14ac:dyDescent="0.15">
      <c r="B224" s="97" t="str">
        <f>IF(G224&lt;&gt;"",SUBTOTAL(3,$G$5:G224),"")</f>
        <v/>
      </c>
      <c r="C224" s="73"/>
      <c r="D224" s="73"/>
      <c r="E224" s="74"/>
      <c r="F224" s="74"/>
      <c r="G224" s="72"/>
      <c r="H224" s="59"/>
      <c r="I224" s="68">
        <v>1</v>
      </c>
      <c r="J224" s="75" t="s">
        <v>405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76"/>
      <c r="AS224" s="75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76"/>
      <c r="CB224" s="7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</row>
    <row r="225" spans="2:130" s="45" customFormat="1" ht="13.5" customHeight="1" x14ac:dyDescent="0.15">
      <c r="B225" s="73">
        <f>IF(G225&lt;&gt;"",SUBTOTAL(3,$G$5:G225),"")</f>
        <v>53</v>
      </c>
      <c r="C225" s="73"/>
      <c r="D225" s="73"/>
      <c r="E225" s="74" t="s">
        <v>139</v>
      </c>
      <c r="F225" s="74" t="s">
        <v>135</v>
      </c>
      <c r="G225" s="72" t="s">
        <v>177</v>
      </c>
      <c r="H225" s="59">
        <v>43870</v>
      </c>
      <c r="I225" s="60">
        <v>1</v>
      </c>
      <c r="J225" s="75" t="s">
        <v>401</v>
      </c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76"/>
      <c r="AS225" s="7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76"/>
      <c r="CB225" s="7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</row>
    <row r="226" spans="2:130" s="45" customFormat="1" ht="13.5" customHeight="1" x14ac:dyDescent="0.15">
      <c r="B226" s="97" t="str">
        <f>IF(G226&lt;&gt;"",SUBTOTAL(3,$G$5:G226),"")</f>
        <v/>
      </c>
      <c r="C226" s="73"/>
      <c r="D226" s="73"/>
      <c r="E226" s="74"/>
      <c r="F226" s="74"/>
      <c r="G226" s="72"/>
      <c r="H226" s="59"/>
      <c r="I226" s="66"/>
      <c r="J226" s="75" t="s">
        <v>402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76"/>
      <c r="AS226" s="7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76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ht="13.5" customHeight="1" x14ac:dyDescent="0.15">
      <c r="B227" s="97" t="str">
        <f>IF(G227&lt;&gt;"",SUBTOTAL(3,$G$5:G227),"")</f>
        <v/>
      </c>
      <c r="C227" s="73"/>
      <c r="D227" s="73"/>
      <c r="E227" s="74"/>
      <c r="F227" s="74"/>
      <c r="G227" s="72"/>
      <c r="H227" s="59"/>
      <c r="I227" s="66"/>
      <c r="J227" s="75" t="s">
        <v>403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76"/>
      <c r="AS227" s="7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76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ht="13.5" customHeight="1" x14ac:dyDescent="0.15">
      <c r="B228" s="97" t="str">
        <f>IF(G228&lt;&gt;"",SUBTOTAL(3,$G$5:G228),"")</f>
        <v/>
      </c>
      <c r="C228" s="73"/>
      <c r="D228" s="73"/>
      <c r="E228" s="74"/>
      <c r="F228" s="74"/>
      <c r="G228" s="72"/>
      <c r="H228" s="59"/>
      <c r="I228" s="66"/>
      <c r="J228" s="75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x14ac:dyDescent="0.15">
      <c r="B229" s="73">
        <f>IF(G229&lt;&gt;"",SUBTOTAL(3,$G$5:G229),"")</f>
        <v>54</v>
      </c>
      <c r="C229" s="73"/>
      <c r="D229" s="73"/>
      <c r="E229" s="74" t="s">
        <v>139</v>
      </c>
      <c r="F229" s="74" t="s">
        <v>135</v>
      </c>
      <c r="G229" s="72" t="s">
        <v>178</v>
      </c>
      <c r="H229" s="59">
        <v>43869</v>
      </c>
      <c r="I229" s="60">
        <v>1</v>
      </c>
      <c r="J229" s="75" t="s">
        <v>471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75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>
        <f>IF(G231&lt;&gt;"",SUBTOTAL(3,$G$5:G231),"")</f>
        <v>55</v>
      </c>
      <c r="C231" s="73"/>
      <c r="D231" s="73"/>
      <c r="E231" s="74" t="s">
        <v>139</v>
      </c>
      <c r="F231" s="74" t="s">
        <v>135</v>
      </c>
      <c r="G231" s="72" t="s">
        <v>89</v>
      </c>
      <c r="H231" s="59">
        <v>43961</v>
      </c>
      <c r="I231" s="60">
        <v>1</v>
      </c>
      <c r="J231" s="103" t="s">
        <v>461</v>
      </c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5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x14ac:dyDescent="0.15">
      <c r="B232" s="73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103" t="s">
        <v>462</v>
      </c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5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x14ac:dyDescent="0.15">
      <c r="B233" s="73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103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5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73">
        <f>IF(G234&lt;&gt;"",SUBTOTAL(3,$G$5:G234),"")</f>
        <v>56</v>
      </c>
      <c r="C234" s="73"/>
      <c r="D234" s="73"/>
      <c r="E234" s="74" t="s">
        <v>139</v>
      </c>
      <c r="F234" s="74" t="s">
        <v>135</v>
      </c>
      <c r="G234" s="72" t="s">
        <v>179</v>
      </c>
      <c r="H234" s="59">
        <v>43961</v>
      </c>
      <c r="I234" s="60">
        <v>1</v>
      </c>
      <c r="J234" s="75" t="s">
        <v>450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7" t="s">
        <v>13</v>
      </c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75" t="s">
        <v>451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7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97" t="str">
        <f>IF(G236&lt;&gt;"",SUBTOTAL(3,$G$5:G236),"")</f>
        <v/>
      </c>
      <c r="C236" s="73"/>
      <c r="D236" s="73"/>
      <c r="E236" s="74"/>
      <c r="F236" s="74"/>
      <c r="G236" s="72"/>
      <c r="H236" s="59"/>
      <c r="I236" s="68">
        <v>1</v>
      </c>
      <c r="J236" s="75" t="s">
        <v>452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7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8">
        <v>1</v>
      </c>
      <c r="J237" s="75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7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73">
        <f>IF(G238&lt;&gt;"",SUBTOTAL(3,$G$5:G238),"")</f>
        <v>57</v>
      </c>
      <c r="C238" s="73"/>
      <c r="D238" s="73"/>
      <c r="E238" s="74" t="s">
        <v>139</v>
      </c>
      <c r="F238" s="74" t="s">
        <v>135</v>
      </c>
      <c r="G238" s="72" t="s">
        <v>180</v>
      </c>
      <c r="H238" s="59">
        <v>43995</v>
      </c>
      <c r="I238" s="60">
        <v>1</v>
      </c>
      <c r="J238" s="75" t="s">
        <v>418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 t="s">
        <v>419</v>
      </c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97" t="str">
        <f>IF(G240&lt;&gt;"",SUBTOTAL(3,$G$5:G240),"")</f>
        <v/>
      </c>
      <c r="C240" s="73"/>
      <c r="D240" s="73"/>
      <c r="E240" s="74"/>
      <c r="F240" s="74"/>
      <c r="G240" s="72"/>
      <c r="H240" s="59"/>
      <c r="I240" s="68">
        <v>1</v>
      </c>
      <c r="J240" s="75" t="s">
        <v>420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97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75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73">
        <f>IF(G242&lt;&gt;"",SUBTOTAL(3,$G$5:G242),"")</f>
        <v>58</v>
      </c>
      <c r="C242" s="73"/>
      <c r="D242" s="73"/>
      <c r="E242" s="74" t="s">
        <v>139</v>
      </c>
      <c r="F242" s="74" t="s">
        <v>135</v>
      </c>
      <c r="G242" s="72" t="s">
        <v>181</v>
      </c>
      <c r="H242" s="59">
        <v>43961</v>
      </c>
      <c r="I242" s="60">
        <v>1</v>
      </c>
      <c r="J242" s="75" t="s">
        <v>453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 t="s">
        <v>454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73">
        <f>IF(G245&lt;&gt;"",SUBTOTAL(3,$G$5:G245),"")</f>
        <v>59</v>
      </c>
      <c r="C245" s="73"/>
      <c r="D245" s="73"/>
      <c r="E245" s="74" t="s">
        <v>139</v>
      </c>
      <c r="F245" s="74" t="s">
        <v>135</v>
      </c>
      <c r="G245" s="72" t="s">
        <v>182</v>
      </c>
      <c r="H245" s="59">
        <v>43995</v>
      </c>
      <c r="I245" s="60"/>
      <c r="J245" s="75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73">
        <f>IF(G246&lt;&gt;"",SUBTOTAL(3,$G$5:G246),"")</f>
        <v>60</v>
      </c>
      <c r="C246" s="73"/>
      <c r="D246" s="73"/>
      <c r="E246" s="74" t="s">
        <v>139</v>
      </c>
      <c r="F246" s="74" t="s">
        <v>135</v>
      </c>
      <c r="G246" s="72" t="s">
        <v>183</v>
      </c>
      <c r="H246" s="59">
        <v>44006</v>
      </c>
      <c r="I246" s="60"/>
      <c r="J246" s="75" t="s">
        <v>455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 t="s">
        <v>13</v>
      </c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6"/>
      <c r="J247" s="75" t="s">
        <v>456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7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6"/>
      <c r="J248" s="75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73">
        <f>IF(G249&lt;&gt;"",SUBTOTAL(3,$G$5:G249),"")</f>
        <v>61</v>
      </c>
      <c r="C249" s="73"/>
      <c r="D249" s="73"/>
      <c r="E249" s="74" t="s">
        <v>139</v>
      </c>
      <c r="F249" s="74" t="s">
        <v>135</v>
      </c>
      <c r="G249" s="72" t="s">
        <v>15</v>
      </c>
      <c r="H249" s="59">
        <v>43995</v>
      </c>
      <c r="I249" s="60">
        <v>1</v>
      </c>
      <c r="J249" s="75" t="s">
        <v>406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 t="s">
        <v>407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7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7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73">
        <f>IF(G252&lt;&gt;"",SUBTOTAL(3,$G$5:G252),"")</f>
        <v>62</v>
      </c>
      <c r="C252" s="73"/>
      <c r="D252" s="73"/>
      <c r="E252" s="74" t="s">
        <v>139</v>
      </c>
      <c r="F252" s="74" t="s">
        <v>135</v>
      </c>
      <c r="G252" s="72" t="s">
        <v>184</v>
      </c>
      <c r="H252" s="59">
        <v>43871</v>
      </c>
      <c r="I252" s="60">
        <v>1</v>
      </c>
      <c r="J252" s="75" t="s">
        <v>414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7" t="s">
        <v>13</v>
      </c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 t="s">
        <v>415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7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7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73">
        <f>IF(G255&lt;&gt;"",SUBTOTAL(3,$G$5:G255),"")</f>
        <v>63</v>
      </c>
      <c r="C255" s="73"/>
      <c r="D255" s="73"/>
      <c r="E255" s="74" t="s">
        <v>139</v>
      </c>
      <c r="F255" s="74" t="s">
        <v>135</v>
      </c>
      <c r="G255" s="72" t="s">
        <v>185</v>
      </c>
      <c r="H255" s="59">
        <v>43936</v>
      </c>
      <c r="I255" s="60">
        <v>1</v>
      </c>
      <c r="J255" s="75" t="s">
        <v>410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 t="s">
        <v>411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97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75" t="s">
        <v>412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 t="s">
        <v>413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73">
        <f>IF(G260&lt;&gt;"",SUBTOTAL(3,$G$5:G260),"")</f>
        <v>64</v>
      </c>
      <c r="C260" s="73"/>
      <c r="D260" s="73"/>
      <c r="E260" s="74" t="s">
        <v>139</v>
      </c>
      <c r="F260" s="74" t="s">
        <v>135</v>
      </c>
      <c r="G260" s="72" t="s">
        <v>186</v>
      </c>
      <c r="H260" s="59">
        <v>43935</v>
      </c>
      <c r="I260" s="60">
        <v>1</v>
      </c>
      <c r="J260" s="75" t="s">
        <v>409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408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65</v>
      </c>
      <c r="C263" s="73"/>
      <c r="D263" s="73"/>
      <c r="E263" s="74" t="s">
        <v>139</v>
      </c>
      <c r="F263" s="74" t="s">
        <v>135</v>
      </c>
      <c r="G263" s="72" t="s">
        <v>187</v>
      </c>
      <c r="H263" s="59">
        <v>43919</v>
      </c>
      <c r="I263" s="60">
        <v>1</v>
      </c>
      <c r="J263" s="75" t="s">
        <v>507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IF(G264&lt;&gt;"",SUBTOTAL(3,$G$4:G264),"")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509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IF(G265&lt;&gt;"",SUBTOTAL(3,$G$4:G265),"")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508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IF(G266&lt;&gt;"",SUBTOTAL(3,$G$4:G266),"")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510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IF(G267&lt;&gt;"",SUBTOTAL(3,$G$4:G267),"")</f>
        <v/>
      </c>
      <c r="C267" s="73"/>
      <c r="D267" s="73"/>
      <c r="E267" s="74"/>
      <c r="F267" s="74"/>
      <c r="G267" s="72"/>
      <c r="H267" s="59"/>
      <c r="I267" s="68">
        <v>1</v>
      </c>
      <c r="J267" s="75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73">
        <f>IF(G268&lt;&gt;"",SUBTOTAL(3,$G$5:G268),"")</f>
        <v>66</v>
      </c>
      <c r="C268" s="73"/>
      <c r="D268" s="73"/>
      <c r="E268" s="74" t="s">
        <v>139</v>
      </c>
      <c r="F268" s="74" t="s">
        <v>135</v>
      </c>
      <c r="G268" s="72" t="s">
        <v>188</v>
      </c>
      <c r="H268" s="59">
        <v>43995</v>
      </c>
      <c r="I268" s="60">
        <v>1</v>
      </c>
      <c r="J268" s="75" t="s">
        <v>421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67</v>
      </c>
      <c r="C270" s="73"/>
      <c r="D270" s="73"/>
      <c r="E270" s="74" t="s">
        <v>139</v>
      </c>
      <c r="F270" s="74" t="s">
        <v>135</v>
      </c>
      <c r="G270" s="72" t="s">
        <v>189</v>
      </c>
      <c r="H270" s="59">
        <v>43975</v>
      </c>
      <c r="I270" s="60">
        <v>1</v>
      </c>
      <c r="J270" s="75" t="s">
        <v>505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IF(G271&lt;&gt;"",SUBTOTAL(3,$G$4:G271),"")</f>
        <v/>
      </c>
      <c r="C271" s="73"/>
      <c r="D271" s="73"/>
      <c r="E271" s="74"/>
      <c r="F271" s="74"/>
      <c r="G271" s="72"/>
      <c r="H271" s="59"/>
      <c r="I271" s="68">
        <v>1</v>
      </c>
      <c r="J271" s="75" t="s">
        <v>506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IF(G272&lt;&gt;"",SUBTOTAL(3,$G$4:G272),"")</f>
        <v/>
      </c>
      <c r="C272" s="73"/>
      <c r="D272" s="73"/>
      <c r="E272" s="74"/>
      <c r="F272" s="74"/>
      <c r="G272" s="72"/>
      <c r="H272" s="59"/>
      <c r="I272" s="68">
        <v>1</v>
      </c>
      <c r="J272" s="75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73">
        <f>IF(G273&lt;&gt;"",SUBTOTAL(3,$G$5:G273),"")</f>
        <v>68</v>
      </c>
      <c r="C273" s="73"/>
      <c r="D273" s="73"/>
      <c r="E273" s="74" t="s">
        <v>139</v>
      </c>
      <c r="F273" s="74" t="s">
        <v>135</v>
      </c>
      <c r="G273" s="72" t="s">
        <v>190</v>
      </c>
      <c r="H273" s="59">
        <v>43975</v>
      </c>
      <c r="I273" s="60">
        <v>1</v>
      </c>
      <c r="J273" s="75" t="s">
        <v>504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 t="s">
        <v>503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502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/>
      <c r="C276" s="73"/>
      <c r="D276" s="73"/>
      <c r="E276" s="74"/>
      <c r="F276" s="74"/>
      <c r="G276" s="72"/>
      <c r="H276" s="59"/>
      <c r="I276" s="68"/>
      <c r="J276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73">
        <f>IF(G278&lt;&gt;"",SUBTOTAL(3,$G$5:G278),"")</f>
        <v>69</v>
      </c>
      <c r="C278" s="73"/>
      <c r="D278" s="73"/>
      <c r="E278" s="74" t="s">
        <v>139</v>
      </c>
      <c r="F278" s="74" t="s">
        <v>135</v>
      </c>
      <c r="G278" s="72" t="s">
        <v>191</v>
      </c>
      <c r="H278" s="59">
        <v>43975</v>
      </c>
      <c r="I278" s="60">
        <v>1</v>
      </c>
      <c r="J278" s="75" t="s">
        <v>492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 t="s">
        <v>500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IF(G280&lt;&gt;"",SUBTOTAL(3,$G$4:G280),"")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501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494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495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493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496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498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499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IF(G287&lt;&gt;"",SUBTOTAL(3,$G$4:G287),"")</f>
        <v/>
      </c>
      <c r="C287" s="73"/>
      <c r="D287" s="73"/>
      <c r="E287" s="74"/>
      <c r="F287" s="74"/>
      <c r="G287" s="72"/>
      <c r="H287" s="59"/>
      <c r="I287" s="68">
        <v>1</v>
      </c>
      <c r="J287" s="75" t="s">
        <v>497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70</v>
      </c>
      <c r="C289" s="73"/>
      <c r="D289" s="73"/>
      <c r="E289" s="74" t="s">
        <v>139</v>
      </c>
      <c r="F289" s="74" t="s">
        <v>135</v>
      </c>
      <c r="G289" s="72" t="s">
        <v>192</v>
      </c>
      <c r="H289" s="59">
        <v>43975</v>
      </c>
      <c r="I289" s="60">
        <v>1</v>
      </c>
      <c r="J289" s="75" t="s">
        <v>422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IF(G290&lt;&gt;"",SUBTOTAL(3,$G$5:G290),"")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423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IF(G291&lt;&gt;"",SUBTOTAL(3,$G$5:G291),"")</f>
        <v/>
      </c>
      <c r="C291" s="73"/>
      <c r="D291" s="73"/>
      <c r="E291" s="74"/>
      <c r="F291" s="74"/>
      <c r="G291" s="72"/>
      <c r="H291" s="59"/>
      <c r="I291" s="68">
        <v>1</v>
      </c>
      <c r="J291" s="75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73">
        <f>IF(G292&lt;&gt;"",SUBTOTAL(3,$G$5:G292),"")</f>
        <v>71</v>
      </c>
      <c r="C292" s="73"/>
      <c r="D292" s="73"/>
      <c r="E292" s="74" t="s">
        <v>139</v>
      </c>
      <c r="F292" s="74" t="s">
        <v>135</v>
      </c>
      <c r="G292" s="72" t="s">
        <v>193</v>
      </c>
      <c r="H292" s="59">
        <v>43977</v>
      </c>
      <c r="I292" s="60">
        <v>1</v>
      </c>
      <c r="J292" s="75" t="s">
        <v>424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IF(G293&lt;&gt;"",SUBTOTAL(3,$G$5:G293),"")</f>
        <v/>
      </c>
      <c r="C293" s="73"/>
      <c r="D293" s="73"/>
      <c r="E293" s="74"/>
      <c r="F293" s="74"/>
      <c r="G293" s="72"/>
      <c r="H293" s="59"/>
      <c r="I293" s="68">
        <v>1</v>
      </c>
      <c r="J293" s="75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73">
        <f>IF(G294&lt;&gt;"",SUBTOTAL(3,$G$5:G294),"")</f>
        <v>72</v>
      </c>
      <c r="C294" s="73"/>
      <c r="D294" s="73"/>
      <c r="E294" s="74" t="s">
        <v>139</v>
      </c>
      <c r="F294" s="74" t="s">
        <v>135</v>
      </c>
      <c r="G294" s="72" t="s">
        <v>194</v>
      </c>
      <c r="H294" s="59">
        <v>43977</v>
      </c>
      <c r="I294" s="60">
        <v>1</v>
      </c>
      <c r="J294" s="75" t="s">
        <v>425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IF(G295&lt;&gt;"",SUBTOTAL(3,$G$5:G295),"")</f>
        <v/>
      </c>
      <c r="C295" s="73"/>
      <c r="D295" s="73"/>
      <c r="E295" s="74"/>
      <c r="F295" s="74"/>
      <c r="G295" s="72"/>
      <c r="H295" s="59"/>
      <c r="I295" s="68">
        <v>1</v>
      </c>
      <c r="J295" s="7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73">
        <f>IF(G296&lt;&gt;"",SUBTOTAL(3,$G$5:G296),"")</f>
        <v>73</v>
      </c>
      <c r="C296" s="73"/>
      <c r="D296" s="73"/>
      <c r="E296" s="74" t="s">
        <v>139</v>
      </c>
      <c r="F296" s="74" t="s">
        <v>135</v>
      </c>
      <c r="G296" s="72" t="s">
        <v>195</v>
      </c>
      <c r="H296" s="59">
        <v>43977</v>
      </c>
      <c r="I296" s="60">
        <v>1</v>
      </c>
      <c r="J296" s="75" t="s">
        <v>457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IF(G297&lt;&gt;"",SUBTOTAL(3,$G$5:G297),"")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74</v>
      </c>
      <c r="C298" s="73"/>
      <c r="D298" s="73"/>
      <c r="E298" s="74" t="s">
        <v>139</v>
      </c>
      <c r="F298" s="74" t="s">
        <v>135</v>
      </c>
      <c r="G298" s="72" t="s">
        <v>196</v>
      </c>
      <c r="H298" s="59">
        <v>43995</v>
      </c>
      <c r="I298" s="60">
        <v>1</v>
      </c>
      <c r="J298" s="75" t="s">
        <v>429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IF(G299&lt;&gt;"",SUBTOTAL(3,$G$5:G299),"")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430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IF(G300&lt;&gt;"",SUBTOTAL(3,$G$5:G300),"")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431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IF(G301&lt;&gt;"",SUBTOTAL(3,$G$5:G301),"")</f>
        <v/>
      </c>
      <c r="C301" s="73"/>
      <c r="D301" s="73"/>
      <c r="E301" s="74"/>
      <c r="F301" s="74"/>
      <c r="G301" s="72"/>
      <c r="H301" s="59"/>
      <c r="I301" s="68">
        <v>1</v>
      </c>
      <c r="J301" s="75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73">
        <f>IF(G302&lt;&gt;"",SUBTOTAL(3,$G$5:G302),"")</f>
        <v>75</v>
      </c>
      <c r="C302" s="73"/>
      <c r="D302" s="73"/>
      <c r="E302" s="74" t="s">
        <v>139</v>
      </c>
      <c r="F302" s="74" t="s">
        <v>135</v>
      </c>
      <c r="G302" s="72" t="s">
        <v>197</v>
      </c>
      <c r="H302" s="59">
        <v>43982</v>
      </c>
      <c r="I302" s="60">
        <v>1</v>
      </c>
      <c r="J302" s="75" t="s">
        <v>432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IF(G303&lt;&gt;"",SUBTOTAL(3,$G$5:G303),"")</f>
        <v/>
      </c>
      <c r="C303" s="73"/>
      <c r="D303" s="73"/>
      <c r="E303" s="74"/>
      <c r="F303" s="74"/>
      <c r="G303" s="72"/>
      <c r="H303" s="59"/>
      <c r="I303" s="68">
        <v>1</v>
      </c>
      <c r="J303" s="75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73">
        <f>IF(G304&lt;&gt;"",SUBTOTAL(3,$G$5:G304),"")</f>
        <v>76</v>
      </c>
      <c r="C304" s="73"/>
      <c r="D304" s="73"/>
      <c r="E304" s="74" t="s">
        <v>139</v>
      </c>
      <c r="F304" s="74" t="s">
        <v>135</v>
      </c>
      <c r="G304" s="72" t="s">
        <v>198</v>
      </c>
      <c r="H304" s="59">
        <v>43989</v>
      </c>
      <c r="I304" s="60">
        <v>1</v>
      </c>
      <c r="J304" s="75" t="s">
        <v>433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77</v>
      </c>
      <c r="C306" s="73"/>
      <c r="D306" s="73"/>
      <c r="E306" s="74" t="s">
        <v>139</v>
      </c>
      <c r="F306" s="74" t="s">
        <v>135</v>
      </c>
      <c r="G306" s="72" t="s">
        <v>199</v>
      </c>
      <c r="H306" s="59">
        <v>43989</v>
      </c>
      <c r="I306" s="60">
        <v>0.5</v>
      </c>
      <c r="J306" s="75" t="s">
        <v>435</v>
      </c>
      <c r="K306" s="99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6">
        <v>0.5</v>
      </c>
      <c r="J307" s="75" t="s">
        <v>434</v>
      </c>
      <c r="K307" s="99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6">
        <v>0.5</v>
      </c>
      <c r="J308" s="75" t="s">
        <v>436</v>
      </c>
      <c r="K308" s="99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6">
        <v>0.5</v>
      </c>
      <c r="J309" s="75" t="s">
        <v>437</v>
      </c>
      <c r="K309" s="99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6">
        <v>0.5</v>
      </c>
      <c r="J310" s="75"/>
      <c r="K310" s="99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78</v>
      </c>
      <c r="C311" s="73"/>
      <c r="D311" s="73"/>
      <c r="E311" s="74" t="s">
        <v>139</v>
      </c>
      <c r="F311" s="74" t="s">
        <v>135</v>
      </c>
      <c r="G311" s="72" t="s">
        <v>200</v>
      </c>
      <c r="H311" s="59">
        <v>43991</v>
      </c>
      <c r="I311" s="60">
        <v>1</v>
      </c>
      <c r="J311" s="75" t="s">
        <v>438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439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IF(G313&lt;&gt;"",SUBTOTAL(3,$G$5:G313),"")</f>
        <v/>
      </c>
      <c r="C313" s="73"/>
      <c r="D313" s="73"/>
      <c r="E313" s="74"/>
      <c r="F313" s="74"/>
      <c r="G313" s="72"/>
      <c r="H313" s="59"/>
      <c r="I313" s="68">
        <v>1</v>
      </c>
      <c r="J313" s="75" t="s">
        <v>440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441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73">
        <f>IF(G316&lt;&gt;"",SUBTOTAL(3,$G$5:G316),"")</f>
        <v>79</v>
      </c>
      <c r="C316" s="73"/>
      <c r="D316" s="73"/>
      <c r="E316" s="74" t="s">
        <v>139</v>
      </c>
      <c r="F316" s="74" t="s">
        <v>135</v>
      </c>
      <c r="G316" s="72" t="s">
        <v>201</v>
      </c>
      <c r="H316" s="59">
        <v>43991</v>
      </c>
      <c r="I316" s="60">
        <v>1</v>
      </c>
      <c r="J316" s="75" t="s">
        <v>489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IF(G317&lt;&gt;"",SUBTOTAL(3,$G$4:G317),"")</f>
        <v/>
      </c>
      <c r="C317" s="73"/>
      <c r="D317" s="73"/>
      <c r="E317" s="74"/>
      <c r="F317" s="74"/>
      <c r="G317" s="72"/>
      <c r="H317" s="59"/>
      <c r="I317" s="68">
        <v>1</v>
      </c>
      <c r="J317" s="75" t="s">
        <v>490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IF(G318&lt;&gt;"",SUBTOTAL(3,$G$4:G318),"")</f>
        <v/>
      </c>
      <c r="C318" s="73"/>
      <c r="D318" s="73"/>
      <c r="E318" s="74"/>
      <c r="F318" s="74"/>
      <c r="G318" s="72"/>
      <c r="H318" s="59"/>
      <c r="I318" s="68">
        <v>1</v>
      </c>
      <c r="J318" s="75" t="s">
        <v>491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IF(G319&lt;&gt;"",SUBTOTAL(3,$G$4:G319),"")</f>
        <v/>
      </c>
      <c r="C319" s="73"/>
      <c r="D319" s="73"/>
      <c r="E319" s="74"/>
      <c r="F319" s="74"/>
      <c r="G319" s="72"/>
      <c r="H319" s="59"/>
      <c r="I319" s="68">
        <v>1</v>
      </c>
      <c r="J319" s="75" t="s">
        <v>488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IF(G320&lt;&gt;"",SUBTOTAL(3,$G$4:G320),"")</f>
        <v/>
      </c>
      <c r="C320" s="73"/>
      <c r="D320" s="73"/>
      <c r="E320" s="74"/>
      <c r="F320" s="74"/>
      <c r="G320" s="72"/>
      <c r="H320" s="59"/>
      <c r="I320" s="68">
        <v>1</v>
      </c>
      <c r="J320" s="75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73">
        <f>IF(G321&lt;&gt;"",SUBTOTAL(3,$G$5:G321),"")</f>
        <v>80</v>
      </c>
      <c r="C321" s="73"/>
      <c r="D321" s="73"/>
      <c r="E321" s="74" t="s">
        <v>139</v>
      </c>
      <c r="F321" s="74" t="s">
        <v>135</v>
      </c>
      <c r="G321" s="72" t="s">
        <v>442</v>
      </c>
      <c r="H321" s="59">
        <v>43992</v>
      </c>
      <c r="I321" s="60">
        <v>0.8</v>
      </c>
      <c r="J321" s="75" t="s">
        <v>444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6">
        <v>0.8</v>
      </c>
      <c r="J322" s="75" t="s">
        <v>443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6">
        <v>0.8</v>
      </c>
      <c r="J323" s="75" t="s">
        <v>445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0.8</v>
      </c>
      <c r="J324" s="75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x14ac:dyDescent="0.15">
      <c r="B325" s="73">
        <f>IF(G325&lt;&gt;"",SUBTOTAL(3,$G$5:G325),"")</f>
        <v>81</v>
      </c>
      <c r="C325" s="73"/>
      <c r="D325" s="73"/>
      <c r="E325" s="74" t="s">
        <v>139</v>
      </c>
      <c r="F325" s="74" t="s">
        <v>135</v>
      </c>
      <c r="G325" s="72" t="s">
        <v>202</v>
      </c>
      <c r="H325" s="59">
        <v>43994</v>
      </c>
      <c r="I325" s="60">
        <v>0.8</v>
      </c>
      <c r="J325" s="75" t="s">
        <v>310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x14ac:dyDescent="0.15">
      <c r="B326" s="73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0.8</v>
      </c>
      <c r="J326" s="75" t="s">
        <v>311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x14ac:dyDescent="0.15">
      <c r="B327" s="73" t="str">
        <f>IF(G327&lt;&gt;"",SUBTOTAL(3,$G$5:G327),"")</f>
        <v/>
      </c>
      <c r="C327" s="73"/>
      <c r="D327" s="73"/>
      <c r="E327" s="74"/>
      <c r="F327" s="74"/>
      <c r="G327" s="72"/>
      <c r="H327" s="59"/>
      <c r="I327" s="66">
        <v>0.8</v>
      </c>
      <c r="J327" s="75" t="s">
        <v>312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x14ac:dyDescent="0.15">
      <c r="B328" s="73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0.8</v>
      </c>
      <c r="J328" s="75" t="s">
        <v>313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x14ac:dyDescent="0.15">
      <c r="B329" s="73" t="str">
        <f>IF(G329&lt;&gt;"",SUBTOTAL(3,$G$5:G329),"")</f>
        <v/>
      </c>
      <c r="C329" s="73"/>
      <c r="D329" s="73"/>
      <c r="E329" s="74"/>
      <c r="F329" s="74"/>
      <c r="G329" s="72"/>
      <c r="H329" s="59"/>
      <c r="I329" s="66">
        <v>0.8</v>
      </c>
      <c r="J329" s="75" t="s">
        <v>314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x14ac:dyDescent="0.15">
      <c r="B330" s="73" t="str">
        <f>IF(G330&lt;&gt;"",SUBTOTAL(3,$G$5:G330),"")</f>
        <v/>
      </c>
      <c r="C330" s="73"/>
      <c r="D330" s="73"/>
      <c r="E330" s="74"/>
      <c r="F330" s="74"/>
      <c r="G330" s="72"/>
      <c r="H330" s="59"/>
      <c r="I330" s="66">
        <v>0.8</v>
      </c>
      <c r="J330" s="75" t="s">
        <v>315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x14ac:dyDescent="0.15">
      <c r="B331" s="73" t="str">
        <f>IF(G331&lt;&gt;"",SUBTOTAL(3,$G$5:G331),"")</f>
        <v/>
      </c>
      <c r="C331" s="73"/>
      <c r="D331" s="73"/>
      <c r="E331" s="74"/>
      <c r="F331" s="74"/>
      <c r="G331" s="72"/>
      <c r="H331" s="59"/>
      <c r="I331" s="66">
        <v>0.8</v>
      </c>
      <c r="J331" s="75" t="s">
        <v>316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x14ac:dyDescent="0.15">
      <c r="B332" s="73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0.8</v>
      </c>
      <c r="J332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x14ac:dyDescent="0.15">
      <c r="B333" s="73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36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8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73">
        <f>IF(G334&lt;&gt;"",SUBTOTAL(3,$G$5:G334),"")</f>
        <v>82</v>
      </c>
      <c r="C334" s="73"/>
      <c r="D334" s="73"/>
      <c r="E334" s="74" t="s">
        <v>139</v>
      </c>
      <c r="F334" s="74" t="s">
        <v>135</v>
      </c>
      <c r="G334" s="72" t="s">
        <v>203</v>
      </c>
      <c r="H334" s="59">
        <v>43995</v>
      </c>
      <c r="I334" s="60">
        <v>1</v>
      </c>
      <c r="J334" s="75" t="s">
        <v>485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IF(G335&lt;&gt;"",SUBTOTAL(3,$G$4:G335),"")</f>
        <v/>
      </c>
      <c r="C335" s="73"/>
      <c r="D335" s="73"/>
      <c r="E335" s="74"/>
      <c r="F335" s="74"/>
      <c r="G335" s="72"/>
      <c r="H335" s="59"/>
      <c r="I335" s="68">
        <v>1</v>
      </c>
      <c r="J335" s="75" t="s">
        <v>486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IF(G336&lt;&gt;"",SUBTOTAL(3,$G$5:G336),"")</f>
        <v/>
      </c>
      <c r="C336" s="73"/>
      <c r="D336" s="73"/>
      <c r="E336" s="74"/>
      <c r="F336" s="74"/>
      <c r="G336" s="72"/>
      <c r="H336" s="59"/>
      <c r="I336" s="68">
        <v>1</v>
      </c>
      <c r="J336" s="75" t="s">
        <v>487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8">
        <v>1</v>
      </c>
      <c r="J337" s="75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x14ac:dyDescent="0.15">
      <c r="B338" s="73">
        <f>IF(G338&lt;&gt;"",SUBTOTAL(3,$G$5:G338),"")</f>
        <v>83</v>
      </c>
      <c r="C338" s="73"/>
      <c r="D338" s="73"/>
      <c r="E338" s="74" t="s">
        <v>139</v>
      </c>
      <c r="F338" s="74" t="s">
        <v>135</v>
      </c>
      <c r="G338" s="72" t="s">
        <v>204</v>
      </c>
      <c r="H338" s="59">
        <v>43997</v>
      </c>
      <c r="I338" s="60">
        <v>1</v>
      </c>
      <c r="J338" s="75" t="s">
        <v>382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 t="s">
        <v>318</v>
      </c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 t="str">
        <f>IF(G339&lt;&gt;"",SUBTOTAL(3,$G$5:G339),"")</f>
        <v/>
      </c>
      <c r="C339" s="73"/>
      <c r="D339" s="73"/>
      <c r="E339" s="74"/>
      <c r="F339" s="74"/>
      <c r="G339" s="72"/>
      <c r="H339" s="59"/>
      <c r="I339" s="68">
        <v>1</v>
      </c>
      <c r="J339" s="75" t="s">
        <v>381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 t="s">
        <v>383</v>
      </c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 t="s">
        <v>317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 t="s">
        <v>384</v>
      </c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73">
        <f>IF(G341&lt;&gt;"",SUBTOTAL(3,$G$5:G341),"")</f>
        <v>84</v>
      </c>
      <c r="C341" s="73"/>
      <c r="D341" s="73"/>
      <c r="E341" s="74" t="s">
        <v>139</v>
      </c>
      <c r="F341" s="74" t="s">
        <v>135</v>
      </c>
      <c r="G341" s="72" t="s">
        <v>205</v>
      </c>
      <c r="H341" s="59">
        <v>44004</v>
      </c>
      <c r="I341" s="60">
        <v>0.5</v>
      </c>
      <c r="J341" s="75" t="s">
        <v>474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0.5</v>
      </c>
      <c r="J342" s="75" t="s">
        <v>475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0.5</v>
      </c>
      <c r="J343" s="75" t="s">
        <v>472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0.5</v>
      </c>
      <c r="J344" s="75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0.5</v>
      </c>
      <c r="J345" s="75" t="s">
        <v>481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0.5</v>
      </c>
      <c r="J346" s="75" t="s">
        <v>482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0.5</v>
      </c>
      <c r="J347" s="75" t="s">
        <v>478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0.5</v>
      </c>
      <c r="J348" s="75"/>
      <c r="K348" s="42" t="s">
        <v>479</v>
      </c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0.5</v>
      </c>
      <c r="J349" s="75"/>
      <c r="K349" s="42" t="s">
        <v>480</v>
      </c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0.5</v>
      </c>
      <c r="J350" s="75"/>
      <c r="K350" s="42" t="s">
        <v>473</v>
      </c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0.5</v>
      </c>
      <c r="J351" s="75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0.5</v>
      </c>
      <c r="J352" s="75"/>
      <c r="K352" s="42" t="s">
        <v>476</v>
      </c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/>
      <c r="K353" s="42" t="s">
        <v>477</v>
      </c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>
        <f>IF(G355&lt;&gt;"",SUBTOTAL(3,$G$5:G355),"")</f>
        <v>85</v>
      </c>
      <c r="C355" s="73"/>
      <c r="D355" s="73"/>
      <c r="E355" s="74" t="s">
        <v>139</v>
      </c>
      <c r="F355" s="74" t="s">
        <v>142</v>
      </c>
      <c r="G355" s="74" t="s">
        <v>206</v>
      </c>
      <c r="H355" s="59">
        <v>44030</v>
      </c>
      <c r="I355" s="60">
        <v>1</v>
      </c>
      <c r="J355" s="75" t="s">
        <v>319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 t="s">
        <v>385</v>
      </c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4"/>
      <c r="H356" s="59"/>
      <c r="I356" s="68">
        <v>1</v>
      </c>
      <c r="J356" s="75" t="s">
        <v>320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4"/>
      <c r="H357" s="59"/>
      <c r="I357" s="68">
        <v>1</v>
      </c>
      <c r="J357" s="75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 t="s">
        <v>386</v>
      </c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4"/>
      <c r="H358" s="59"/>
      <c r="I358" s="68">
        <v>1</v>
      </c>
      <c r="J358" s="75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 t="s">
        <v>321</v>
      </c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5.75" x14ac:dyDescent="0.15">
      <c r="B359" s="73" t="str">
        <f>IF(G359&lt;&gt;"",SUBTOTAL(3,$G$5:G359),"")</f>
        <v/>
      </c>
      <c r="C359" s="73"/>
      <c r="D359" s="73"/>
      <c r="E359" s="74"/>
      <c r="F359" s="74"/>
      <c r="G359" s="74"/>
      <c r="H359" s="59"/>
      <c r="I359" s="68">
        <v>1</v>
      </c>
      <c r="J359" s="75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348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73" t="str">
        <f>IF(G360&lt;&gt;"",SUBTOTAL(3,$G$5:G360),"")</f>
        <v/>
      </c>
      <c r="C360" s="73"/>
      <c r="D360" s="73"/>
      <c r="E360" s="74"/>
      <c r="F360" s="74"/>
      <c r="G360" s="74"/>
      <c r="H360" s="59"/>
      <c r="I360" s="68">
        <v>1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 t="s">
        <v>387</v>
      </c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x14ac:dyDescent="0.15">
      <c r="B361" s="73" t="str">
        <f>IF(G361&lt;&gt;"",SUBTOTAL(3,$G$5:G361),"")</f>
        <v/>
      </c>
      <c r="C361" s="73"/>
      <c r="D361" s="73"/>
      <c r="E361" s="74"/>
      <c r="F361" s="74"/>
      <c r="G361" s="74"/>
      <c r="H361" s="59"/>
      <c r="I361" s="68">
        <v>1</v>
      </c>
      <c r="J361" s="75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 t="s">
        <v>388</v>
      </c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x14ac:dyDescent="0.15">
      <c r="B362" s="73" t="str">
        <f>IF(G362&lt;&gt;"",SUBTOTAL(3,$G$5:G362),"")</f>
        <v/>
      </c>
      <c r="C362" s="73"/>
      <c r="D362" s="73"/>
      <c r="E362" s="74"/>
      <c r="F362" s="74"/>
      <c r="G362" s="74"/>
      <c r="H362" s="59"/>
      <c r="I362" s="68">
        <v>1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>
        <f>IF(G363&lt;&gt;"",SUBTOTAL(3,$G$5:G363),"")</f>
        <v>86</v>
      </c>
      <c r="C363" s="73"/>
      <c r="D363" s="73"/>
      <c r="E363" s="74" t="s">
        <v>139</v>
      </c>
      <c r="F363" s="74" t="s">
        <v>142</v>
      </c>
      <c r="G363" s="74" t="s">
        <v>213</v>
      </c>
      <c r="H363" s="59">
        <v>44052</v>
      </c>
      <c r="I363" s="60">
        <v>0.5</v>
      </c>
      <c r="J363" s="75" t="s">
        <v>322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390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97" t="str">
        <f>IF(G364&lt;&gt;"",SUBTOTAL(3,$G$5:G364),"")</f>
        <v/>
      </c>
      <c r="C364" s="73"/>
      <c r="D364" s="73"/>
      <c r="E364" s="74"/>
      <c r="F364" s="74"/>
      <c r="G364" s="74"/>
      <c r="H364" s="59"/>
      <c r="I364" s="66">
        <v>0.5</v>
      </c>
      <c r="J364" s="75" t="s">
        <v>349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389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97" t="str">
        <f>IF(G365&lt;&gt;"",SUBTOTAL(3,$G$5:G365),"")</f>
        <v/>
      </c>
      <c r="C365" s="73"/>
      <c r="D365" s="73"/>
      <c r="E365" s="74"/>
      <c r="F365" s="74"/>
      <c r="G365" s="74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 t="s">
        <v>391</v>
      </c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97" t="str">
        <f>IF(G366&lt;&gt;"",SUBTOTAL(3,$G$5:G366),"")</f>
        <v/>
      </c>
      <c r="C366" s="73"/>
      <c r="D366" s="73"/>
      <c r="E366" s="74"/>
      <c r="F366" s="74"/>
      <c r="G366" s="74"/>
      <c r="H366" s="59"/>
      <c r="I366" s="66">
        <v>0.5</v>
      </c>
      <c r="J366" s="75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392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97" t="str">
        <f>IF(G367&lt;&gt;"",SUBTOTAL(3,$G$5:G367),"")</f>
        <v/>
      </c>
      <c r="C367" s="73"/>
      <c r="D367" s="73"/>
      <c r="E367" s="74"/>
      <c r="F367" s="74"/>
      <c r="G367" s="74"/>
      <c r="H367" s="59"/>
      <c r="I367" s="66">
        <v>0.5</v>
      </c>
      <c r="J367" s="75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394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73" t="str">
        <f>IF(G368&lt;&gt;"",SUBTOTAL(3,$G$5:G368),"")</f>
        <v/>
      </c>
      <c r="C368" s="73"/>
      <c r="D368" s="73"/>
      <c r="E368" s="74"/>
      <c r="F368" s="74"/>
      <c r="G368" s="74"/>
      <c r="H368" s="59"/>
      <c r="I368" s="66">
        <v>0.5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393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 t="str">
        <f>IF(G369&lt;&gt;"",SUBTOTAL(3,$G$5:G369),"")</f>
        <v/>
      </c>
      <c r="C369" s="73"/>
      <c r="D369" s="73"/>
      <c r="E369" s="74"/>
      <c r="F369" s="74"/>
      <c r="G369" s="74"/>
      <c r="H369" s="59"/>
      <c r="I369" s="66">
        <v>0.5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395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6">
        <v>0.5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6">
        <v>0.5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73">
        <f>IF(G372&lt;&gt;"",SUBTOTAL(3,$G$5:G372),"")</f>
        <v>87</v>
      </c>
      <c r="C372" s="73"/>
      <c r="D372" s="73"/>
      <c r="E372" s="74" t="s">
        <v>139</v>
      </c>
      <c r="F372" s="74" t="s">
        <v>142</v>
      </c>
      <c r="G372" s="74" t="s">
        <v>220</v>
      </c>
      <c r="H372" s="59">
        <v>44062</v>
      </c>
      <c r="I372" s="60">
        <v>1</v>
      </c>
      <c r="J372" s="75" t="s">
        <v>466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4"/>
      <c r="H373" s="59"/>
      <c r="I373" s="68">
        <v>1</v>
      </c>
      <c r="J373" s="75" t="s">
        <v>467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4"/>
      <c r="H374" s="59"/>
      <c r="I374" s="68">
        <v>1</v>
      </c>
      <c r="J374" s="75" t="s">
        <v>468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8">
        <v>1</v>
      </c>
      <c r="J375" s="75" t="s">
        <v>469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75" t="s">
        <v>470</v>
      </c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73">
        <f>IF(G378&lt;&gt;"",SUBTOTAL(3,$G$5:G378),"")</f>
        <v>88</v>
      </c>
      <c r="C378" s="73"/>
      <c r="D378" s="73"/>
      <c r="E378" s="74" t="s">
        <v>139</v>
      </c>
      <c r="F378" s="74" t="s">
        <v>142</v>
      </c>
      <c r="G378" s="74" t="s">
        <v>221</v>
      </c>
      <c r="H378" s="59">
        <v>44071</v>
      </c>
      <c r="I378" s="60">
        <v>1</v>
      </c>
      <c r="J378" s="75" t="s">
        <v>465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>
        <f>IF(G380&lt;&gt;"",SUBTOTAL(3,$G$5:G380),"")</f>
        <v>89</v>
      </c>
      <c r="C380" s="73"/>
      <c r="D380" s="73"/>
      <c r="E380" s="74" t="s">
        <v>139</v>
      </c>
      <c r="F380" s="74" t="s">
        <v>142</v>
      </c>
      <c r="G380" s="74" t="s">
        <v>225</v>
      </c>
      <c r="H380" s="59">
        <v>44073</v>
      </c>
      <c r="I380" s="60">
        <v>1</v>
      </c>
      <c r="J380" s="93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93" t="s">
        <v>333</v>
      </c>
      <c r="AT380" s="42" t="s">
        <v>334</v>
      </c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94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94" t="s">
        <v>323</v>
      </c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94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94" t="s">
        <v>324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94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94" t="s">
        <v>325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94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94" t="s">
        <v>326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94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94" t="s">
        <v>338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94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94" t="s">
        <v>327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94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94" t="s">
        <v>328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93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93" t="s">
        <v>333</v>
      </c>
      <c r="AT388" s="42" t="s">
        <v>335</v>
      </c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75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339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 t="s">
        <v>340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94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4" t="s">
        <v>323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324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325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326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341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329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327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328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3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3" t="s">
        <v>336</v>
      </c>
      <c r="AT399" s="42" t="s">
        <v>337</v>
      </c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75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 t="s">
        <v>342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323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324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325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326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330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327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328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75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75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ht="14.25" customHeight="1" x14ac:dyDescent="0.15">
      <c r="B409" s="73">
        <f>IF(G409&lt;&gt;"",SUBTOTAL(3,$G$5:G409),"")</f>
        <v>90</v>
      </c>
      <c r="C409" s="73"/>
      <c r="D409" s="73"/>
      <c r="E409" s="74" t="s">
        <v>139</v>
      </c>
      <c r="F409" s="74" t="s">
        <v>142</v>
      </c>
      <c r="G409" s="74" t="s">
        <v>236</v>
      </c>
      <c r="H409" s="59">
        <v>44108</v>
      </c>
      <c r="I409" s="60">
        <v>0.5</v>
      </c>
      <c r="J409" s="75" t="s">
        <v>1</v>
      </c>
      <c r="K409" s="42" t="s">
        <v>332</v>
      </c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75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ht="14.25" customHeigh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6">
        <v>0.5</v>
      </c>
      <c r="J410" s="78"/>
      <c r="K410" s="79"/>
      <c r="L410" s="79"/>
      <c r="M410" s="79"/>
      <c r="N410" s="79"/>
      <c r="O410" s="79"/>
      <c r="P410" s="79"/>
      <c r="Q410" s="79"/>
      <c r="R410" s="80" t="s">
        <v>331</v>
      </c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/>
      <c r="AP410" s="79"/>
      <c r="AQ410" s="79"/>
      <c r="AR410" s="81"/>
      <c r="AS410" s="75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ht="14.25" customHeigh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6">
        <v>0.5</v>
      </c>
      <c r="J411" s="82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  <c r="AD411" s="79"/>
      <c r="AE411" s="79"/>
      <c r="AF411" s="79"/>
      <c r="AG411" s="79"/>
      <c r="AH411" s="79"/>
      <c r="AI411" s="79"/>
      <c r="AJ411" s="79"/>
      <c r="AK411" s="79"/>
      <c r="AL411" s="79"/>
      <c r="AM411" s="79"/>
      <c r="AN411" s="79"/>
      <c r="AO411" s="79"/>
      <c r="AP411" s="79"/>
      <c r="AQ411" s="79"/>
      <c r="AR411" s="81"/>
      <c r="AS411" s="75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ht="14.25" customHeigh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6">
        <v>0.5</v>
      </c>
      <c r="J412" s="78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81"/>
      <c r="AS412" s="75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ht="14.25" customHeigh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6">
        <v>0.5</v>
      </c>
      <c r="J413" s="78" t="s">
        <v>237</v>
      </c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/>
      <c r="AP413" s="79"/>
      <c r="AQ413" s="79"/>
      <c r="AR413" s="81"/>
      <c r="AS413" s="75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ht="14.25" customHeigh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6">
        <v>0.5</v>
      </c>
      <c r="J414" s="78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/>
      <c r="AO414" s="79"/>
      <c r="AP414" s="79"/>
      <c r="AQ414" s="79"/>
      <c r="AR414" s="81"/>
      <c r="AS414" s="75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ht="13.5" customHeigh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0"/>
      <c r="J415" s="75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75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ht="13.5" customHeight="1" x14ac:dyDescent="0.15">
      <c r="B416" s="56" t="str">
        <f>IF(G416&lt;&gt;"",SUBTOTAL(3,$G$5:G416),"")</f>
        <v/>
      </c>
      <c r="C416" s="56"/>
      <c r="D416" s="56"/>
      <c r="E416" s="57"/>
      <c r="F416" s="57"/>
      <c r="G416" s="57"/>
      <c r="H416" s="59"/>
      <c r="I416" s="60"/>
      <c r="J416" s="39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1"/>
      <c r="AS416" s="61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  <c r="BK416" s="62"/>
      <c r="BL416" s="62"/>
      <c r="BM416" s="62"/>
      <c r="BN416" s="62"/>
      <c r="BO416" s="62"/>
      <c r="BP416" s="62"/>
      <c r="BQ416" s="62"/>
      <c r="BR416" s="62"/>
      <c r="BS416" s="62"/>
      <c r="BT416" s="62"/>
      <c r="BU416" s="62"/>
      <c r="BV416" s="62"/>
      <c r="BW416" s="62"/>
      <c r="BX416" s="62"/>
      <c r="BY416" s="62"/>
      <c r="BZ416" s="62"/>
      <c r="CA416" s="63"/>
      <c r="CB416" s="58"/>
      <c r="CH416" s="62"/>
      <c r="CI416" s="62"/>
      <c r="CJ416" s="62"/>
      <c r="CK416" s="62"/>
      <c r="CL416" s="62"/>
      <c r="CM416" s="62"/>
      <c r="CN416" s="62"/>
      <c r="CO416" s="62"/>
      <c r="CP416" s="62"/>
      <c r="CQ416" s="62"/>
      <c r="CR416" s="62"/>
      <c r="CS416" s="62"/>
      <c r="CT416" s="62"/>
      <c r="CU416" s="62"/>
      <c r="CV416" s="62"/>
      <c r="CW416" s="62"/>
      <c r="CX416" s="62"/>
      <c r="CY416" s="62"/>
      <c r="CZ416" s="62"/>
      <c r="DA416" s="62"/>
      <c r="DB416" s="62"/>
      <c r="DC416" s="62"/>
      <c r="DD416" s="62"/>
      <c r="DE416" s="62"/>
      <c r="DF416" s="62"/>
      <c r="DG416" s="62"/>
      <c r="DH416" s="62"/>
      <c r="DI416" s="62"/>
      <c r="DJ416" s="62"/>
      <c r="DK416" s="62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62"/>
      <c r="DX416" s="62"/>
      <c r="DY416" s="62"/>
      <c r="DZ416" s="62"/>
    </row>
    <row r="417" spans="2:130" ht="13.5" customHeight="1" x14ac:dyDescent="0.15">
      <c r="B417" s="56" t="str">
        <f>IF(G417&lt;&gt;"",SUBTOTAL(3,$G$5:G417),"")</f>
        <v/>
      </c>
      <c r="C417" s="56"/>
      <c r="D417" s="56"/>
      <c r="E417" s="57"/>
      <c r="F417" s="57"/>
      <c r="G417" s="57"/>
      <c r="H417" s="59"/>
      <c r="I417" s="60"/>
      <c r="J417" s="61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3"/>
      <c r="AS417" s="61"/>
      <c r="AT417" s="62"/>
      <c r="AU417" s="62"/>
      <c r="AV417" s="62"/>
      <c r="AW417" s="62"/>
      <c r="AX417" s="62"/>
      <c r="AY417" s="62"/>
      <c r="AZ417" s="62"/>
      <c r="BA417" s="62"/>
      <c r="BB417" s="62"/>
      <c r="BC417" s="62"/>
      <c r="BD417" s="62"/>
      <c r="BE417" s="62"/>
      <c r="BF417" s="62"/>
      <c r="BG417" s="62"/>
      <c r="BH417" s="62"/>
      <c r="BI417" s="62"/>
      <c r="BJ417" s="62"/>
      <c r="BK417" s="62"/>
      <c r="BL417" s="62"/>
      <c r="BM417" s="62"/>
      <c r="BN417" s="62"/>
      <c r="BO417" s="62"/>
      <c r="BP417" s="62"/>
      <c r="BQ417" s="62"/>
      <c r="BR417" s="62"/>
      <c r="BS417" s="62"/>
      <c r="BT417" s="62"/>
      <c r="BU417" s="62"/>
      <c r="BV417" s="62"/>
      <c r="BW417" s="62"/>
      <c r="BX417" s="62"/>
      <c r="BY417" s="62"/>
      <c r="BZ417" s="62"/>
      <c r="CA417" s="63"/>
      <c r="CB417" s="58"/>
      <c r="CH417" s="62"/>
      <c r="CI417" s="62"/>
      <c r="CJ417" s="62"/>
      <c r="CK417" s="62"/>
      <c r="CL417" s="62"/>
      <c r="CM417" s="62"/>
      <c r="CN417" s="62"/>
      <c r="CO417" s="62"/>
      <c r="CP417" s="62"/>
      <c r="CQ417" s="62"/>
      <c r="CR417" s="62"/>
      <c r="CS417" s="62"/>
      <c r="CT417" s="62"/>
      <c r="CU417" s="62"/>
      <c r="CV417" s="62"/>
      <c r="CW417" s="62"/>
      <c r="CX417" s="62"/>
      <c r="CY417" s="62"/>
      <c r="CZ417" s="62"/>
      <c r="DA417" s="62"/>
      <c r="DB417" s="62"/>
      <c r="DC417" s="62"/>
      <c r="DD417" s="62"/>
      <c r="DE417" s="62"/>
      <c r="DF417" s="62"/>
      <c r="DG417" s="62"/>
      <c r="DH417" s="62"/>
      <c r="DI417" s="62"/>
      <c r="DJ417" s="62"/>
      <c r="DK417" s="62"/>
      <c r="DL417" s="62"/>
      <c r="DM417" s="62"/>
      <c r="DN417" s="62"/>
      <c r="DO417" s="62"/>
      <c r="DP417" s="62"/>
      <c r="DQ417" s="62"/>
      <c r="DR417" s="62"/>
      <c r="DS417" s="62"/>
      <c r="DT417" s="62"/>
      <c r="DU417" s="62"/>
      <c r="DV417" s="62"/>
      <c r="DW417" s="62"/>
      <c r="DX417" s="62"/>
      <c r="DY417" s="62"/>
      <c r="DZ417" s="62"/>
    </row>
    <row r="418" spans="2:130" x14ac:dyDescent="0.15">
      <c r="B418" s="56" t="str">
        <f>IF(G418&lt;&gt;"",SUBTOTAL(3,$G$5:G418),"")</f>
        <v/>
      </c>
      <c r="C418" s="56"/>
      <c r="D418" s="56"/>
      <c r="E418" s="57"/>
      <c r="F418" s="57"/>
      <c r="G418" s="57"/>
      <c r="H418" s="59"/>
      <c r="I418" s="60"/>
      <c r="J418" s="61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3"/>
      <c r="AS418" s="61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3"/>
      <c r="CB418" s="58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</row>
    <row r="419" spans="2:130" x14ac:dyDescent="0.15">
      <c r="B419" s="56" t="str">
        <f>IF(G419&lt;&gt;"",SUBTOTAL(3,$G$5:G419),"")</f>
        <v/>
      </c>
      <c r="C419" s="56"/>
      <c r="D419" s="56"/>
      <c r="E419" s="57"/>
      <c r="F419" s="57"/>
      <c r="G419" s="57"/>
      <c r="H419" s="59"/>
      <c r="I419" s="60"/>
      <c r="J419" s="61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3"/>
      <c r="AS419" s="61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3"/>
      <c r="CB419" s="58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</row>
    <row r="420" spans="2:130" x14ac:dyDescent="0.15">
      <c r="B420" s="56" t="str">
        <f>IF(G420&lt;&gt;"",SUBTOTAL(3,$G$5:G420),"")</f>
        <v/>
      </c>
      <c r="C420" s="56"/>
      <c r="D420" s="56"/>
      <c r="E420" s="57"/>
      <c r="F420" s="57"/>
      <c r="G420" s="57"/>
      <c r="H420" s="59"/>
      <c r="I420" s="60"/>
      <c r="J420" s="61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3"/>
      <c r="AS420" s="61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3"/>
      <c r="CB420" s="58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</row>
    <row r="421" spans="2:130" x14ac:dyDescent="0.15">
      <c r="B421" s="56" t="str">
        <f>IF(G421&lt;&gt;"",SUBTOTAL(3,$G$5:G421),"")</f>
        <v/>
      </c>
      <c r="C421" s="56"/>
      <c r="D421" s="56"/>
      <c r="E421" s="57"/>
      <c r="F421" s="57"/>
      <c r="G421" s="57"/>
      <c r="H421" s="59"/>
      <c r="I421" s="60"/>
      <c r="J421" s="6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3"/>
      <c r="AS421" s="61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3"/>
      <c r="CB421" s="58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</row>
    <row r="422" spans="2:130" ht="15.75" x14ac:dyDescent="0.15">
      <c r="B422" s="56" t="str">
        <f>IF(G422&lt;&gt;"",SUBTOTAL(3,$G$5:G422),"")</f>
        <v/>
      </c>
      <c r="C422" s="56"/>
      <c r="D422" s="56"/>
      <c r="E422" s="57"/>
      <c r="F422" s="57"/>
      <c r="G422" s="57"/>
      <c r="H422" s="59"/>
      <c r="I422" s="60"/>
      <c r="J422" s="39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1"/>
      <c r="AS422" s="61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3"/>
      <c r="CB422" s="58"/>
      <c r="CH422" s="62"/>
      <c r="CI422" s="67"/>
      <c r="CJ422" s="67"/>
      <c r="CK422" s="67"/>
      <c r="CL422" s="67"/>
      <c r="CM422" s="67"/>
      <c r="CN422" s="67"/>
      <c r="CO422" s="67"/>
      <c r="CP422" s="67"/>
      <c r="CQ422" s="67"/>
      <c r="CR422" s="67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7"/>
      <c r="DH422" s="67"/>
      <c r="DI422" s="67"/>
      <c r="DJ422" s="67"/>
      <c r="DK422" s="67"/>
      <c r="DL422" s="67"/>
      <c r="DM422" s="67"/>
      <c r="DN422" s="67"/>
      <c r="DO422" s="67"/>
      <c r="DP422" s="67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</row>
    <row r="423" spans="2:130" x14ac:dyDescent="0.15">
      <c r="B423" s="56" t="str">
        <f>IF(G423&lt;&gt;"",SUBTOTAL(3,$G$5:G423),"")</f>
        <v/>
      </c>
      <c r="C423" s="56"/>
      <c r="D423" s="56"/>
      <c r="E423" s="57"/>
      <c r="F423" s="57"/>
      <c r="G423" s="57"/>
      <c r="H423" s="59"/>
      <c r="I423" s="60"/>
      <c r="J423" s="61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3"/>
      <c r="AS423" s="61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3"/>
      <c r="CB423" s="58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</row>
    <row r="424" spans="2:130" x14ac:dyDescent="0.15">
      <c r="B424" s="56" t="str">
        <f>IF(G424&lt;&gt;"",SUBTOTAL(3,$G$5:G424),"")</f>
        <v/>
      </c>
      <c r="C424" s="56"/>
      <c r="D424" s="56"/>
      <c r="E424" s="57"/>
      <c r="F424" s="57"/>
      <c r="G424" s="57"/>
      <c r="H424" s="59"/>
      <c r="I424" s="60"/>
      <c r="J424" s="61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3"/>
      <c r="AS424" s="61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3"/>
      <c r="CB424" s="58"/>
      <c r="CH424" s="62"/>
      <c r="CI424" s="62"/>
      <c r="CJ424" s="62"/>
      <c r="CK424" s="62"/>
      <c r="CL424" s="62"/>
      <c r="CM424" s="62"/>
      <c r="CN424" s="62"/>
      <c r="CO424" s="62"/>
      <c r="CP424" s="62"/>
      <c r="CQ424" s="62"/>
      <c r="CR424" s="62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2"/>
      <c r="DH424" s="62"/>
      <c r="DI424" s="62"/>
      <c r="DJ424" s="62"/>
      <c r="DK424" s="62"/>
      <c r="DL424" s="62"/>
      <c r="DM424" s="62"/>
      <c r="DN424" s="62"/>
      <c r="DO424" s="62"/>
      <c r="DP424" s="62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</row>
    <row r="425" spans="2:130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61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3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ht="15.75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39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1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83" t="str">
        <f>IF(G445&lt;&gt;"",SUBTOTAL(3,$G$5:G445),"")</f>
        <v/>
      </c>
      <c r="C445" s="83"/>
      <c r="D445" s="83"/>
      <c r="E445" s="84"/>
      <c r="F445" s="84"/>
      <c r="G445" s="84"/>
      <c r="H445" s="85"/>
      <c r="I445" s="86"/>
      <c r="J445" s="87"/>
      <c r="K445" s="88"/>
      <c r="L445" s="88"/>
      <c r="M445" s="88"/>
      <c r="N445" s="88"/>
      <c r="O445" s="88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  <c r="AB445" s="88"/>
      <c r="AC445" s="88"/>
      <c r="AD445" s="88"/>
      <c r="AE445" s="88"/>
      <c r="AF445" s="88"/>
      <c r="AG445" s="88"/>
      <c r="AH445" s="88"/>
      <c r="AI445" s="88"/>
      <c r="AJ445" s="88"/>
      <c r="AK445" s="88"/>
      <c r="AL445" s="88"/>
      <c r="AM445" s="88"/>
      <c r="AN445" s="88"/>
      <c r="AO445" s="88"/>
      <c r="AP445" s="88"/>
      <c r="AQ445" s="88"/>
      <c r="AR445" s="89"/>
      <c r="AS445" s="87"/>
      <c r="AT445" s="88"/>
      <c r="AU445" s="88"/>
      <c r="AV445" s="88"/>
      <c r="AW445" s="88"/>
      <c r="AX445" s="88"/>
      <c r="AY445" s="88"/>
      <c r="AZ445" s="88"/>
      <c r="BA445" s="88"/>
      <c r="BB445" s="88"/>
      <c r="BC445" s="88"/>
      <c r="BD445" s="88"/>
      <c r="BE445" s="88"/>
      <c r="BF445" s="88"/>
      <c r="BG445" s="88"/>
      <c r="BH445" s="88"/>
      <c r="BI445" s="88"/>
      <c r="BJ445" s="88"/>
      <c r="BK445" s="88"/>
      <c r="BL445" s="88"/>
      <c r="BM445" s="88"/>
      <c r="BN445" s="88"/>
      <c r="BO445" s="88"/>
      <c r="BP445" s="88"/>
      <c r="BQ445" s="88"/>
      <c r="BR445" s="88"/>
      <c r="BS445" s="88"/>
      <c r="BT445" s="88"/>
      <c r="BU445" s="88"/>
      <c r="BV445" s="88"/>
      <c r="BW445" s="88"/>
      <c r="BX445" s="88"/>
      <c r="BY445" s="88"/>
      <c r="BZ445" s="88"/>
      <c r="CA445" s="89"/>
      <c r="CB445" s="90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</sheetData>
  <autoFilter ref="B4:CB445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16:I416 B430:I430 B422:I422 B49:D49 B56:H56 B65:H65 B417:AR421 B431:AR445 B423:AR429 F49:CB49 B50:CB54 J55:CB56 B66:CB66 K47:CB47 B48:CB48 K67:CB67 K332:CB332 B412:CB412 K411:CB411 K413:CB413 I220:CA220 K112:CB112 J64:CB65 B57:CB63 J68:CB70 I223:I230 B223:H231 J223:CB231 B414:AR415 AS414:CB445 J231:J233 B221:CB222 J220:J222 B333:CB410 B5:CB46 B277:CB331 B276:I276 K276:CB276 B232:CB275 J168:AR220 AS168:CA219 CB168:CB220 B168:H220 I168:I219 B113:CB167 B71:CB111">
    <cfRule type="expression" dxfId="28" priority="101">
      <formula>AND($I5&lt;&gt;1,$I5&lt;&gt;"")</formula>
    </cfRule>
  </conditionalFormatting>
  <conditionalFormatting sqref="I231:AR231">
    <cfRule type="expression" dxfId="27" priority="87">
      <formula>AND($I231&lt;&gt;1,$I231&lt;&gt;"")</formula>
    </cfRule>
  </conditionalFormatting>
  <conditionalFormatting sqref="E49">
    <cfRule type="expression" dxfId="26" priority="76">
      <formula>AND($I49&lt;&gt;1,$I49&lt;&gt;"")</formula>
    </cfRule>
  </conditionalFormatting>
  <conditionalFormatting sqref="B68:H68">
    <cfRule type="expression" dxfId="25" priority="73">
      <formula>AND($I68&lt;&gt;1,$I68&lt;&gt;"")</formula>
    </cfRule>
  </conditionalFormatting>
  <conditionalFormatting sqref="B47:I47">
    <cfRule type="expression" dxfId="24" priority="68">
      <formula>AND($I47&lt;&gt;1,$I47&lt;&gt;"")</formula>
    </cfRule>
  </conditionalFormatting>
  <conditionalFormatting sqref="J47">
    <cfRule type="expression" dxfId="23" priority="62">
      <formula>AND($I47&lt;&gt;1,$I47&lt;&gt;"")</formula>
    </cfRule>
  </conditionalFormatting>
  <conditionalFormatting sqref="B55:H55">
    <cfRule type="expression" dxfId="22" priority="60">
      <formula>AND($I55&lt;&gt;1,$I55&lt;&gt;"")</formula>
    </cfRule>
  </conditionalFormatting>
  <conditionalFormatting sqref="I55">
    <cfRule type="expression" dxfId="21" priority="59">
      <formula>AND($I55&lt;&gt;1,$I55&lt;&gt;"")</formula>
    </cfRule>
  </conditionalFormatting>
  <conditionalFormatting sqref="I56">
    <cfRule type="expression" dxfId="20" priority="58">
      <formula>AND($I56&lt;&gt;1,$I56&lt;&gt;"")</formula>
    </cfRule>
  </conditionalFormatting>
  <conditionalFormatting sqref="B64:I64">
    <cfRule type="expression" dxfId="19" priority="55">
      <formula>AND($I64&lt;&gt;1,$I64&lt;&gt;"")</formula>
    </cfRule>
  </conditionalFormatting>
  <conditionalFormatting sqref="J64">
    <cfRule type="expression" dxfId="18" priority="54">
      <formula>AND($I64&lt;&gt;1,$I64&lt;&gt;"")</formula>
    </cfRule>
  </conditionalFormatting>
  <conditionalFormatting sqref="I65">
    <cfRule type="expression" dxfId="17" priority="53">
      <formula>AND($I65&lt;&gt;1,$I65&lt;&gt;"")</formula>
    </cfRule>
  </conditionalFormatting>
  <conditionalFormatting sqref="B67:I67">
    <cfRule type="expression" dxfId="16" priority="52">
      <formula>AND($I67&lt;&gt;1,$I67&lt;&gt;"")</formula>
    </cfRule>
  </conditionalFormatting>
  <conditionalFormatting sqref="J67">
    <cfRule type="expression" dxfId="15" priority="51">
      <formula>AND($I67&lt;&gt;1,$I67&lt;&gt;"")</formula>
    </cfRule>
  </conditionalFormatting>
  <conditionalFormatting sqref="I68">
    <cfRule type="expression" dxfId="14" priority="50">
      <formula>AND($I68&lt;&gt;1,$I68&lt;&gt;"")</formula>
    </cfRule>
  </conditionalFormatting>
  <conditionalFormatting sqref="B112:I112">
    <cfRule type="expression" dxfId="13" priority="40">
      <formula>AND($I112&lt;&gt;1,$I112&lt;&gt;"")</formula>
    </cfRule>
  </conditionalFormatting>
  <conditionalFormatting sqref="J112">
    <cfRule type="expression" dxfId="12" priority="38">
      <formula>AND($I112&lt;&gt;1,$I112&lt;&gt;"")</formula>
    </cfRule>
  </conditionalFormatting>
  <conditionalFormatting sqref="B332:I332">
    <cfRule type="expression" dxfId="11" priority="23">
      <formula>AND($I332&lt;&gt;1,$I332&lt;&gt;"")</formula>
    </cfRule>
  </conditionalFormatting>
  <conditionalFormatting sqref="B411:I411 B413:I413">
    <cfRule type="expression" dxfId="10" priority="15">
      <formula>AND($I411&lt;&gt;1,$I411&lt;&gt;"")</formula>
    </cfRule>
  </conditionalFormatting>
  <conditionalFormatting sqref="J413">
    <cfRule type="expression" dxfId="9" priority="14">
      <formula>AND($I413&lt;&gt;1,$I413&lt;&gt;"")</formula>
    </cfRule>
  </conditionalFormatting>
  <conditionalFormatting sqref="B70:H70">
    <cfRule type="expression" dxfId="8" priority="12">
      <formula>AND($I70&lt;&gt;1,$I70&lt;&gt;"")</formula>
    </cfRule>
  </conditionalFormatting>
  <conditionalFormatting sqref="I70">
    <cfRule type="expression" dxfId="7" priority="11">
      <formula>AND($I70&lt;&gt;1,$I70&lt;&gt;"")</formula>
    </cfRule>
  </conditionalFormatting>
  <conditionalFormatting sqref="B69:H69">
    <cfRule type="expression" dxfId="6" priority="9">
      <formula>AND($I69&lt;&gt;1,$I69&lt;&gt;"")</formula>
    </cfRule>
  </conditionalFormatting>
  <conditionalFormatting sqref="I69">
    <cfRule type="expression" dxfId="5" priority="8">
      <formula>AND($I69&lt;&gt;1,$I69&lt;&gt;"")</formula>
    </cfRule>
  </conditionalFormatting>
  <conditionalFormatting sqref="J63">
    <cfRule type="expression" dxfId="4" priority="6">
      <formula>AND($I63&lt;&gt;1,$I63&lt;&gt;"")</formula>
    </cfRule>
  </conditionalFormatting>
  <conditionalFormatting sqref="J232">
    <cfRule type="expression" dxfId="3" priority="5">
      <formula>AND($I232&lt;&gt;1,$I232&lt;&gt;"")</formula>
    </cfRule>
  </conditionalFormatting>
  <conditionalFormatting sqref="J231">
    <cfRule type="expression" dxfId="2" priority="4">
      <formula>AND($I231&lt;&gt;1,$I231&lt;&gt;"")</formula>
    </cfRule>
  </conditionalFormatting>
  <conditionalFormatting sqref="J276">
    <cfRule type="expression" dxfId="1" priority="3">
      <formula>AND($I276&lt;&gt;1,$I276&lt;&gt;"")</formula>
    </cfRule>
  </conditionalFormatting>
  <conditionalFormatting sqref="J332">
    <cfRule type="expression" dxfId="0" priority="2">
      <formula>AND($I332&lt;&gt;1,$I332&lt;&gt;"")</formula>
    </cfRule>
  </conditionalFormatting>
  <dataValidations count="1">
    <dataValidation type="list" allowBlank="1" showInputMessage="1" showErrorMessage="1" sqref="I5:I445" xr:uid="{CDD3132F-D59C-4B0A-9A7C-94B9D9A88440}">
      <formula1>"100%,80%,50%,30%,0%"</formula1>
    </dataValidation>
  </dataValidations>
  <hyperlinks>
    <hyperlink ref="CB74" location="toABC114_C_755" display="(→)" xr:uid="{C3DBC3A8-8FB5-4AEF-8FA5-1088932AB54B}"/>
    <hyperlink ref="CB234" location="toABC143_C_Slimes" display="(→)" xr:uid="{D0A14FDC-339D-483C-A7FB-42784F1DB2F9}"/>
    <hyperlink ref="CB246" location="toABC147_C_Honest_or_Unkind2" display="(→)" xr:uid="{5E89EE6B-F278-4D19-9890-D06616736879}"/>
    <hyperlink ref="CB252" location="toABC149_C_NextPrime" display="(→)" xr:uid="{B7EC79F3-9ECE-482D-BD97-C57882E1060F}"/>
    <hyperlink ref="J55" r:id="rId1" xr:uid="{55DF2281-CA3A-49E3-A548-9C77168C683F}"/>
    <hyperlink ref="J112" r:id="rId2" xr:uid="{38E0EAF4-C8D9-4697-98F9-FFD2638747C7}"/>
    <hyperlink ref="J413" r:id="rId3" xr:uid="{9EDCCA2D-396F-4375-BE7A-B1954A66EC32}"/>
    <hyperlink ref="J69" r:id="rId4" xr:uid="{A5E407FA-9175-4245-9950-2C7E04570900}"/>
    <hyperlink ref="J63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2020-11-29T01:23:10Z</dcterms:modified>
</cp:coreProperties>
</file>